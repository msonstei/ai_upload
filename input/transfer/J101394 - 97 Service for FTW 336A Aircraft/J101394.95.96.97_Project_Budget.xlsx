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backupFile="1" checkCompatibility="1" defaultThemeVersion="124226"/>
  <bookViews>
    <workbookView xWindow="120" yWindow="120" windowWidth="19020" windowHeight="12660" activeTab="1"/>
  </bookViews>
  <sheets>
    <sheet name="JobCostRepot" sheetId="4" r:id="rId1"/>
    <sheet name="Actual" sheetId="5" r:id="rId2"/>
    <sheet name="Sheet3" sheetId="3" r:id="rId3"/>
  </sheets>
  <definedNames>
    <definedName name="_xlnm.Print_Area" localSheetId="1">Actual!$A$1:$M$56</definedName>
    <definedName name="_xlnm.Print_Area" localSheetId="0">JobCostRepot!$A$1:$M$55</definedName>
  </definedNames>
  <calcPr calcId="144525"/>
</workbook>
</file>

<file path=xl/calcChain.xml><?xml version="1.0" encoding="utf-8"?>
<calcChain xmlns="http://schemas.openxmlformats.org/spreadsheetml/2006/main">
  <c r="F47" i="5" l="1"/>
  <c r="D43" i="5"/>
  <c r="F31" i="5"/>
  <c r="D9" i="5"/>
  <c r="D28" i="5" s="1"/>
  <c r="D37" i="5" s="1"/>
  <c r="H8" i="5"/>
  <c r="E35" i="5"/>
  <c r="F35" i="5"/>
  <c r="G35" i="5"/>
  <c r="D35" i="5"/>
  <c r="E28" i="5"/>
  <c r="F28" i="5"/>
  <c r="G28" i="5"/>
  <c r="D6" i="5"/>
  <c r="H54" i="5"/>
  <c r="G49" i="5"/>
  <c r="F49" i="5"/>
  <c r="E49" i="5"/>
  <c r="D49" i="5"/>
  <c r="H48" i="5"/>
  <c r="H47" i="5"/>
  <c r="K47" i="5" s="1"/>
  <c r="H46" i="5"/>
  <c r="H45" i="5"/>
  <c r="K44" i="5"/>
  <c r="H44" i="5"/>
  <c r="H43" i="5"/>
  <c r="K43" i="5" s="1"/>
  <c r="K42" i="5"/>
  <c r="H42" i="5"/>
  <c r="G37" i="5"/>
  <c r="H34" i="5"/>
  <c r="H33" i="5"/>
  <c r="H32" i="5"/>
  <c r="H31" i="5"/>
  <c r="H30" i="5"/>
  <c r="H35" i="5" s="1"/>
  <c r="H27" i="5"/>
  <c r="H26" i="5"/>
  <c r="H25" i="5"/>
  <c r="H24" i="5"/>
  <c r="H23" i="5"/>
  <c r="H22" i="5"/>
  <c r="H21" i="5"/>
  <c r="H20" i="5"/>
  <c r="H19" i="5"/>
  <c r="F18" i="5"/>
  <c r="E18" i="5"/>
  <c r="H18" i="5" s="1"/>
  <c r="H17" i="5"/>
  <c r="H16" i="5"/>
  <c r="H15" i="5"/>
  <c r="H14" i="5"/>
  <c r="H13" i="5"/>
  <c r="H12" i="5"/>
  <c r="H11" i="5"/>
  <c r="H10" i="5"/>
  <c r="H7" i="5"/>
  <c r="F37" i="5" l="1"/>
  <c r="H9" i="5"/>
  <c r="H28" i="5" s="1"/>
  <c r="K49" i="5"/>
  <c r="L43" i="5"/>
  <c r="L44" i="5"/>
  <c r="H49" i="5"/>
  <c r="H6" i="5"/>
  <c r="E37" i="5"/>
  <c r="D6" i="4"/>
  <c r="H13" i="4"/>
  <c r="D8" i="4"/>
  <c r="F17" i="4"/>
  <c r="E17" i="4"/>
  <c r="E27" i="4" s="1"/>
  <c r="H53" i="4"/>
  <c r="G48" i="4"/>
  <c r="F48" i="4"/>
  <c r="E48" i="4"/>
  <c r="D48" i="4"/>
  <c r="H47" i="4"/>
  <c r="H46" i="4"/>
  <c r="H45" i="4"/>
  <c r="H44" i="4"/>
  <c r="H43" i="4"/>
  <c r="H42" i="4"/>
  <c r="K42" i="4" s="1"/>
  <c r="H41" i="4"/>
  <c r="K41" i="4" s="1"/>
  <c r="G34" i="4"/>
  <c r="F34" i="4"/>
  <c r="E34" i="4"/>
  <c r="D34" i="4"/>
  <c r="H33" i="4"/>
  <c r="H32" i="4"/>
  <c r="H31" i="4"/>
  <c r="H30" i="4"/>
  <c r="H29" i="4"/>
  <c r="G27" i="4"/>
  <c r="F27" i="4"/>
  <c r="H26" i="4"/>
  <c r="H25" i="4"/>
  <c r="H24" i="4"/>
  <c r="H23" i="4"/>
  <c r="H22" i="4"/>
  <c r="H21" i="4"/>
  <c r="H20" i="4"/>
  <c r="H19" i="4"/>
  <c r="H18" i="4"/>
  <c r="H16" i="4"/>
  <c r="H15" i="4"/>
  <c r="H14" i="4"/>
  <c r="H12" i="4"/>
  <c r="H11" i="4"/>
  <c r="H10" i="4"/>
  <c r="H9" i="4"/>
  <c r="D27" i="4"/>
  <c r="H7" i="4"/>
  <c r="H6" i="4"/>
  <c r="H37" i="5" l="1"/>
  <c r="H56" i="5"/>
  <c r="G50" i="5"/>
  <c r="I48" i="5"/>
  <c r="I46" i="5"/>
  <c r="I44" i="5"/>
  <c r="F50" i="5"/>
  <c r="E50" i="5"/>
  <c r="I45" i="5"/>
  <c r="I42" i="5"/>
  <c r="D50" i="5"/>
  <c r="I47" i="5"/>
  <c r="L47" i="5" s="1"/>
  <c r="I43" i="5"/>
  <c r="H17" i="4"/>
  <c r="K43" i="4"/>
  <c r="F36" i="4"/>
  <c r="G36" i="4"/>
  <c r="H34" i="4"/>
  <c r="D36" i="4"/>
  <c r="E36" i="4"/>
  <c r="H48" i="4"/>
  <c r="D49" i="4" s="1"/>
  <c r="H8" i="4"/>
  <c r="H27" i="4" s="1"/>
  <c r="K46" i="4"/>
  <c r="K48" i="4" s="1"/>
  <c r="L42" i="4" s="1"/>
  <c r="H50" i="5" l="1"/>
  <c r="I49" i="5"/>
  <c r="L42" i="5"/>
  <c r="L49" i="5" s="1"/>
  <c r="H36" i="4"/>
  <c r="L43" i="4"/>
  <c r="E49" i="4"/>
  <c r="I44" i="4"/>
  <c r="I41" i="4"/>
  <c r="H55" i="4"/>
  <c r="I43" i="4"/>
  <c r="G49" i="4"/>
  <c r="I47" i="4"/>
  <c r="I45" i="4"/>
  <c r="F49" i="4"/>
  <c r="I46" i="4"/>
  <c r="L46" i="4" s="1"/>
  <c r="I42" i="4"/>
  <c r="H49" i="4" l="1"/>
  <c r="L41" i="4"/>
  <c r="L48" i="4" s="1"/>
  <c r="I48" i="4"/>
</calcChain>
</file>

<file path=xl/sharedStrings.xml><?xml version="1.0" encoding="utf-8"?>
<sst xmlns="http://schemas.openxmlformats.org/spreadsheetml/2006/main" count="241" uniqueCount="97">
  <si>
    <t>PO-103052</t>
  </si>
  <si>
    <t>Fosdick &amp; Hilmer</t>
  </si>
  <si>
    <t>PO-103267</t>
  </si>
  <si>
    <t>Dryden &amp; LaRue Inc</t>
  </si>
  <si>
    <t>PO-103349</t>
  </si>
  <si>
    <t>Riddle Consulting, Inc.</t>
  </si>
  <si>
    <t>PO-103730</t>
  </si>
  <si>
    <t>Fullford Electric, Inc.</t>
  </si>
  <si>
    <t>PO-104016</t>
  </si>
  <si>
    <t>North Coast Electric</t>
  </si>
  <si>
    <t>PO-103551</t>
  </si>
  <si>
    <t>Fairbanks Precast &amp; Rebar</t>
  </si>
  <si>
    <t>PO-103507</t>
  </si>
  <si>
    <t>Potelcom Supply</t>
  </si>
  <si>
    <t>PO-103691</t>
  </si>
  <si>
    <t>J101394</t>
  </si>
  <si>
    <t>J101395</t>
  </si>
  <si>
    <t>PO-103576</t>
  </si>
  <si>
    <t>Perma-Pipe</t>
  </si>
  <si>
    <t>PO-103639</t>
  </si>
  <si>
    <t>Maynard Reece</t>
  </si>
  <si>
    <t>PO-103653</t>
  </si>
  <si>
    <t>Badger Meter Inc.</t>
  </si>
  <si>
    <t>PO-103909</t>
  </si>
  <si>
    <t>Tunista Arctic Rim/TBI Const</t>
  </si>
  <si>
    <t>PO-104026</t>
  </si>
  <si>
    <t>Paragon General Construction</t>
  </si>
  <si>
    <t>PO-104343</t>
  </si>
  <si>
    <t>PO-103647</t>
  </si>
  <si>
    <t>Ferguson Enterprise Inc.</t>
  </si>
  <si>
    <t>J101396</t>
  </si>
  <si>
    <t>PO-103490</t>
  </si>
  <si>
    <t>Panel-Fab, Inc.</t>
  </si>
  <si>
    <t>EDS</t>
  </si>
  <si>
    <t>HDS</t>
  </si>
  <si>
    <t>WTD</t>
  </si>
  <si>
    <t>WWC</t>
  </si>
  <si>
    <t>J101397</t>
  </si>
  <si>
    <t>PO-103776</t>
  </si>
  <si>
    <t>Vertex Insulation Inc</t>
  </si>
  <si>
    <t>PO-103701</t>
  </si>
  <si>
    <t>CB Engineering Pacific Inc.</t>
  </si>
  <si>
    <t>PO-103511</t>
  </si>
  <si>
    <t>GE Intelligent Platforms</t>
  </si>
  <si>
    <t>PO-103690</t>
  </si>
  <si>
    <t>Design Engineering Services (electrical)</t>
  </si>
  <si>
    <t>Design Engineering Services (water, sewer, heat)</t>
  </si>
  <si>
    <t>Consulting Engineer Services (electrical)</t>
  </si>
  <si>
    <t>Owner-furnished Materials (steam &amp; condensate pipe)</t>
  </si>
  <si>
    <t>Owner-furnished Materials (electrical)</t>
  </si>
  <si>
    <t>Owner-furnished Materials (steam meter &amp; components)</t>
  </si>
  <si>
    <t>Owner-furnished Materials (steam &amp; water meter components)</t>
  </si>
  <si>
    <t>Prime Construction Contract (water, sewer &amp; heat)</t>
  </si>
  <si>
    <t>Construction Admin. Services (water, sewer &amp; heat)</t>
  </si>
  <si>
    <t>Owner-furnished Materials (water &amp; sewer pipe insulation)</t>
  </si>
  <si>
    <t>Owner-furnished Materials (water, sewer &amp; heat)</t>
  </si>
  <si>
    <t>Owner-furnished Materials (water &amp; sewer)</t>
  </si>
  <si>
    <t>Owner-furnished Materials (water)</t>
  </si>
  <si>
    <t>PO</t>
  </si>
  <si>
    <t>Number</t>
  </si>
  <si>
    <t>Vendor</t>
  </si>
  <si>
    <t>Description</t>
  </si>
  <si>
    <t>Total</t>
  </si>
  <si>
    <t>Non-PO Expenditures</t>
  </si>
  <si>
    <t>DU PM Salary</t>
  </si>
  <si>
    <t>DU Overhead</t>
  </si>
  <si>
    <t>Owner-furnished Materials</t>
  </si>
  <si>
    <t>Travis-Peterson</t>
  </si>
  <si>
    <t>Prime Construction Contract (electrical)</t>
  </si>
  <si>
    <t>Quality Assurance Services (water, sewer &amp; heat)</t>
  </si>
  <si>
    <t>Various</t>
  </si>
  <si>
    <t>Design Engineering/Consulting</t>
  </si>
  <si>
    <t>Environmental Engineering/Consulting</t>
  </si>
  <si>
    <t>Quality Assurance Services</t>
  </si>
  <si>
    <t>Construction Admin. Services</t>
  </si>
  <si>
    <t>PO + Non-PO Expenditures</t>
  </si>
  <si>
    <t>PO Expenditures</t>
  </si>
  <si>
    <t>$ Total</t>
  </si>
  <si>
    <t>%</t>
  </si>
  <si>
    <t>Management</t>
  </si>
  <si>
    <t>Construction</t>
  </si>
  <si>
    <t>Electric</t>
  </si>
  <si>
    <t>Heat</t>
  </si>
  <si>
    <t>Water</t>
  </si>
  <si>
    <t>Wastewater</t>
  </si>
  <si>
    <t>Design</t>
  </si>
  <si>
    <t>CLIN
Amount</t>
  </si>
  <si>
    <t>Cost Overrun:</t>
  </si>
  <si>
    <t>Project Budget Breakdown</t>
  </si>
  <si>
    <t>Construction Contracts</t>
  </si>
  <si>
    <t>DU Hourly Wages</t>
  </si>
  <si>
    <t>DU Project Management (Salary, Wages &amp; Overhead)</t>
  </si>
  <si>
    <t>Prof. Svcs.
During
Construction</t>
  </si>
  <si>
    <r>
      <t xml:space="preserve">Environmental Consulting </t>
    </r>
    <r>
      <rPr>
        <sz val="9"/>
        <rFont val="Arial"/>
        <family val="2"/>
      </rPr>
      <t>(FWA Global Sampling &amp; Analysis Plan)</t>
    </r>
  </si>
  <si>
    <t xml:space="preserve"> FTW 336A Aircraft Storage, New Utility Services  (RFP #FWA-09-021)</t>
  </si>
  <si>
    <t>PO-104562</t>
  </si>
  <si>
    <t>PO-104698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</si>
</sst>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0.0%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color rgb="FF000099"/>
      <name val="Arial"/>
      <family val="2"/>
    </font>
    <font>
      <sz val="10"/>
      <color rgb="FF000099"/>
      <name val="Arial"/>
      <family val="2"/>
    </font>
    <font>
      <b/>
      <sz val="12"/>
      <color rgb="FF000099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double">
        <color rgb="FF000099"/>
      </bottom>
      <diagonal/>
    </border>
    <border>
      <left style="double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double">
        <color rgb="FF000099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double">
        <color rgb="FF000099"/>
      </left>
      <right style="thin">
        <color rgb="FF000099"/>
      </right>
      <top style="thin">
        <color rgb="FF000099"/>
      </top>
      <bottom/>
      <diagonal/>
    </border>
    <border>
      <left style="double">
        <color rgb="FF000099"/>
      </left>
      <right style="thin">
        <color rgb="FF000099"/>
      </right>
      <top/>
      <bottom style="double">
        <color rgb="FF000099"/>
      </bottom>
      <diagonal/>
    </border>
    <border>
      <left style="double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double">
        <color rgb="FF000099"/>
      </top>
      <bottom style="thin">
        <color rgb="FF000099"/>
      </bottom>
      <diagonal/>
    </border>
    <border>
      <left style="thin">
        <color rgb="FF000099"/>
      </left>
      <right/>
      <top style="double">
        <color rgb="FF000099"/>
      </top>
      <bottom style="thin">
        <color rgb="FF000099"/>
      </bottom>
      <diagonal/>
    </border>
    <border>
      <left style="double">
        <color rgb="FF000099"/>
      </left>
      <right style="thin">
        <color rgb="FF000099"/>
      </right>
      <top style="double">
        <color rgb="FF000099"/>
      </top>
      <bottom style="thin">
        <color rgb="FF000099"/>
      </bottom>
      <diagonal/>
    </border>
    <border>
      <left/>
      <right style="thin">
        <color rgb="FF000099"/>
      </right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double">
        <color rgb="FF000099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99"/>
      </left>
      <right style="thin">
        <color rgb="FF000099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8" fontId="0" fillId="0" borderId="0" xfId="0" applyNumberForma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" fillId="0" borderId="10" xfId="0" applyFont="1" applyBorder="1" applyAlignment="1">
      <alignment vertical="center"/>
    </xf>
    <xf numFmtId="8" fontId="0" fillId="0" borderId="10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8" fontId="3" fillId="0" borderId="12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8" fontId="0" fillId="0" borderId="1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8" fontId="3" fillId="0" borderId="2" xfId="0" applyNumberFormat="1" applyFont="1" applyBorder="1" applyAlignment="1">
      <alignment vertical="center"/>
    </xf>
    <xf numFmtId="8" fontId="0" fillId="0" borderId="3" xfId="0" applyNumberForma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8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8" fontId="3" fillId="0" borderId="4" xfId="0" applyNumberFormat="1" applyFont="1" applyBorder="1" applyAlignment="1">
      <alignment vertical="center"/>
    </xf>
    <xf numFmtId="8" fontId="3" fillId="0" borderId="8" xfId="0" applyNumberFormat="1" applyFont="1" applyBorder="1" applyAlignment="1">
      <alignment vertical="center"/>
    </xf>
    <xf numFmtId="8" fontId="3" fillId="0" borderId="9" xfId="0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8" fontId="4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8" fontId="3" fillId="0" borderId="0" xfId="0" applyNumberFormat="1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8" fontId="8" fillId="0" borderId="20" xfId="0" applyNumberFormat="1" applyFont="1" applyBorder="1" applyAlignment="1">
      <alignment vertical="center"/>
    </xf>
    <xf numFmtId="8" fontId="7" fillId="0" borderId="28" xfId="0" applyNumberFormat="1" applyFont="1" applyBorder="1" applyAlignment="1">
      <alignment vertical="center"/>
    </xf>
    <xf numFmtId="164" fontId="8" fillId="0" borderId="20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8" fontId="8" fillId="0" borderId="17" xfId="0" applyNumberFormat="1" applyFont="1" applyBorder="1" applyAlignment="1">
      <alignment vertical="center"/>
    </xf>
    <xf numFmtId="8" fontId="8" fillId="0" borderId="25" xfId="0" applyNumberFormat="1" applyFont="1" applyBorder="1" applyAlignment="1">
      <alignment vertical="center"/>
    </xf>
    <xf numFmtId="8" fontId="7" fillId="0" borderId="22" xfId="0" applyNumberFormat="1" applyFont="1" applyBorder="1" applyAlignment="1">
      <alignment vertical="center"/>
    </xf>
    <xf numFmtId="164" fontId="8" fillId="0" borderId="17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vertical="center"/>
    </xf>
    <xf numFmtId="8" fontId="8" fillId="0" borderId="19" xfId="0" applyNumberFormat="1" applyFont="1" applyBorder="1" applyAlignment="1">
      <alignment vertical="center"/>
    </xf>
    <xf numFmtId="8" fontId="8" fillId="0" borderId="23" xfId="0" applyNumberFormat="1" applyFont="1" applyBorder="1" applyAlignment="1">
      <alignment vertical="center"/>
    </xf>
    <xf numFmtId="8" fontId="7" fillId="0" borderId="26" xfId="0" applyNumberFormat="1" applyFont="1" applyBorder="1" applyAlignment="1">
      <alignment vertical="center"/>
    </xf>
    <xf numFmtId="164" fontId="8" fillId="0" borderId="19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right" vertical="center"/>
    </xf>
    <xf numFmtId="8" fontId="7" fillId="0" borderId="29" xfId="0" applyNumberFormat="1" applyFont="1" applyBorder="1" applyAlignment="1">
      <alignment vertical="center"/>
    </xf>
    <xf numFmtId="8" fontId="7" fillId="0" borderId="30" xfId="0" applyNumberFormat="1" applyFont="1" applyBorder="1" applyAlignment="1">
      <alignment vertical="center"/>
    </xf>
    <xf numFmtId="8" fontId="7" fillId="0" borderId="31" xfId="0" applyNumberFormat="1" applyFont="1" applyBorder="1" applyAlignment="1">
      <alignment vertical="center"/>
    </xf>
    <xf numFmtId="9" fontId="7" fillId="0" borderId="29" xfId="0" applyNumberFormat="1" applyFont="1" applyBorder="1" applyAlignment="1">
      <alignment horizontal="center" vertical="center"/>
    </xf>
    <xf numFmtId="0" fontId="7" fillId="0" borderId="32" xfId="0" applyFont="1" applyFill="1" applyBorder="1" applyAlignment="1">
      <alignment horizontal="right" vertical="center"/>
    </xf>
    <xf numFmtId="9" fontId="7" fillId="0" borderId="22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64" fontId="7" fillId="0" borderId="29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8" fontId="2" fillId="0" borderId="1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8" fontId="3" fillId="0" borderId="5" xfId="0" applyNumberFormat="1" applyFont="1" applyBorder="1" applyAlignment="1">
      <alignment horizontal="center" vertical="center" wrapText="1"/>
    </xf>
    <xf numFmtId="8" fontId="3" fillId="0" borderId="16" xfId="0" applyNumberFormat="1" applyFont="1" applyBorder="1" applyAlignment="1">
      <alignment horizontal="center" vertical="center"/>
    </xf>
    <xf numFmtId="8" fontId="3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34" xfId="0" applyFont="1" applyBorder="1" applyAlignment="1">
      <alignment horizontal="right" vertical="center"/>
    </xf>
    <xf numFmtId="8" fontId="10" fillId="0" borderId="34" xfId="0" applyNumberFormat="1" applyFont="1" applyBorder="1" applyAlignment="1">
      <alignment vertical="center"/>
    </xf>
    <xf numFmtId="164" fontId="8" fillId="0" borderId="35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35" xfId="0" applyBorder="1" applyAlignment="1">
      <alignment vertical="center"/>
    </xf>
    <xf numFmtId="0" fontId="7" fillId="0" borderId="35" xfId="0" applyFont="1" applyBorder="1" applyAlignment="1">
      <alignment horizontal="center" vertical="center"/>
    </xf>
    <xf numFmtId="9" fontId="7" fillId="0" borderId="35" xfId="0" applyNumberFormat="1" applyFont="1" applyBorder="1" applyAlignment="1">
      <alignment horizontal="center" vertical="center"/>
    </xf>
    <xf numFmtId="8" fontId="0" fillId="0" borderId="0" xfId="0" applyNumberFormat="1" applyAlignment="1">
      <alignment horizontal="right" vertical="center"/>
    </xf>
    <xf numFmtId="8" fontId="0" fillId="0" borderId="19" xfId="0" applyNumberFormat="1" applyBorder="1" applyAlignment="1">
      <alignment horizontal="right" vertical="center"/>
    </xf>
    <xf numFmtId="8" fontId="7" fillId="0" borderId="29" xfId="0" applyNumberFormat="1" applyFont="1" applyBorder="1" applyAlignment="1">
      <alignment horizontal="right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8" fontId="7" fillId="0" borderId="21" xfId="0" applyNumberFormat="1" applyFont="1" applyBorder="1" applyAlignment="1">
      <alignment horizontal="center" vertical="center"/>
    </xf>
    <xf numFmtId="8" fontId="7" fillId="0" borderId="20" xfId="0" applyNumberFormat="1" applyFont="1" applyBorder="1" applyAlignment="1">
      <alignment horizontal="right" vertical="center"/>
    </xf>
    <xf numFmtId="8" fontId="7" fillId="0" borderId="19" xfId="0" applyNumberFormat="1" applyFont="1" applyBorder="1" applyAlignment="1">
      <alignment horizontal="right" vertical="center"/>
    </xf>
    <xf numFmtId="8" fontId="7" fillId="0" borderId="19" xfId="0" applyNumberFormat="1" applyFont="1" applyBorder="1" applyAlignment="1">
      <alignment horizontal="right" vertical="center"/>
    </xf>
    <xf numFmtId="8" fontId="7" fillId="0" borderId="35" xfId="0" applyNumberFormat="1" applyFont="1" applyBorder="1" applyAlignment="1">
      <alignment horizontal="right" vertical="center"/>
    </xf>
    <xf numFmtId="8" fontId="7" fillId="0" borderId="20" xfId="0" applyNumberFormat="1" applyFont="1" applyBorder="1" applyAlignment="1">
      <alignment horizontal="right" vertical="center"/>
    </xf>
    <xf numFmtId="8" fontId="7" fillId="0" borderId="21" xfId="0" applyNumberFormat="1" applyFont="1" applyBorder="1" applyAlignment="1">
      <alignment horizontal="right" vertical="center"/>
    </xf>
    <xf numFmtId="164" fontId="7" fillId="0" borderId="19" xfId="0" applyNumberFormat="1" applyFont="1" applyBorder="1" applyAlignment="1">
      <alignment horizontal="center" vertical="center"/>
    </xf>
    <xf numFmtId="10" fontId="7" fillId="0" borderId="19" xfId="0" applyNumberFormat="1" applyFont="1" applyBorder="1" applyAlignment="1">
      <alignment horizontal="center" vertical="center"/>
    </xf>
    <xf numFmtId="10" fontId="7" fillId="0" borderId="35" xfId="0" applyNumberFormat="1" applyFont="1" applyBorder="1" applyAlignment="1">
      <alignment horizontal="center" vertical="center"/>
    </xf>
    <xf numFmtId="10" fontId="7" fillId="0" borderId="2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4"/>
  <sheetViews>
    <sheetView workbookViewId="0">
      <pane ySplit="5" topLeftCell="A33" activePane="bottomLeft" state="frozen"/>
      <selection pane="bottomLeft" activeCell="K21" sqref="K21"/>
    </sheetView>
  </sheetViews>
  <sheetFormatPr defaultRowHeight="13.2" x14ac:dyDescent="0.25"/>
  <cols>
    <col min="1" max="1" width="11.77734375" style="29" customWidth="1"/>
    <col min="2" max="2" width="25.77734375" style="1" customWidth="1"/>
    <col min="3" max="3" width="51.6640625" style="1" customWidth="1"/>
    <col min="4" max="7" width="12.77734375" style="1" customWidth="1"/>
    <col min="8" max="8" width="14" style="1" customWidth="1"/>
    <col min="9" max="9" width="8.88671875" style="1"/>
    <col min="10" max="10" width="2.44140625" style="86" customWidth="1"/>
    <col min="11" max="11" width="13.88671875" style="90" customWidth="1"/>
    <col min="12" max="12" width="7.33203125" style="1" customWidth="1"/>
    <col min="13" max="13" width="12.88671875" style="1" customWidth="1"/>
    <col min="14" max="16384" width="8.88671875" style="1"/>
  </cols>
  <sheetData>
    <row r="1" spans="1:13" ht="17.399999999999999" x14ac:dyDescent="0.25">
      <c r="A1" s="107" t="s">
        <v>94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3" ht="4.95" customHeight="1" x14ac:dyDescent="0.25"/>
    <row r="3" spans="1:13" ht="15.6" x14ac:dyDescent="0.25">
      <c r="A3" s="2" t="s">
        <v>76</v>
      </c>
      <c r="H3" s="3"/>
    </row>
    <row r="4" spans="1:13" x14ac:dyDescent="0.25">
      <c r="A4" s="4" t="s">
        <v>58</v>
      </c>
      <c r="B4" s="5"/>
      <c r="C4" s="5"/>
      <c r="D4" s="4" t="s">
        <v>33</v>
      </c>
      <c r="E4" s="4" t="s">
        <v>34</v>
      </c>
      <c r="F4" s="4" t="s">
        <v>35</v>
      </c>
      <c r="G4" s="6" t="s">
        <v>36</v>
      </c>
      <c r="H4" s="7"/>
    </row>
    <row r="5" spans="1:13" ht="13.8" thickBot="1" x14ac:dyDescent="0.3">
      <c r="A5" s="8" t="s">
        <v>59</v>
      </c>
      <c r="B5" s="9" t="s">
        <v>60</v>
      </c>
      <c r="C5" s="9" t="s">
        <v>61</v>
      </c>
      <c r="D5" s="8" t="s">
        <v>15</v>
      </c>
      <c r="E5" s="8" t="s">
        <v>16</v>
      </c>
      <c r="F5" s="8" t="s">
        <v>30</v>
      </c>
      <c r="G5" s="10" t="s">
        <v>37</v>
      </c>
      <c r="H5" s="11" t="s">
        <v>62</v>
      </c>
    </row>
    <row r="6" spans="1:13" ht="13.8" thickTop="1" x14ac:dyDescent="0.25">
      <c r="A6" s="12" t="s">
        <v>2</v>
      </c>
      <c r="B6" s="13" t="s">
        <v>3</v>
      </c>
      <c r="C6" s="14" t="s">
        <v>45</v>
      </c>
      <c r="D6" s="15">
        <f>16391.95+3608.05</f>
        <v>20000</v>
      </c>
      <c r="E6" s="13"/>
      <c r="F6" s="13"/>
      <c r="G6" s="16"/>
      <c r="H6" s="17">
        <f t="shared" ref="H6:H26" si="0">SUM(D6:G6)</f>
        <v>20000</v>
      </c>
    </row>
    <row r="7" spans="1:13" x14ac:dyDescent="0.25">
      <c r="A7" s="18" t="s">
        <v>4</v>
      </c>
      <c r="B7" s="19" t="s">
        <v>5</v>
      </c>
      <c r="C7" s="20" t="s">
        <v>47</v>
      </c>
      <c r="D7" s="21">
        <v>2049.75</v>
      </c>
      <c r="E7" s="19"/>
      <c r="F7" s="19"/>
      <c r="G7" s="22"/>
      <c r="H7" s="23">
        <f>SUM(D7:G7)</f>
        <v>2049.75</v>
      </c>
    </row>
    <row r="8" spans="1:13" x14ac:dyDescent="0.25">
      <c r="A8" s="18" t="s">
        <v>6</v>
      </c>
      <c r="B8" s="19" t="s">
        <v>7</v>
      </c>
      <c r="C8" s="20" t="s">
        <v>68</v>
      </c>
      <c r="D8" s="21">
        <f>63490+4748.22+1269.9</f>
        <v>69508.12</v>
      </c>
      <c r="E8" s="19"/>
      <c r="F8" s="19"/>
      <c r="G8" s="22"/>
      <c r="H8" s="23">
        <f>SUM(D8:G8)</f>
        <v>69508.12</v>
      </c>
    </row>
    <row r="9" spans="1:13" x14ac:dyDescent="0.25">
      <c r="A9" s="18" t="s">
        <v>8</v>
      </c>
      <c r="B9" s="19" t="s">
        <v>9</v>
      </c>
      <c r="C9" s="20" t="s">
        <v>49</v>
      </c>
      <c r="D9" s="21">
        <v>4232.2700000000004</v>
      </c>
      <c r="E9" s="21"/>
      <c r="F9" s="19"/>
      <c r="G9" s="22"/>
      <c r="H9" s="23">
        <f>SUM(D9:G9)</f>
        <v>4232.2700000000004</v>
      </c>
    </row>
    <row r="10" spans="1:13" x14ac:dyDescent="0.25">
      <c r="A10" s="18" t="s">
        <v>10</v>
      </c>
      <c r="B10" s="19" t="s">
        <v>11</v>
      </c>
      <c r="C10" s="20" t="s">
        <v>49</v>
      </c>
      <c r="D10" s="21">
        <v>1095</v>
      </c>
      <c r="E10" s="19"/>
      <c r="F10" s="19"/>
      <c r="G10" s="22"/>
      <c r="H10" s="23">
        <f>SUM(D10:G10)</f>
        <v>1095</v>
      </c>
    </row>
    <row r="11" spans="1:13" x14ac:dyDescent="0.25">
      <c r="A11" s="18" t="s">
        <v>12</v>
      </c>
      <c r="B11" s="19" t="s">
        <v>13</v>
      </c>
      <c r="C11" s="20" t="s">
        <v>49</v>
      </c>
      <c r="D11" s="21">
        <v>10546</v>
      </c>
      <c r="E11" s="19"/>
      <c r="F11" s="19"/>
      <c r="G11" s="22"/>
      <c r="H11" s="23">
        <f>SUM(D11:G11)</f>
        <v>10546</v>
      </c>
    </row>
    <row r="12" spans="1:13" x14ac:dyDescent="0.25">
      <c r="A12" s="18" t="s">
        <v>14</v>
      </c>
      <c r="B12" s="19" t="s">
        <v>13</v>
      </c>
      <c r="C12" s="20" t="s">
        <v>49</v>
      </c>
      <c r="D12" s="21">
        <v>25317.459999999995</v>
      </c>
      <c r="E12" s="19"/>
      <c r="F12" s="19"/>
      <c r="G12" s="22"/>
      <c r="H12" s="23">
        <f>SUM(D12:G12)</f>
        <v>25317.459999999995</v>
      </c>
    </row>
    <row r="13" spans="1:13" x14ac:dyDescent="0.25">
      <c r="A13" s="108" t="s">
        <v>95</v>
      </c>
      <c r="B13" s="19" t="s">
        <v>13</v>
      </c>
      <c r="C13" s="20" t="s">
        <v>49</v>
      </c>
      <c r="D13" s="21">
        <v>1496.97</v>
      </c>
      <c r="E13" s="19"/>
      <c r="F13" s="19"/>
      <c r="G13" s="22"/>
      <c r="H13" s="23">
        <f>SUM(D13:G13)</f>
        <v>1496.97</v>
      </c>
    </row>
    <row r="14" spans="1:13" x14ac:dyDescent="0.25">
      <c r="A14" s="18" t="s">
        <v>0</v>
      </c>
      <c r="B14" s="19" t="s">
        <v>1</v>
      </c>
      <c r="C14" s="20" t="s">
        <v>46</v>
      </c>
      <c r="D14" s="21"/>
      <c r="E14" s="21">
        <v>12333.34</v>
      </c>
      <c r="F14" s="21">
        <v>12333.33</v>
      </c>
      <c r="G14" s="21">
        <v>12333.33</v>
      </c>
      <c r="H14" s="23">
        <f>SUM(D14:G14)</f>
        <v>37000</v>
      </c>
      <c r="L14" s="3"/>
    </row>
    <row r="15" spans="1:13" x14ac:dyDescent="0.25">
      <c r="A15" s="18" t="s">
        <v>25</v>
      </c>
      <c r="B15" s="19" t="s">
        <v>26</v>
      </c>
      <c r="C15" s="20" t="s">
        <v>69</v>
      </c>
      <c r="D15" s="19"/>
      <c r="E15" s="21">
        <v>2400.42</v>
      </c>
      <c r="F15" s="21">
        <v>1703.1</v>
      </c>
      <c r="G15" s="24">
        <v>1362.51</v>
      </c>
      <c r="H15" s="23">
        <f>SUM(D15:G15)</f>
        <v>5466.0300000000007</v>
      </c>
    </row>
    <row r="16" spans="1:13" x14ac:dyDescent="0.25">
      <c r="A16" s="18" t="s">
        <v>27</v>
      </c>
      <c r="B16" s="19" t="s">
        <v>1</v>
      </c>
      <c r="C16" s="20" t="s">
        <v>53</v>
      </c>
      <c r="D16" s="19"/>
      <c r="E16" s="21">
        <v>8840</v>
      </c>
      <c r="F16" s="21">
        <v>8840</v>
      </c>
      <c r="G16" s="24">
        <v>8840</v>
      </c>
      <c r="H16" s="23">
        <f>SUM(D16:G16)</f>
        <v>26520</v>
      </c>
    </row>
    <row r="17" spans="1:8" x14ac:dyDescent="0.25">
      <c r="A17" s="18" t="s">
        <v>23</v>
      </c>
      <c r="B17" s="19" t="s">
        <v>24</v>
      </c>
      <c r="C17" s="20" t="s">
        <v>52</v>
      </c>
      <c r="D17" s="19"/>
      <c r="E17" s="21">
        <f>362619.8+217639</f>
        <v>580258.80000000005</v>
      </c>
      <c r="F17" s="21">
        <f>53142+133486</f>
        <v>186628</v>
      </c>
      <c r="G17" s="22">
        <v>74651.199999999997</v>
      </c>
      <c r="H17" s="23">
        <f>SUM(D17:G17)</f>
        <v>841538</v>
      </c>
    </row>
    <row r="18" spans="1:8" x14ac:dyDescent="0.25">
      <c r="A18" s="18" t="s">
        <v>17</v>
      </c>
      <c r="B18" s="19" t="s">
        <v>18</v>
      </c>
      <c r="C18" s="20" t="s">
        <v>48</v>
      </c>
      <c r="D18" s="19"/>
      <c r="E18" s="21">
        <v>24425</v>
      </c>
      <c r="F18" s="19"/>
      <c r="G18" s="22"/>
      <c r="H18" s="23">
        <f t="shared" si="0"/>
        <v>24425</v>
      </c>
    </row>
    <row r="19" spans="1:8" x14ac:dyDescent="0.25">
      <c r="A19" s="18" t="s">
        <v>19</v>
      </c>
      <c r="B19" s="19" t="s">
        <v>20</v>
      </c>
      <c r="C19" s="20" t="s">
        <v>50</v>
      </c>
      <c r="D19" s="19"/>
      <c r="E19" s="21">
        <v>5525</v>
      </c>
      <c r="F19" s="19"/>
      <c r="G19" s="22"/>
      <c r="H19" s="23">
        <f t="shared" si="0"/>
        <v>5525</v>
      </c>
    </row>
    <row r="20" spans="1:8" x14ac:dyDescent="0.25">
      <c r="A20" s="18" t="s">
        <v>21</v>
      </c>
      <c r="B20" s="19" t="s">
        <v>22</v>
      </c>
      <c r="C20" s="20" t="s">
        <v>51</v>
      </c>
      <c r="D20" s="19"/>
      <c r="E20" s="21">
        <v>267.27999999999997</v>
      </c>
      <c r="F20" s="21">
        <v>670.04</v>
      </c>
      <c r="G20" s="22"/>
      <c r="H20" s="23">
        <f t="shared" si="0"/>
        <v>937.31999999999994</v>
      </c>
    </row>
    <row r="21" spans="1:8" x14ac:dyDescent="0.25">
      <c r="A21" s="18" t="s">
        <v>28</v>
      </c>
      <c r="B21" s="19" t="s">
        <v>29</v>
      </c>
      <c r="C21" s="25" t="s">
        <v>55</v>
      </c>
      <c r="D21" s="19"/>
      <c r="E21" s="21">
        <v>21821.43</v>
      </c>
      <c r="F21" s="21">
        <v>23722.87</v>
      </c>
      <c r="G21" s="24">
        <v>7707.49</v>
      </c>
      <c r="H21" s="23">
        <f t="shared" si="0"/>
        <v>53251.79</v>
      </c>
    </row>
    <row r="22" spans="1:8" x14ac:dyDescent="0.25">
      <c r="A22" s="18" t="s">
        <v>31</v>
      </c>
      <c r="B22" s="19" t="s">
        <v>32</v>
      </c>
      <c r="C22" s="25" t="s">
        <v>56</v>
      </c>
      <c r="D22" s="19"/>
      <c r="E22" s="19"/>
      <c r="F22" s="21">
        <v>8248</v>
      </c>
      <c r="G22" s="22"/>
      <c r="H22" s="23">
        <f t="shared" si="0"/>
        <v>8248</v>
      </c>
    </row>
    <row r="23" spans="1:8" x14ac:dyDescent="0.25">
      <c r="A23" s="18" t="s">
        <v>38</v>
      </c>
      <c r="B23" s="19" t="s">
        <v>39</v>
      </c>
      <c r="C23" s="25" t="s">
        <v>54</v>
      </c>
      <c r="D23" s="19"/>
      <c r="E23" s="19"/>
      <c r="F23" s="21">
        <v>2384.85</v>
      </c>
      <c r="G23" s="24">
        <v>3581.4</v>
      </c>
      <c r="H23" s="23">
        <f t="shared" si="0"/>
        <v>5966.25</v>
      </c>
    </row>
    <row r="24" spans="1:8" x14ac:dyDescent="0.25">
      <c r="A24" s="18" t="s">
        <v>40</v>
      </c>
      <c r="B24" s="19" t="s">
        <v>41</v>
      </c>
      <c r="C24" s="25" t="s">
        <v>57</v>
      </c>
      <c r="D24" s="19"/>
      <c r="E24" s="19"/>
      <c r="F24" s="21">
        <v>5977.4899999999989</v>
      </c>
      <c r="G24" s="22"/>
      <c r="H24" s="23">
        <f t="shared" si="0"/>
        <v>5977.4899999999989</v>
      </c>
    </row>
    <row r="25" spans="1:8" x14ac:dyDescent="0.25">
      <c r="A25" s="18" t="s">
        <v>42</v>
      </c>
      <c r="B25" s="19" t="s">
        <v>43</v>
      </c>
      <c r="C25" s="20" t="s">
        <v>57</v>
      </c>
      <c r="D25" s="19"/>
      <c r="E25" s="19"/>
      <c r="F25" s="21">
        <v>3231.75</v>
      </c>
      <c r="G25" s="22"/>
      <c r="H25" s="23">
        <f t="shared" si="0"/>
        <v>3231.75</v>
      </c>
    </row>
    <row r="26" spans="1:8" ht="13.8" thickBot="1" x14ac:dyDescent="0.3">
      <c r="A26" s="18" t="s">
        <v>44</v>
      </c>
      <c r="B26" s="19" t="s">
        <v>32</v>
      </c>
      <c r="C26" s="20" t="s">
        <v>57</v>
      </c>
      <c r="D26" s="26"/>
      <c r="E26" s="26"/>
      <c r="F26" s="27">
        <v>919</v>
      </c>
      <c r="G26" s="28"/>
      <c r="H26" s="23">
        <f t="shared" si="0"/>
        <v>919</v>
      </c>
    </row>
    <row r="27" spans="1:8" ht="13.8" thickTop="1" x14ac:dyDescent="0.25">
      <c r="D27" s="30">
        <f>SUM(D6:D18)</f>
        <v>134245.57</v>
      </c>
      <c r="E27" s="30">
        <f>SUM(E6:E21)</f>
        <v>655871.27000000014</v>
      </c>
      <c r="F27" s="30">
        <f>SUM(F6:F26)</f>
        <v>254658.43</v>
      </c>
      <c r="G27" s="31">
        <f>SUM(G6:G26)</f>
        <v>108475.93</v>
      </c>
      <c r="H27" s="32">
        <f>SUM(H6:H26)</f>
        <v>1153251.2000000002</v>
      </c>
    </row>
    <row r="28" spans="1:8" ht="15.6" x14ac:dyDescent="0.25">
      <c r="B28" s="2" t="s">
        <v>63</v>
      </c>
    </row>
    <row r="29" spans="1:8" x14ac:dyDescent="0.25">
      <c r="B29" s="20" t="s">
        <v>67</v>
      </c>
      <c r="C29" s="33" t="s">
        <v>93</v>
      </c>
      <c r="D29" s="21"/>
      <c r="E29" s="21">
        <v>2250</v>
      </c>
      <c r="F29" s="21"/>
      <c r="G29" s="24"/>
      <c r="H29" s="23">
        <f t="shared" ref="H29" si="1">SUM(D29:G29)</f>
        <v>2250</v>
      </c>
    </row>
    <row r="30" spans="1:8" x14ac:dyDescent="0.25">
      <c r="B30" s="25" t="s">
        <v>70</v>
      </c>
      <c r="C30" s="20" t="s">
        <v>66</v>
      </c>
      <c r="D30" s="21">
        <v>2251.13</v>
      </c>
      <c r="E30" s="21">
        <v>641.19000000000005</v>
      </c>
      <c r="F30" s="21">
        <v>442.45</v>
      </c>
      <c r="G30" s="24"/>
      <c r="H30" s="23">
        <f>SUM(D30:G30)</f>
        <v>3334.77</v>
      </c>
    </row>
    <row r="31" spans="1:8" x14ac:dyDescent="0.25">
      <c r="B31" s="34"/>
      <c r="C31" s="20" t="s">
        <v>64</v>
      </c>
      <c r="D31" s="21">
        <v>734.53999999999962</v>
      </c>
      <c r="E31" s="21">
        <v>7574.6999999999944</v>
      </c>
      <c r="F31" s="21">
        <v>2598.5899999999992</v>
      </c>
      <c r="G31" s="24">
        <v>38.659999999999997</v>
      </c>
      <c r="H31" s="23">
        <f>SUM(D31:G31)</f>
        <v>10946.489999999994</v>
      </c>
    </row>
    <row r="32" spans="1:8" x14ac:dyDescent="0.25">
      <c r="B32" s="34"/>
      <c r="C32" s="20" t="s">
        <v>90</v>
      </c>
      <c r="D32" s="21">
        <v>1375</v>
      </c>
      <c r="E32" s="21">
        <v>150</v>
      </c>
      <c r="F32" s="21"/>
      <c r="G32" s="24"/>
      <c r="H32" s="23">
        <f>SUM(D32:G32)</f>
        <v>1525</v>
      </c>
    </row>
    <row r="33" spans="2:13" ht="13.8" thickBot="1" x14ac:dyDescent="0.3">
      <c r="B33" s="34"/>
      <c r="C33" s="20" t="s">
        <v>65</v>
      </c>
      <c r="D33" s="21">
        <v>1719.82</v>
      </c>
      <c r="E33" s="21">
        <v>6163.5500000000011</v>
      </c>
      <c r="F33" s="21">
        <v>1992.3400000000001</v>
      </c>
      <c r="G33" s="24">
        <v>29.64</v>
      </c>
      <c r="H33" s="23">
        <f>SUM(D33:G33)</f>
        <v>9905.35</v>
      </c>
    </row>
    <row r="34" spans="2:13" ht="13.8" thickTop="1" x14ac:dyDescent="0.25">
      <c r="D34" s="30">
        <f>SUM(D29:D33)</f>
        <v>6080.49</v>
      </c>
      <c r="E34" s="30">
        <f>SUM(E29:E33)</f>
        <v>16779.439999999995</v>
      </c>
      <c r="F34" s="30">
        <f>SUM(F29:F33)</f>
        <v>5033.3799999999992</v>
      </c>
      <c r="G34" s="30">
        <f>SUM(G29:G33)</f>
        <v>68.3</v>
      </c>
      <c r="H34" s="32">
        <f>SUM(H29:H33)</f>
        <v>27961.609999999993</v>
      </c>
    </row>
    <row r="35" spans="2:13" ht="13.8" thickBot="1" x14ac:dyDescent="0.3">
      <c r="H35" s="35"/>
    </row>
    <row r="36" spans="2:13" ht="13.8" thickTop="1" x14ac:dyDescent="0.25">
      <c r="C36" s="36" t="s">
        <v>75</v>
      </c>
      <c r="D36" s="30">
        <f>SUM(D27,D34)</f>
        <v>140326.06</v>
      </c>
      <c r="E36" s="30">
        <f>SUM(E27,E34)</f>
        <v>672650.71000000008</v>
      </c>
      <c r="F36" s="30">
        <f>SUM(F27,F34)</f>
        <v>259691.81</v>
      </c>
      <c r="G36" s="31">
        <f>SUM(G27,G34)</f>
        <v>108544.23</v>
      </c>
      <c r="H36" s="32">
        <f>SUM(H27,H34)</f>
        <v>1181212.8100000003</v>
      </c>
    </row>
    <row r="37" spans="2:13" x14ac:dyDescent="0.25">
      <c r="C37" s="37"/>
      <c r="D37" s="38"/>
      <c r="E37" s="38"/>
      <c r="F37" s="38"/>
      <c r="G37" s="38"/>
      <c r="H37" s="38"/>
    </row>
    <row r="38" spans="2:13" ht="15.6" x14ac:dyDescent="0.25">
      <c r="C38" s="82" t="s">
        <v>88</v>
      </c>
      <c r="D38" s="38"/>
      <c r="E38" s="38"/>
      <c r="F38" s="38"/>
      <c r="G38" s="38"/>
      <c r="H38" s="38"/>
    </row>
    <row r="39" spans="2:13" x14ac:dyDescent="0.25">
      <c r="C39" s="39"/>
      <c r="D39" s="40" t="s">
        <v>81</v>
      </c>
      <c r="E39" s="40" t="s">
        <v>82</v>
      </c>
      <c r="F39" s="40" t="s">
        <v>83</v>
      </c>
      <c r="G39" s="41" t="s">
        <v>84</v>
      </c>
      <c r="H39" s="42"/>
      <c r="I39" s="43"/>
      <c r="J39" s="87"/>
      <c r="K39" s="91"/>
      <c r="L39" s="43"/>
    </row>
    <row r="40" spans="2:13" ht="13.8" thickBot="1" x14ac:dyDescent="0.3">
      <c r="C40" s="44" t="s">
        <v>61</v>
      </c>
      <c r="D40" s="45" t="s">
        <v>15</v>
      </c>
      <c r="E40" s="45" t="s">
        <v>16</v>
      </c>
      <c r="F40" s="45" t="s">
        <v>30</v>
      </c>
      <c r="G40" s="46" t="s">
        <v>37</v>
      </c>
      <c r="H40" s="47" t="s">
        <v>77</v>
      </c>
      <c r="I40" s="45" t="s">
        <v>78</v>
      </c>
      <c r="J40" s="88"/>
      <c r="K40" s="96" t="s">
        <v>77</v>
      </c>
      <c r="L40" s="45" t="s">
        <v>78</v>
      </c>
    </row>
    <row r="41" spans="2:13" ht="13.8" thickTop="1" x14ac:dyDescent="0.25">
      <c r="C41" s="48" t="s">
        <v>91</v>
      </c>
      <c r="D41" s="49">
        <v>3829.3599999999997</v>
      </c>
      <c r="E41" s="49">
        <v>13888.249999999996</v>
      </c>
      <c r="F41" s="49">
        <v>4590.9299999999994</v>
      </c>
      <c r="G41" s="49">
        <v>68.3</v>
      </c>
      <c r="H41" s="50">
        <f>SUM(D41:G41)</f>
        <v>22376.839999999997</v>
      </c>
      <c r="I41" s="51">
        <f>H41/H$48</f>
        <v>1.8943953037556371E-2</v>
      </c>
      <c r="J41" s="85"/>
      <c r="K41" s="97">
        <f>H41</f>
        <v>22376.839999999997</v>
      </c>
      <c r="L41" s="71">
        <f>I41</f>
        <v>1.8943953037556371E-2</v>
      </c>
      <c r="M41" s="69" t="s">
        <v>79</v>
      </c>
    </row>
    <row r="42" spans="2:13" ht="13.2" customHeight="1" x14ac:dyDescent="0.25">
      <c r="C42" s="52" t="s">
        <v>71</v>
      </c>
      <c r="D42" s="53">
        <v>22049.749999999996</v>
      </c>
      <c r="E42" s="53">
        <v>12333.34</v>
      </c>
      <c r="F42" s="53">
        <v>12333.33</v>
      </c>
      <c r="G42" s="54">
        <v>12333.33</v>
      </c>
      <c r="H42" s="55">
        <f>SUM(D42:G42)</f>
        <v>59049.75</v>
      </c>
      <c r="I42" s="56">
        <f>H42/H$48</f>
        <v>4.9990780238829274E-2</v>
      </c>
      <c r="J42" s="85"/>
      <c r="K42" s="98">
        <f>H42</f>
        <v>59049.75</v>
      </c>
      <c r="L42" s="103">
        <f>K42/K48</f>
        <v>4.9990780238829274E-2</v>
      </c>
      <c r="M42" s="69" t="s">
        <v>85</v>
      </c>
    </row>
    <row r="43" spans="2:13" x14ac:dyDescent="0.25">
      <c r="C43" s="52" t="s">
        <v>72</v>
      </c>
      <c r="D43" s="52"/>
      <c r="E43" s="53">
        <v>2250</v>
      </c>
      <c r="F43" s="52"/>
      <c r="G43" s="57"/>
      <c r="H43" s="55">
        <f>SUM(D43:G43)</f>
        <v>2250</v>
      </c>
      <c r="I43" s="56">
        <f>H43/H$48</f>
        <v>1.9048218754078698E-3</v>
      </c>
      <c r="J43" s="85"/>
      <c r="K43" s="99">
        <f>SUM(H43:H45)</f>
        <v>34236.03</v>
      </c>
      <c r="L43" s="104">
        <f>K43/K48</f>
        <v>2.8983795053831151E-2</v>
      </c>
      <c r="M43" s="93" t="s">
        <v>92</v>
      </c>
    </row>
    <row r="44" spans="2:13" x14ac:dyDescent="0.25">
      <c r="C44" s="52" t="s">
        <v>73</v>
      </c>
      <c r="D44" s="52"/>
      <c r="E44" s="53">
        <v>2400.42</v>
      </c>
      <c r="F44" s="53">
        <v>1703.1</v>
      </c>
      <c r="G44" s="54">
        <v>1362.51</v>
      </c>
      <c r="H44" s="55">
        <f>SUM(D44:G44)</f>
        <v>5466.0300000000007</v>
      </c>
      <c r="I44" s="56">
        <f>H44/H$48</f>
        <v>4.6274726736158581E-3</v>
      </c>
      <c r="J44" s="85"/>
      <c r="K44" s="100"/>
      <c r="L44" s="105"/>
      <c r="M44" s="94"/>
    </row>
    <row r="45" spans="2:13" x14ac:dyDescent="0.25">
      <c r="C45" s="52" t="s">
        <v>74</v>
      </c>
      <c r="D45" s="52"/>
      <c r="E45" s="53">
        <v>8840</v>
      </c>
      <c r="F45" s="53">
        <v>8840</v>
      </c>
      <c r="G45" s="54">
        <v>8840</v>
      </c>
      <c r="H45" s="55">
        <f>SUM(D45:G45)</f>
        <v>26520</v>
      </c>
      <c r="I45" s="56">
        <f>H45/H$48</f>
        <v>2.2451500504807428E-2</v>
      </c>
      <c r="J45" s="85"/>
      <c r="K45" s="101"/>
      <c r="L45" s="106"/>
      <c r="M45" s="95"/>
    </row>
    <row r="46" spans="2:13" x14ac:dyDescent="0.25">
      <c r="C46" s="52" t="s">
        <v>66</v>
      </c>
      <c r="D46" s="53">
        <v>44938.829999999994</v>
      </c>
      <c r="E46" s="53">
        <v>52679.899999999994</v>
      </c>
      <c r="F46" s="53">
        <v>45596.45</v>
      </c>
      <c r="G46" s="54">
        <v>11288.89</v>
      </c>
      <c r="H46" s="55">
        <f t="shared" ref="H46:H47" si="2">SUM(D46:G46)</f>
        <v>154504.07</v>
      </c>
      <c r="I46" s="56">
        <f>H46/H$48</f>
        <v>0.13080121438913281</v>
      </c>
      <c r="J46" s="85"/>
      <c r="K46" s="99">
        <f>SUM(H46:H47)</f>
        <v>1065550.19</v>
      </c>
      <c r="L46" s="72">
        <f>SUM(I46:I47)</f>
        <v>0.90208147166978314</v>
      </c>
      <c r="M46" s="70" t="s">
        <v>80</v>
      </c>
    </row>
    <row r="47" spans="2:13" ht="13.8" thickBot="1" x14ac:dyDescent="0.3">
      <c r="C47" s="52" t="s">
        <v>89</v>
      </c>
      <c r="D47" s="58">
        <v>69508.12</v>
      </c>
      <c r="E47" s="58">
        <v>580258.80000000005</v>
      </c>
      <c r="F47" s="58">
        <v>186628</v>
      </c>
      <c r="G47" s="59">
        <v>74651.199999999997</v>
      </c>
      <c r="H47" s="60">
        <f t="shared" si="2"/>
        <v>911046.12</v>
      </c>
      <c r="I47" s="61">
        <f>H47/H$48</f>
        <v>0.77128025728065031</v>
      </c>
      <c r="J47" s="85"/>
      <c r="K47" s="102"/>
      <c r="L47" s="73"/>
      <c r="M47" s="70"/>
    </row>
    <row r="48" spans="2:13" ht="13.8" thickTop="1" x14ac:dyDescent="0.25">
      <c r="C48" s="62" t="s">
        <v>77</v>
      </c>
      <c r="D48" s="63">
        <f>SUM(D41:D47)</f>
        <v>140326.06</v>
      </c>
      <c r="E48" s="63">
        <f>SUM(E41:E47)</f>
        <v>672650.71000000008</v>
      </c>
      <c r="F48" s="63">
        <f>SUM(F41:F47)</f>
        <v>259691.81</v>
      </c>
      <c r="G48" s="64">
        <f>SUM(G41:G47)</f>
        <v>108544.23</v>
      </c>
      <c r="H48" s="65">
        <f>SUM(H41:H47)</f>
        <v>1181212.81</v>
      </c>
      <c r="I48" s="66">
        <f>SUM(I41:I47)</f>
        <v>0.99999999999999989</v>
      </c>
      <c r="J48" s="89"/>
      <c r="K48" s="92">
        <f>SUM(K41:K47)</f>
        <v>1181212.81</v>
      </c>
      <c r="L48" s="66">
        <f>SUM(L41:L47)</f>
        <v>1</v>
      </c>
    </row>
    <row r="49" spans="3:8" x14ac:dyDescent="0.25">
      <c r="C49" s="67" t="s">
        <v>78</v>
      </c>
      <c r="D49" s="74">
        <f>D48/$H48</f>
        <v>0.11879828834568767</v>
      </c>
      <c r="E49" s="74">
        <f t="shared" ref="E49:G49" si="3">E48/$H48</f>
        <v>0.56945768307406019</v>
      </c>
      <c r="F49" s="74">
        <f t="shared" si="3"/>
        <v>0.21985184024545076</v>
      </c>
      <c r="G49" s="75">
        <f t="shared" si="3"/>
        <v>9.1892188334801408E-2</v>
      </c>
      <c r="H49" s="68">
        <f>SUM(D49:G49)</f>
        <v>1</v>
      </c>
    </row>
    <row r="51" spans="3:8" x14ac:dyDescent="0.25">
      <c r="D51" s="3"/>
      <c r="E51" s="3"/>
      <c r="F51" s="79" t="s">
        <v>86</v>
      </c>
      <c r="G51" s="76" t="s">
        <v>85</v>
      </c>
      <c r="H51" s="21">
        <v>60000</v>
      </c>
    </row>
    <row r="52" spans="3:8" ht="13.8" thickBot="1" x14ac:dyDescent="0.3">
      <c r="F52" s="80"/>
      <c r="G52" s="77" t="s">
        <v>80</v>
      </c>
      <c r="H52" s="27">
        <v>1110387</v>
      </c>
    </row>
    <row r="53" spans="3:8" ht="13.8" thickTop="1" x14ac:dyDescent="0.25">
      <c r="F53" s="81"/>
      <c r="G53" s="78" t="s">
        <v>62</v>
      </c>
      <c r="H53" s="30">
        <f>SUM(H51:H52)</f>
        <v>1170387</v>
      </c>
    </row>
    <row r="55" spans="3:8" x14ac:dyDescent="0.25">
      <c r="F55" s="83" t="s">
        <v>87</v>
      </c>
      <c r="G55" s="83"/>
      <c r="H55" s="84">
        <f>H48-H53</f>
        <v>10825.810000000056</v>
      </c>
    </row>
    <row r="64" spans="3:8" x14ac:dyDescent="0.25">
      <c r="H64" s="3"/>
    </row>
  </sheetData>
  <mergeCells count="9">
    <mergeCell ref="F51:F53"/>
    <mergeCell ref="F55:G55"/>
    <mergeCell ref="A1:M1"/>
    <mergeCell ref="K43:K45"/>
    <mergeCell ref="L43:L45"/>
    <mergeCell ref="M43:M45"/>
    <mergeCell ref="K46:K47"/>
    <mergeCell ref="L46:L47"/>
    <mergeCell ref="M46:M47"/>
  </mergeCells>
  <printOptions horizontalCentered="1" verticalCentered="1"/>
  <pageMargins left="0.5" right="0.5" top="0.5" bottom="0.5" header="0.5" footer="0.5"/>
  <pageSetup paperSize="5" scale="7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5"/>
  <sheetViews>
    <sheetView tabSelected="1" workbookViewId="0">
      <pane ySplit="5" topLeftCell="A6" activePane="bottomLeft" state="frozen"/>
      <selection pane="bottomLeft" activeCell="K32" sqref="K32"/>
    </sheetView>
  </sheetViews>
  <sheetFormatPr defaultRowHeight="13.2" x14ac:dyDescent="0.25"/>
  <cols>
    <col min="1" max="1" width="11.77734375" style="29" customWidth="1"/>
    <col min="2" max="2" width="25.77734375" style="1" customWidth="1"/>
    <col min="3" max="3" width="51.6640625" style="1" customWidth="1"/>
    <col min="4" max="7" width="12.77734375" style="1" customWidth="1"/>
    <col min="8" max="8" width="14" style="1" customWidth="1"/>
    <col min="9" max="9" width="8.88671875" style="1"/>
    <col min="10" max="10" width="2.44140625" style="86" customWidth="1"/>
    <col min="11" max="11" width="13.88671875" style="90" customWidth="1"/>
    <col min="12" max="12" width="7.33203125" style="1" customWidth="1"/>
    <col min="13" max="13" width="12.88671875" style="1" customWidth="1"/>
    <col min="14" max="16384" width="8.88671875" style="1"/>
  </cols>
  <sheetData>
    <row r="1" spans="1:13" ht="17.399999999999999" x14ac:dyDescent="0.25">
      <c r="A1" s="107" t="s">
        <v>94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3" ht="4.95" customHeight="1" x14ac:dyDescent="0.25"/>
    <row r="3" spans="1:13" ht="15.6" x14ac:dyDescent="0.25">
      <c r="A3" s="2" t="s">
        <v>76</v>
      </c>
      <c r="H3" s="3"/>
    </row>
    <row r="4" spans="1:13" x14ac:dyDescent="0.25">
      <c r="A4" s="4" t="s">
        <v>58</v>
      </c>
      <c r="B4" s="5"/>
      <c r="C4" s="5"/>
      <c r="D4" s="4" t="s">
        <v>33</v>
      </c>
      <c r="E4" s="4" t="s">
        <v>34</v>
      </c>
      <c r="F4" s="4" t="s">
        <v>35</v>
      </c>
      <c r="G4" s="6" t="s">
        <v>36</v>
      </c>
      <c r="H4" s="7"/>
    </row>
    <row r="5" spans="1:13" ht="13.8" thickBot="1" x14ac:dyDescent="0.3">
      <c r="A5" s="8" t="s">
        <v>59</v>
      </c>
      <c r="B5" s="9" t="s">
        <v>60</v>
      </c>
      <c r="C5" s="9" t="s">
        <v>61</v>
      </c>
      <c r="D5" s="8" t="s">
        <v>15</v>
      </c>
      <c r="E5" s="8" t="s">
        <v>16</v>
      </c>
      <c r="F5" s="8" t="s">
        <v>30</v>
      </c>
      <c r="G5" s="10" t="s">
        <v>37</v>
      </c>
      <c r="H5" s="11" t="s">
        <v>62</v>
      </c>
    </row>
    <row r="6" spans="1:13" ht="13.8" thickTop="1" x14ac:dyDescent="0.25">
      <c r="A6" s="12" t="s">
        <v>2</v>
      </c>
      <c r="B6" s="13" t="s">
        <v>3</v>
      </c>
      <c r="C6" s="14" t="s">
        <v>45</v>
      </c>
      <c r="D6" s="15">
        <f>16391.95+3608.05-2382.22</f>
        <v>17617.78</v>
      </c>
      <c r="E6" s="13"/>
      <c r="F6" s="13"/>
      <c r="G6" s="16"/>
      <c r="H6" s="17">
        <f t="shared" ref="H6:H27" si="0">SUM(D6:G6)</f>
        <v>17617.78</v>
      </c>
    </row>
    <row r="7" spans="1:13" x14ac:dyDescent="0.25">
      <c r="A7" s="18" t="s">
        <v>4</v>
      </c>
      <c r="B7" s="19" t="s">
        <v>5</v>
      </c>
      <c r="C7" s="20" t="s">
        <v>47</v>
      </c>
      <c r="D7" s="21">
        <v>2049.75</v>
      </c>
      <c r="E7" s="19"/>
      <c r="F7" s="19"/>
      <c r="G7" s="22"/>
      <c r="H7" s="23">
        <f>SUM(D7:G7)</f>
        <v>2049.75</v>
      </c>
    </row>
    <row r="8" spans="1:13" x14ac:dyDescent="0.25">
      <c r="A8" s="108" t="s">
        <v>96</v>
      </c>
      <c r="B8" s="19" t="s">
        <v>5</v>
      </c>
      <c r="C8" s="20" t="s">
        <v>47</v>
      </c>
      <c r="D8" s="21">
        <v>43.75</v>
      </c>
      <c r="E8" s="19"/>
      <c r="F8" s="19"/>
      <c r="G8" s="22"/>
      <c r="H8" s="23">
        <f>SUM(D8:G8)</f>
        <v>43.75</v>
      </c>
    </row>
    <row r="9" spans="1:13" x14ac:dyDescent="0.25">
      <c r="A9" s="18" t="s">
        <v>6</v>
      </c>
      <c r="B9" s="19" t="s">
        <v>7</v>
      </c>
      <c r="C9" s="20" t="s">
        <v>68</v>
      </c>
      <c r="D9" s="21">
        <f>63490+4748.22+1269.9-0.1</f>
        <v>69508.01999999999</v>
      </c>
      <c r="E9" s="19"/>
      <c r="F9" s="19"/>
      <c r="G9" s="22"/>
      <c r="H9" s="23">
        <f>SUM(D9:G9)</f>
        <v>69508.01999999999</v>
      </c>
    </row>
    <row r="10" spans="1:13" x14ac:dyDescent="0.25">
      <c r="A10" s="18" t="s">
        <v>8</v>
      </c>
      <c r="B10" s="19" t="s">
        <v>9</v>
      </c>
      <c r="C10" s="20" t="s">
        <v>49</v>
      </c>
      <c r="D10" s="21">
        <v>4232.2700000000004</v>
      </c>
      <c r="E10" s="21"/>
      <c r="F10" s="19"/>
      <c r="G10" s="22"/>
      <c r="H10" s="23">
        <f>SUM(D10:G10)</f>
        <v>4232.2700000000004</v>
      </c>
    </row>
    <row r="11" spans="1:13" x14ac:dyDescent="0.25">
      <c r="A11" s="18" t="s">
        <v>10</v>
      </c>
      <c r="B11" s="19" t="s">
        <v>11</v>
      </c>
      <c r="C11" s="20" t="s">
        <v>49</v>
      </c>
      <c r="D11" s="21">
        <v>1095</v>
      </c>
      <c r="E11" s="19"/>
      <c r="F11" s="19"/>
      <c r="G11" s="22"/>
      <c r="H11" s="23">
        <f>SUM(D11:G11)</f>
        <v>1095</v>
      </c>
    </row>
    <row r="12" spans="1:13" x14ac:dyDescent="0.25">
      <c r="A12" s="18" t="s">
        <v>12</v>
      </c>
      <c r="B12" s="19" t="s">
        <v>13</v>
      </c>
      <c r="C12" s="20" t="s">
        <v>49</v>
      </c>
      <c r="D12" s="21">
        <v>10546</v>
      </c>
      <c r="E12" s="19"/>
      <c r="F12" s="19"/>
      <c r="G12" s="22"/>
      <c r="H12" s="23">
        <f>SUM(D12:G12)</f>
        <v>10546</v>
      </c>
    </row>
    <row r="13" spans="1:13" x14ac:dyDescent="0.25">
      <c r="A13" s="18" t="s">
        <v>14</v>
      </c>
      <c r="B13" s="19" t="s">
        <v>13</v>
      </c>
      <c r="C13" s="20" t="s">
        <v>49</v>
      </c>
      <c r="D13" s="21">
        <v>25317.459999999995</v>
      </c>
      <c r="E13" s="19"/>
      <c r="F13" s="19"/>
      <c r="G13" s="22"/>
      <c r="H13" s="23">
        <f>SUM(D13:G13)</f>
        <v>25317.459999999995</v>
      </c>
    </row>
    <row r="14" spans="1:13" x14ac:dyDescent="0.25">
      <c r="A14" s="108" t="s">
        <v>95</v>
      </c>
      <c r="B14" s="19" t="s">
        <v>13</v>
      </c>
      <c r="C14" s="20" t="s">
        <v>49</v>
      </c>
      <c r="D14" s="21">
        <v>1496.97</v>
      </c>
      <c r="E14" s="19"/>
      <c r="F14" s="19"/>
      <c r="G14" s="22"/>
      <c r="H14" s="23">
        <f>SUM(D14:G14)</f>
        <v>1496.97</v>
      </c>
    </row>
    <row r="15" spans="1:13" x14ac:dyDescent="0.25">
      <c r="A15" s="18" t="s">
        <v>0</v>
      </c>
      <c r="B15" s="19" t="s">
        <v>1</v>
      </c>
      <c r="C15" s="20" t="s">
        <v>46</v>
      </c>
      <c r="D15" s="21"/>
      <c r="E15" s="21">
        <v>12333.34</v>
      </c>
      <c r="F15" s="21">
        <v>12333.33</v>
      </c>
      <c r="G15" s="21">
        <v>12333.33</v>
      </c>
      <c r="H15" s="23">
        <f>SUM(D15:G15)</f>
        <v>37000</v>
      </c>
      <c r="L15" s="3"/>
    </row>
    <row r="16" spans="1:13" x14ac:dyDescent="0.25">
      <c r="A16" s="18" t="s">
        <v>25</v>
      </c>
      <c r="B16" s="19" t="s">
        <v>26</v>
      </c>
      <c r="C16" s="20" t="s">
        <v>69</v>
      </c>
      <c r="D16" s="19"/>
      <c r="E16" s="21">
        <v>2400.42</v>
      </c>
      <c r="F16" s="21">
        <v>1703.1</v>
      </c>
      <c r="G16" s="24">
        <v>1362.51</v>
      </c>
      <c r="H16" s="23">
        <f>SUM(D16:G16)</f>
        <v>5466.0300000000007</v>
      </c>
    </row>
    <row r="17" spans="1:8" x14ac:dyDescent="0.25">
      <c r="A17" s="18" t="s">
        <v>27</v>
      </c>
      <c r="B17" s="19" t="s">
        <v>1</v>
      </c>
      <c r="C17" s="20" t="s">
        <v>53</v>
      </c>
      <c r="D17" s="19"/>
      <c r="E17" s="21">
        <v>8840</v>
      </c>
      <c r="F17" s="21">
        <v>8840</v>
      </c>
      <c r="G17" s="24">
        <v>8840</v>
      </c>
      <c r="H17" s="23">
        <f>SUM(D17:G17)</f>
        <v>26520</v>
      </c>
    </row>
    <row r="18" spans="1:8" x14ac:dyDescent="0.25">
      <c r="A18" s="18" t="s">
        <v>23</v>
      </c>
      <c r="B18" s="19" t="s">
        <v>24</v>
      </c>
      <c r="C18" s="20" t="s">
        <v>52</v>
      </c>
      <c r="D18" s="19"/>
      <c r="E18" s="21">
        <f>362619.8+217639</f>
        <v>580258.80000000005</v>
      </c>
      <c r="F18" s="21">
        <f>53142+133486</f>
        <v>186628</v>
      </c>
      <c r="G18" s="22">
        <v>74651.199999999997</v>
      </c>
      <c r="H18" s="23">
        <f>SUM(D18:G18)</f>
        <v>841538</v>
      </c>
    </row>
    <row r="19" spans="1:8" x14ac:dyDescent="0.25">
      <c r="A19" s="18" t="s">
        <v>17</v>
      </c>
      <c r="B19" s="19" t="s">
        <v>18</v>
      </c>
      <c r="C19" s="20" t="s">
        <v>48</v>
      </c>
      <c r="D19" s="19"/>
      <c r="E19" s="21">
        <v>24425</v>
      </c>
      <c r="F19" s="19"/>
      <c r="G19" s="22"/>
      <c r="H19" s="23">
        <f t="shared" si="0"/>
        <v>24425</v>
      </c>
    </row>
    <row r="20" spans="1:8" x14ac:dyDescent="0.25">
      <c r="A20" s="18" t="s">
        <v>19</v>
      </c>
      <c r="B20" s="19" t="s">
        <v>20</v>
      </c>
      <c r="C20" s="20" t="s">
        <v>50</v>
      </c>
      <c r="D20" s="19"/>
      <c r="E20" s="21">
        <v>5525</v>
      </c>
      <c r="F20" s="19"/>
      <c r="G20" s="22"/>
      <c r="H20" s="23">
        <f t="shared" si="0"/>
        <v>5525</v>
      </c>
    </row>
    <row r="21" spans="1:8" x14ac:dyDescent="0.25">
      <c r="A21" s="18" t="s">
        <v>21</v>
      </c>
      <c r="B21" s="19" t="s">
        <v>22</v>
      </c>
      <c r="C21" s="20" t="s">
        <v>51</v>
      </c>
      <c r="D21" s="19"/>
      <c r="E21" s="21">
        <v>267.27999999999997</v>
      </c>
      <c r="F21" s="21"/>
      <c r="G21" s="22"/>
      <c r="H21" s="23">
        <f t="shared" si="0"/>
        <v>267.27999999999997</v>
      </c>
    </row>
    <row r="22" spans="1:8" x14ac:dyDescent="0.25">
      <c r="A22" s="18" t="s">
        <v>28</v>
      </c>
      <c r="B22" s="19" t="s">
        <v>29</v>
      </c>
      <c r="C22" s="25" t="s">
        <v>55</v>
      </c>
      <c r="D22" s="19"/>
      <c r="E22" s="21">
        <v>21821.43</v>
      </c>
      <c r="F22" s="21">
        <v>23722.87</v>
      </c>
      <c r="G22" s="24">
        <v>7707.49</v>
      </c>
      <c r="H22" s="23">
        <f t="shared" si="0"/>
        <v>53251.79</v>
      </c>
    </row>
    <row r="23" spans="1:8" x14ac:dyDescent="0.25">
      <c r="A23" s="18" t="s">
        <v>31</v>
      </c>
      <c r="B23" s="19" t="s">
        <v>32</v>
      </c>
      <c r="C23" s="25" t="s">
        <v>56</v>
      </c>
      <c r="D23" s="19"/>
      <c r="E23" s="19"/>
      <c r="F23" s="21">
        <v>8248</v>
      </c>
      <c r="G23" s="22"/>
      <c r="H23" s="23">
        <f t="shared" si="0"/>
        <v>8248</v>
      </c>
    </row>
    <row r="24" spans="1:8" x14ac:dyDescent="0.25">
      <c r="A24" s="18" t="s">
        <v>38</v>
      </c>
      <c r="B24" s="19" t="s">
        <v>39</v>
      </c>
      <c r="C24" s="25" t="s">
        <v>54</v>
      </c>
      <c r="D24" s="19"/>
      <c r="E24" s="19"/>
      <c r="F24" s="21">
        <v>2384.85</v>
      </c>
      <c r="G24" s="24">
        <v>3581.4</v>
      </c>
      <c r="H24" s="23">
        <f t="shared" si="0"/>
        <v>5966.25</v>
      </c>
    </row>
    <row r="25" spans="1:8" x14ac:dyDescent="0.25">
      <c r="A25" s="18" t="s">
        <v>40</v>
      </c>
      <c r="B25" s="19" t="s">
        <v>41</v>
      </c>
      <c r="C25" s="25" t="s">
        <v>57</v>
      </c>
      <c r="D25" s="19"/>
      <c r="E25" s="19"/>
      <c r="F25" s="21">
        <v>5977.4899999999989</v>
      </c>
      <c r="G25" s="22"/>
      <c r="H25" s="23">
        <f t="shared" si="0"/>
        <v>5977.4899999999989</v>
      </c>
    </row>
    <row r="26" spans="1:8" x14ac:dyDescent="0.25">
      <c r="A26" s="18" t="s">
        <v>42</v>
      </c>
      <c r="B26" s="19" t="s">
        <v>43</v>
      </c>
      <c r="C26" s="20" t="s">
        <v>57</v>
      </c>
      <c r="D26" s="19"/>
      <c r="E26" s="19"/>
      <c r="F26" s="21">
        <v>3231.75</v>
      </c>
      <c r="G26" s="22"/>
      <c r="H26" s="23">
        <f t="shared" si="0"/>
        <v>3231.75</v>
      </c>
    </row>
    <row r="27" spans="1:8" ht="13.8" thickBot="1" x14ac:dyDescent="0.3">
      <c r="A27" s="18" t="s">
        <v>44</v>
      </c>
      <c r="B27" s="19" t="s">
        <v>32</v>
      </c>
      <c r="C27" s="20" t="s">
        <v>57</v>
      </c>
      <c r="D27" s="26"/>
      <c r="E27" s="26"/>
      <c r="F27" s="27">
        <v>919</v>
      </c>
      <c r="G27" s="28"/>
      <c r="H27" s="23">
        <f t="shared" si="0"/>
        <v>919</v>
      </c>
    </row>
    <row r="28" spans="1:8" ht="13.8" thickTop="1" x14ac:dyDescent="0.25">
      <c r="D28" s="30">
        <f>SUM(D6:D27)</f>
        <v>131906.99999999997</v>
      </c>
      <c r="E28" s="30">
        <f t="shared" ref="E28:G28" si="1">SUM(E6:E27)</f>
        <v>655871.27000000014</v>
      </c>
      <c r="F28" s="30">
        <f t="shared" si="1"/>
        <v>253988.38999999998</v>
      </c>
      <c r="G28" s="30">
        <f t="shared" si="1"/>
        <v>108475.93</v>
      </c>
      <c r="H28" s="32">
        <f>SUM(H6:H27)</f>
        <v>1150242.5900000001</v>
      </c>
    </row>
    <row r="29" spans="1:8" ht="15.6" x14ac:dyDescent="0.25">
      <c r="B29" s="2" t="s">
        <v>63</v>
      </c>
    </row>
    <row r="30" spans="1:8" x14ac:dyDescent="0.25">
      <c r="B30" s="20" t="s">
        <v>67</v>
      </c>
      <c r="C30" s="33" t="s">
        <v>93</v>
      </c>
      <c r="D30" s="21"/>
      <c r="E30" s="21">
        <v>2250</v>
      </c>
      <c r="F30" s="21"/>
      <c r="G30" s="24"/>
      <c r="H30" s="23">
        <f t="shared" ref="H30" si="2">SUM(D30:G30)</f>
        <v>2250</v>
      </c>
    </row>
    <row r="31" spans="1:8" x14ac:dyDescent="0.25">
      <c r="B31" s="25" t="s">
        <v>70</v>
      </c>
      <c r="C31" s="20" t="s">
        <v>66</v>
      </c>
      <c r="D31" s="21">
        <v>2251.13</v>
      </c>
      <c r="E31" s="21">
        <v>641.19000000000005</v>
      </c>
      <c r="F31" s="21">
        <f>442.45</f>
        <v>442.45</v>
      </c>
      <c r="G31" s="24"/>
      <c r="H31" s="23">
        <f>SUM(D31:G31)</f>
        <v>3334.77</v>
      </c>
    </row>
    <row r="32" spans="1:8" x14ac:dyDescent="0.25">
      <c r="B32" s="34"/>
      <c r="C32" s="20" t="s">
        <v>64</v>
      </c>
      <c r="D32" s="21">
        <v>734.53999999999962</v>
      </c>
      <c r="E32" s="21">
        <v>7574.6999999999944</v>
      </c>
      <c r="F32" s="21">
        <v>2598.5899999999992</v>
      </c>
      <c r="G32" s="24">
        <v>38.659999999999997</v>
      </c>
      <c r="H32" s="23">
        <f>SUM(D32:G32)</f>
        <v>10946.489999999994</v>
      </c>
    </row>
    <row r="33" spans="2:13" x14ac:dyDescent="0.25">
      <c r="B33" s="34"/>
      <c r="C33" s="20" t="s">
        <v>90</v>
      </c>
      <c r="D33" s="21">
        <v>1375</v>
      </c>
      <c r="E33" s="21">
        <v>150</v>
      </c>
      <c r="F33" s="21"/>
      <c r="G33" s="24"/>
      <c r="H33" s="23">
        <f>SUM(D33:G33)</f>
        <v>1525</v>
      </c>
    </row>
    <row r="34" spans="2:13" ht="13.8" thickBot="1" x14ac:dyDescent="0.3">
      <c r="B34" s="34"/>
      <c r="C34" s="20" t="s">
        <v>65</v>
      </c>
      <c r="D34" s="21">
        <v>1719.82</v>
      </c>
      <c r="E34" s="21">
        <v>6163.5500000000011</v>
      </c>
      <c r="F34" s="21">
        <v>1992.3400000000001</v>
      </c>
      <c r="G34" s="24">
        <v>29.64</v>
      </c>
      <c r="H34" s="23">
        <f>SUM(D34:G34)</f>
        <v>9905.35</v>
      </c>
    </row>
    <row r="35" spans="2:13" ht="13.8" thickTop="1" x14ac:dyDescent="0.25">
      <c r="D35" s="30">
        <f>SUM(D30:D34)</f>
        <v>6080.49</v>
      </c>
      <c r="E35" s="30">
        <f t="shared" ref="E35:G35" si="3">SUM(E30:E34)</f>
        <v>16779.439999999995</v>
      </c>
      <c r="F35" s="30">
        <f t="shared" si="3"/>
        <v>5033.3799999999992</v>
      </c>
      <c r="G35" s="30">
        <f t="shared" si="3"/>
        <v>68.3</v>
      </c>
      <c r="H35" s="32">
        <f>SUM(H30:H34)</f>
        <v>27961.609999999993</v>
      </c>
    </row>
    <row r="36" spans="2:13" ht="13.8" thickBot="1" x14ac:dyDescent="0.3">
      <c r="H36" s="35"/>
    </row>
    <row r="37" spans="2:13" ht="13.8" thickTop="1" x14ac:dyDescent="0.25">
      <c r="C37" s="36" t="s">
        <v>75</v>
      </c>
      <c r="D37" s="30">
        <f>SUM(D28,D35)</f>
        <v>137987.48999999996</v>
      </c>
      <c r="E37" s="30">
        <f>SUM(E28,E35)</f>
        <v>672650.71000000008</v>
      </c>
      <c r="F37" s="30">
        <f>SUM(F28,F35)</f>
        <v>259021.77</v>
      </c>
      <c r="G37" s="31">
        <f>SUM(G28,G35)</f>
        <v>108544.23</v>
      </c>
      <c r="H37" s="32">
        <f>SUM(H28,H35)</f>
        <v>1178204.2000000002</v>
      </c>
    </row>
    <row r="38" spans="2:13" x14ac:dyDescent="0.25">
      <c r="C38" s="37"/>
      <c r="D38" s="38"/>
      <c r="E38" s="38"/>
      <c r="F38" s="38"/>
      <c r="G38" s="38"/>
      <c r="H38" s="38"/>
    </row>
    <row r="39" spans="2:13" ht="15.6" x14ac:dyDescent="0.25">
      <c r="C39" s="82" t="s">
        <v>88</v>
      </c>
      <c r="D39" s="38"/>
      <c r="E39" s="38"/>
      <c r="F39" s="38"/>
      <c r="G39" s="38"/>
      <c r="H39" s="38"/>
    </row>
    <row r="40" spans="2:13" x14ac:dyDescent="0.25">
      <c r="C40" s="39"/>
      <c r="D40" s="40" t="s">
        <v>81</v>
      </c>
      <c r="E40" s="40" t="s">
        <v>82</v>
      </c>
      <c r="F40" s="40" t="s">
        <v>83</v>
      </c>
      <c r="G40" s="41" t="s">
        <v>84</v>
      </c>
      <c r="H40" s="42"/>
      <c r="I40" s="43"/>
      <c r="J40" s="87"/>
      <c r="K40" s="91"/>
      <c r="L40" s="43"/>
    </row>
    <row r="41" spans="2:13" ht="13.8" thickBot="1" x14ac:dyDescent="0.3">
      <c r="C41" s="44" t="s">
        <v>61</v>
      </c>
      <c r="D41" s="45" t="s">
        <v>15</v>
      </c>
      <c r="E41" s="45" t="s">
        <v>16</v>
      </c>
      <c r="F41" s="45" t="s">
        <v>30</v>
      </c>
      <c r="G41" s="46" t="s">
        <v>37</v>
      </c>
      <c r="H41" s="47" t="s">
        <v>77</v>
      </c>
      <c r="I41" s="45" t="s">
        <v>78</v>
      </c>
      <c r="J41" s="88"/>
      <c r="K41" s="96" t="s">
        <v>77</v>
      </c>
      <c r="L41" s="45" t="s">
        <v>78</v>
      </c>
    </row>
    <row r="42" spans="2:13" ht="13.8" thickTop="1" x14ac:dyDescent="0.25">
      <c r="C42" s="48" t="s">
        <v>91</v>
      </c>
      <c r="D42" s="49">
        <v>3829.3599999999997</v>
      </c>
      <c r="E42" s="49">
        <v>13888.249999999996</v>
      </c>
      <c r="F42" s="49">
        <v>4590.9299999999994</v>
      </c>
      <c r="G42" s="49">
        <v>68.3</v>
      </c>
      <c r="H42" s="50">
        <f>SUM(D42:G42)</f>
        <v>22376.839999999997</v>
      </c>
      <c r="I42" s="51">
        <f>H42/H$49</f>
        <v>1.8992327476001186E-2</v>
      </c>
      <c r="J42" s="85"/>
      <c r="K42" s="97">
        <f>H42</f>
        <v>22376.839999999997</v>
      </c>
      <c r="L42" s="71">
        <f>I42</f>
        <v>1.8992327476001186E-2</v>
      </c>
      <c r="M42" s="69" t="s">
        <v>79</v>
      </c>
    </row>
    <row r="43" spans="2:13" ht="13.2" customHeight="1" x14ac:dyDescent="0.25">
      <c r="C43" s="52" t="s">
        <v>71</v>
      </c>
      <c r="D43" s="53">
        <f>SUM(D6:D8)</f>
        <v>19711.28</v>
      </c>
      <c r="E43" s="53">
        <v>12333.34</v>
      </c>
      <c r="F43" s="53">
        <v>12333.33</v>
      </c>
      <c r="G43" s="54">
        <v>12333.33</v>
      </c>
      <c r="H43" s="55">
        <f>SUM(D43:G43)</f>
        <v>56711.28</v>
      </c>
      <c r="I43" s="56">
        <f>H43/H$49</f>
        <v>4.8133659683100773E-2</v>
      </c>
      <c r="J43" s="85"/>
      <c r="K43" s="98">
        <f>H43</f>
        <v>56711.28</v>
      </c>
      <c r="L43" s="103">
        <f>K43/K49</f>
        <v>4.8133659683100773E-2</v>
      </c>
      <c r="M43" s="69" t="s">
        <v>85</v>
      </c>
    </row>
    <row r="44" spans="2:13" x14ac:dyDescent="0.25">
      <c r="C44" s="52" t="s">
        <v>72</v>
      </c>
      <c r="D44" s="52"/>
      <c r="E44" s="53">
        <v>2250</v>
      </c>
      <c r="F44" s="52"/>
      <c r="G44" s="57"/>
      <c r="H44" s="55">
        <f>SUM(D44:G44)</f>
        <v>2250</v>
      </c>
      <c r="I44" s="56">
        <f>H44/H$49</f>
        <v>1.9096859440833772E-3</v>
      </c>
      <c r="J44" s="85"/>
      <c r="K44" s="99">
        <f>SUM(H44:H46)</f>
        <v>34236.03</v>
      </c>
      <c r="L44" s="104">
        <f>K44/K49</f>
        <v>2.9057806787651921E-2</v>
      </c>
      <c r="M44" s="93" t="s">
        <v>92</v>
      </c>
    </row>
    <row r="45" spans="2:13" x14ac:dyDescent="0.25">
      <c r="C45" s="52" t="s">
        <v>73</v>
      </c>
      <c r="D45" s="52"/>
      <c r="E45" s="53">
        <v>2400.42</v>
      </c>
      <c r="F45" s="53">
        <v>1703.1</v>
      </c>
      <c r="G45" s="54">
        <v>1362.51</v>
      </c>
      <c r="H45" s="55">
        <f>SUM(D45:G45)</f>
        <v>5466.0300000000007</v>
      </c>
      <c r="I45" s="56">
        <f>H45/H$49</f>
        <v>4.6392891826391395E-3</v>
      </c>
      <c r="J45" s="85"/>
      <c r="K45" s="100"/>
      <c r="L45" s="105"/>
      <c r="M45" s="94"/>
    </row>
    <row r="46" spans="2:13" x14ac:dyDescent="0.25">
      <c r="C46" s="52" t="s">
        <v>74</v>
      </c>
      <c r="D46" s="52"/>
      <c r="E46" s="53">
        <v>8840</v>
      </c>
      <c r="F46" s="53">
        <v>8840</v>
      </c>
      <c r="G46" s="54">
        <v>8840</v>
      </c>
      <c r="H46" s="55">
        <f>SUM(D46:G46)</f>
        <v>26520</v>
      </c>
      <c r="I46" s="56">
        <f>H46/H$49</f>
        <v>2.2508831660929405E-2</v>
      </c>
      <c r="J46" s="85"/>
      <c r="K46" s="101"/>
      <c r="L46" s="106"/>
      <c r="M46" s="95"/>
    </row>
    <row r="47" spans="2:13" x14ac:dyDescent="0.25">
      <c r="C47" s="52" t="s">
        <v>66</v>
      </c>
      <c r="D47" s="53">
        <v>44938.829999999994</v>
      </c>
      <c r="E47" s="53">
        <v>52679.899999999994</v>
      </c>
      <c r="F47" s="53">
        <f>SUM(F31,F22:F27)</f>
        <v>44926.409999999996</v>
      </c>
      <c r="G47" s="54">
        <v>11288.89</v>
      </c>
      <c r="H47" s="55">
        <f t="shared" ref="H47:H48" si="4">SUM(D47:G47)</f>
        <v>153834.02999999997</v>
      </c>
      <c r="I47" s="56">
        <f>H47/H$49</f>
        <v>0.13056652658342244</v>
      </c>
      <c r="J47" s="85"/>
      <c r="K47" s="99">
        <f>SUM(H47:H48)</f>
        <v>1064880.05</v>
      </c>
      <c r="L47" s="72">
        <f>SUM(I47:I48)</f>
        <v>0.9038162060532462</v>
      </c>
      <c r="M47" s="70" t="s">
        <v>80</v>
      </c>
    </row>
    <row r="48" spans="2:13" ht="13.8" thickBot="1" x14ac:dyDescent="0.3">
      <c r="C48" s="52" t="s">
        <v>89</v>
      </c>
      <c r="D48" s="58">
        <v>69508.02</v>
      </c>
      <c r="E48" s="58">
        <v>580258.80000000005</v>
      </c>
      <c r="F48" s="58">
        <v>186628</v>
      </c>
      <c r="G48" s="59">
        <v>74651.199999999997</v>
      </c>
      <c r="H48" s="60">
        <f t="shared" si="4"/>
        <v>911046.02</v>
      </c>
      <c r="I48" s="61">
        <f>H48/H$49</f>
        <v>0.7732496794698237</v>
      </c>
      <c r="J48" s="85"/>
      <c r="K48" s="102"/>
      <c r="L48" s="73"/>
      <c r="M48" s="70"/>
    </row>
    <row r="49" spans="3:12" ht="13.8" thickTop="1" x14ac:dyDescent="0.25">
      <c r="C49" s="62" t="s">
        <v>77</v>
      </c>
      <c r="D49" s="63">
        <f>SUM(D42:D48)</f>
        <v>137987.49</v>
      </c>
      <c r="E49" s="63">
        <f>SUM(E42:E48)</f>
        <v>672650.71000000008</v>
      </c>
      <c r="F49" s="63">
        <f>SUM(F42:F48)</f>
        <v>259021.77</v>
      </c>
      <c r="G49" s="64">
        <f>SUM(G42:G48)</f>
        <v>108544.23</v>
      </c>
      <c r="H49" s="65">
        <f>SUM(H42:H48)</f>
        <v>1178204.2</v>
      </c>
      <c r="I49" s="66">
        <f>SUM(I42:I48)</f>
        <v>1</v>
      </c>
      <c r="J49" s="89"/>
      <c r="K49" s="92">
        <f>SUM(K42:K48)</f>
        <v>1178204.2</v>
      </c>
      <c r="L49" s="66">
        <f>SUM(L42:L48)</f>
        <v>1</v>
      </c>
    </row>
    <row r="50" spans="3:12" x14ac:dyDescent="0.25">
      <c r="C50" s="67" t="s">
        <v>78</v>
      </c>
      <c r="D50" s="74">
        <f>D49/$H49</f>
        <v>0.11711678671659802</v>
      </c>
      <c r="E50" s="74">
        <f t="shared" ref="E50:G50" si="5">E49/$H49</f>
        <v>0.5709118249620907</v>
      </c>
      <c r="F50" s="74">
        <f t="shared" si="5"/>
        <v>0.21984454816915439</v>
      </c>
      <c r="G50" s="75">
        <f t="shared" si="5"/>
        <v>9.2126840152156983E-2</v>
      </c>
      <c r="H50" s="68">
        <f>SUM(D50:G50)</f>
        <v>1</v>
      </c>
    </row>
    <row r="52" spans="3:12" x14ac:dyDescent="0.25">
      <c r="D52" s="3"/>
      <c r="E52" s="3"/>
      <c r="F52" s="79" t="s">
        <v>86</v>
      </c>
      <c r="G52" s="76" t="s">
        <v>85</v>
      </c>
      <c r="H52" s="21">
        <v>60000</v>
      </c>
    </row>
    <row r="53" spans="3:12" ht="13.8" thickBot="1" x14ac:dyDescent="0.3">
      <c r="F53" s="80"/>
      <c r="G53" s="77" t="s">
        <v>80</v>
      </c>
      <c r="H53" s="27">
        <v>1110387</v>
      </c>
    </row>
    <row r="54" spans="3:12" ht="13.8" thickTop="1" x14ac:dyDescent="0.25">
      <c r="F54" s="81"/>
      <c r="G54" s="78" t="s">
        <v>62</v>
      </c>
      <c r="H54" s="30">
        <f>SUM(H52:H53)</f>
        <v>1170387</v>
      </c>
    </row>
    <row r="56" spans="3:12" x14ac:dyDescent="0.25">
      <c r="F56" s="83" t="s">
        <v>87</v>
      </c>
      <c r="G56" s="83"/>
      <c r="H56" s="84">
        <f>H49-H54</f>
        <v>7817.1999999999534</v>
      </c>
    </row>
    <row r="65" spans="8:8" x14ac:dyDescent="0.25">
      <c r="H65" s="3"/>
    </row>
  </sheetData>
  <mergeCells count="9">
    <mergeCell ref="F52:F54"/>
    <mergeCell ref="F56:G56"/>
    <mergeCell ref="A1:M1"/>
    <mergeCell ref="K44:K46"/>
    <mergeCell ref="L44:L46"/>
    <mergeCell ref="M44:M46"/>
    <mergeCell ref="K47:K48"/>
    <mergeCell ref="L47:L48"/>
    <mergeCell ref="M47:M48"/>
  </mergeCells>
  <printOptions horizontalCentered="1" verticalCentered="1"/>
  <pageMargins left="0.5" right="0.5" top="0.5" bottom="0.5" header="0.5" footer="0.5"/>
  <pageSetup paperSize="5" scale="7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JobCostRepot</vt:lpstr>
      <vt:lpstr>Actual</vt:lpstr>
      <vt:lpstr>Sheet3</vt:lpstr>
      <vt:lpstr>Actual!Print_Area</vt:lpstr>
      <vt:lpstr>JobCostRepot!Print_Area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2003-02-07T17:16:26Z</dcterms:created>
  <dcterms:modified xsi:type="dcterms:W3CDTF">2014-04-18T02:20:58Z</dcterms:modified>
</cp:coreProperties>
</file>