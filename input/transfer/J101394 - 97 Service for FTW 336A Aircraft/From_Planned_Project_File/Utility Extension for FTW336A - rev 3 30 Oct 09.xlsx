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30" windowWidth="18735" windowHeight="7875"/>
  </bookViews>
  <sheets>
    <sheet name="FTW336A Lateral (30 Oct 09)" sheetId="5" r:id="rId1"/>
    <sheet name="FTW336A Lat (15 Sep 09) " sheetId="4" r:id="rId2"/>
    <sheet name="FTW336A Lat (14 Sep 09)" sheetId="3" r:id="rId3"/>
    <sheet name="FTW336A Service Lateral" sheetId="2" r:id="rId4"/>
  </sheets>
  <definedNames>
    <definedName name="_xlnm.Print_Area" localSheetId="2">'FTW336A Lat (14 Sep 09)'!$A$1:$AC$171</definedName>
    <definedName name="_xlnm.Print_Area" localSheetId="1">'FTW336A Lat (15 Sep 09) '!$A$1:$AC$171</definedName>
    <definedName name="_xlnm.Print_Area" localSheetId="0">'FTW336A Lateral (30 Oct 09)'!$A$1:$AC$207</definedName>
    <definedName name="_xlnm.Print_Area" localSheetId="3">'FTW336A Service Lateral'!$A$1:$AC$171</definedName>
    <definedName name="_xlnm.Print_Titles" localSheetId="2">'FTW336A Lat (14 Sep 09)'!$1:$4</definedName>
    <definedName name="_xlnm.Print_Titles" localSheetId="1">'FTW336A Lat (15 Sep 09) '!$1:$4</definedName>
    <definedName name="_xlnm.Print_Titles" localSheetId="0">'FTW336A Lateral (30 Oct 09)'!$1:$4</definedName>
    <definedName name="_xlnm.Print_Titles" localSheetId="3">'FTW336A Service Lateral'!$1:$4</definedName>
  </definedNames>
  <calcPr calcId="125725"/>
</workbook>
</file>

<file path=xl/calcChain.xml><?xml version="1.0" encoding="utf-8"?>
<calcChain xmlns="http://schemas.openxmlformats.org/spreadsheetml/2006/main">
  <c r="F163" i="5"/>
  <c r="L163" s="1"/>
  <c r="F164"/>
  <c r="L164" s="1"/>
  <c r="F165"/>
  <c r="L165" s="1"/>
  <c r="F166"/>
  <c r="L166" s="1"/>
  <c r="F167"/>
  <c r="L167" s="1"/>
  <c r="F168"/>
  <c r="L168" s="1"/>
  <c r="F169"/>
  <c r="L169" s="1"/>
  <c r="F170"/>
  <c r="L170" s="1"/>
  <c r="F171"/>
  <c r="L171" s="1"/>
  <c r="F172"/>
  <c r="L172" s="1"/>
  <c r="F173"/>
  <c r="L173" s="1"/>
  <c r="F174"/>
  <c r="L174" s="1"/>
  <c r="F175"/>
  <c r="L175" s="1"/>
  <c r="F176"/>
  <c r="L176" s="1"/>
  <c r="F177"/>
  <c r="L177" s="1"/>
  <c r="F178"/>
  <c r="L178" s="1"/>
  <c r="F179"/>
  <c r="L179" s="1"/>
  <c r="F180"/>
  <c r="L180" s="1"/>
  <c r="F181"/>
  <c r="L181" s="1"/>
  <c r="F182"/>
  <c r="L182" s="1"/>
  <c r="F183"/>
  <c r="L183" s="1"/>
  <c r="F184"/>
  <c r="L184" s="1"/>
  <c r="F185"/>
  <c r="L185" s="1"/>
  <c r="F186"/>
  <c r="L186" s="1"/>
  <c r="F187"/>
  <c r="L187" s="1"/>
  <c r="F188"/>
  <c r="L188" s="1"/>
  <c r="F189"/>
  <c r="L189" s="1"/>
  <c r="F190"/>
  <c r="L190" s="1"/>
  <c r="F191"/>
  <c r="L191" s="1"/>
  <c r="F192"/>
  <c r="L192" s="1"/>
  <c r="F193"/>
  <c r="L193" s="1"/>
  <c r="F194"/>
  <c r="L194" s="1"/>
  <c r="F195"/>
  <c r="L195" s="1"/>
  <c r="F202"/>
  <c r="F203"/>
  <c r="L203" s="1"/>
  <c r="M203" s="1"/>
  <c r="F204"/>
  <c r="F205"/>
  <c r="L204"/>
  <c r="M204" s="1"/>
  <c r="N204" s="1"/>
  <c r="L205"/>
  <c r="M205" s="1"/>
  <c r="F206"/>
  <c r="F201"/>
  <c r="F200"/>
  <c r="F199"/>
  <c r="F198"/>
  <c r="F196"/>
  <c r="F162"/>
  <c r="F161"/>
  <c r="F160"/>
  <c r="F159"/>
  <c r="F158"/>
  <c r="F157"/>
  <c r="F156"/>
  <c r="F155"/>
  <c r="F154"/>
  <c r="F152"/>
  <c r="F151"/>
  <c r="F150"/>
  <c r="F149"/>
  <c r="F148"/>
  <c r="F147"/>
  <c r="F146"/>
  <c r="F145"/>
  <c r="F144"/>
  <c r="F143"/>
  <c r="F142"/>
  <c r="F138"/>
  <c r="F137"/>
  <c r="F136"/>
  <c r="F135"/>
  <c r="F134"/>
  <c r="F133"/>
  <c r="F132"/>
  <c r="F131"/>
  <c r="F130"/>
  <c r="F127"/>
  <c r="F126"/>
  <c r="F125"/>
  <c r="F124"/>
  <c r="F123"/>
  <c r="F120"/>
  <c r="F119"/>
  <c r="L119" s="1"/>
  <c r="F118"/>
  <c r="L118" s="1"/>
  <c r="F117"/>
  <c r="L117" s="1"/>
  <c r="F116"/>
  <c r="L116" s="1"/>
  <c r="F115"/>
  <c r="L115" s="1"/>
  <c r="F114"/>
  <c r="L114" s="1"/>
  <c r="F113"/>
  <c r="L113" s="1"/>
  <c r="F112"/>
  <c r="L112" s="1"/>
  <c r="F111"/>
  <c r="L111" s="1"/>
  <c r="F110"/>
  <c r="L110" s="1"/>
  <c r="F109"/>
  <c r="L109" s="1"/>
  <c r="F108"/>
  <c r="L108" s="1"/>
  <c r="F107"/>
  <c r="L107" s="1"/>
  <c r="F106"/>
  <c r="L106" s="1"/>
  <c r="L105"/>
  <c r="F105"/>
  <c r="L104"/>
  <c r="F104"/>
  <c r="L103"/>
  <c r="F103"/>
  <c r="L102"/>
  <c r="F102"/>
  <c r="L101"/>
  <c r="F101"/>
  <c r="L100"/>
  <c r="F100"/>
  <c r="L99"/>
  <c r="F99"/>
  <c r="L98"/>
  <c r="F98"/>
  <c r="L97"/>
  <c r="F97"/>
  <c r="L96"/>
  <c r="F96"/>
  <c r="L95"/>
  <c r="F95"/>
  <c r="L94"/>
  <c r="F94"/>
  <c r="L93"/>
  <c r="F93"/>
  <c r="L92"/>
  <c r="F92"/>
  <c r="L89"/>
  <c r="F89"/>
  <c r="L88"/>
  <c r="F88"/>
  <c r="L87"/>
  <c r="F87"/>
  <c r="F86"/>
  <c r="L86" s="1"/>
  <c r="F85"/>
  <c r="L85" s="1"/>
  <c r="F84"/>
  <c r="L84" s="1"/>
  <c r="F82"/>
  <c r="L82" s="1"/>
  <c r="F81"/>
  <c r="L81" s="1"/>
  <c r="F80"/>
  <c r="L80" s="1"/>
  <c r="F79"/>
  <c r="L79" s="1"/>
  <c r="F78"/>
  <c r="L78" s="1"/>
  <c r="F77"/>
  <c r="L77" s="1"/>
  <c r="F76"/>
  <c r="L76" s="1"/>
  <c r="F75"/>
  <c r="L75" s="1"/>
  <c r="F74"/>
  <c r="L74" s="1"/>
  <c r="F73"/>
  <c r="L73" s="1"/>
  <c r="F71"/>
  <c r="L71" s="1"/>
  <c r="F70"/>
  <c r="L70" s="1"/>
  <c r="F69"/>
  <c r="L69" s="1"/>
  <c r="F68"/>
  <c r="L68" s="1"/>
  <c r="F67"/>
  <c r="L67" s="1"/>
  <c r="F66"/>
  <c r="L66" s="1"/>
  <c r="F65"/>
  <c r="L65" s="1"/>
  <c r="F64"/>
  <c r="L64" s="1"/>
  <c r="F63"/>
  <c r="L63" s="1"/>
  <c r="F62"/>
  <c r="L62" s="1"/>
  <c r="F61"/>
  <c r="L61" s="1"/>
  <c r="F57"/>
  <c r="L57" s="1"/>
  <c r="F56"/>
  <c r="L56" s="1"/>
  <c r="F55"/>
  <c r="L55" s="1"/>
  <c r="F54"/>
  <c r="L54" s="1"/>
  <c r="F53"/>
  <c r="L53" s="1"/>
  <c r="F52"/>
  <c r="L52" s="1"/>
  <c r="F51"/>
  <c r="L51" s="1"/>
  <c r="L50"/>
  <c r="F50"/>
  <c r="L49"/>
  <c r="F49"/>
  <c r="L47"/>
  <c r="F47"/>
  <c r="L46"/>
  <c r="F46"/>
  <c r="F45"/>
  <c r="L45" s="1"/>
  <c r="F44"/>
  <c r="L44" s="1"/>
  <c r="F41"/>
  <c r="L41" s="1"/>
  <c r="F40"/>
  <c r="L40" s="1"/>
  <c r="F39"/>
  <c r="L39" s="1"/>
  <c r="F38"/>
  <c r="L38" s="1"/>
  <c r="F37"/>
  <c r="L37" s="1"/>
  <c r="F36"/>
  <c r="L36" s="1"/>
  <c r="F35"/>
  <c r="L35" s="1"/>
  <c r="F34"/>
  <c r="L34" s="1"/>
  <c r="F33"/>
  <c r="L33" s="1"/>
  <c r="F32"/>
  <c r="L32" s="1"/>
  <c r="F31"/>
  <c r="L31" s="1"/>
  <c r="F28"/>
  <c r="L28" s="1"/>
  <c r="F27"/>
  <c r="L27" s="1"/>
  <c r="F26"/>
  <c r="L26" s="1"/>
  <c r="F25"/>
  <c r="L25" s="1"/>
  <c r="F24"/>
  <c r="L24" s="1"/>
  <c r="F23"/>
  <c r="L23" s="1"/>
  <c r="F22"/>
  <c r="L22" s="1"/>
  <c r="F21"/>
  <c r="L21" s="1"/>
  <c r="F20"/>
  <c r="L20" s="1"/>
  <c r="F19"/>
  <c r="L19" s="1"/>
  <c r="F18"/>
  <c r="L18" s="1"/>
  <c r="F17"/>
  <c r="L17" s="1"/>
  <c r="F16"/>
  <c r="L16" s="1"/>
  <c r="F15"/>
  <c r="L15" s="1"/>
  <c r="F12"/>
  <c r="L12" s="1"/>
  <c r="F11"/>
  <c r="L11" s="1"/>
  <c r="F9"/>
  <c r="L9" s="1"/>
  <c r="F8"/>
  <c r="L8" s="1"/>
  <c r="F7"/>
  <c r="L170" i="4"/>
  <c r="F170"/>
  <c r="L169"/>
  <c r="F169"/>
  <c r="L168"/>
  <c r="F168"/>
  <c r="L167"/>
  <c r="F167"/>
  <c r="L166"/>
  <c r="F166"/>
  <c r="L165"/>
  <c r="F165"/>
  <c r="L163"/>
  <c r="F163"/>
  <c r="L162"/>
  <c r="F162"/>
  <c r="L161"/>
  <c r="F161"/>
  <c r="L160"/>
  <c r="F160"/>
  <c r="L159"/>
  <c r="F159"/>
  <c r="L158"/>
  <c r="F158"/>
  <c r="L157"/>
  <c r="F157"/>
  <c r="L156"/>
  <c r="F156"/>
  <c r="L155"/>
  <c r="F155"/>
  <c r="L154"/>
  <c r="F154"/>
  <c r="L152"/>
  <c r="F152"/>
  <c r="L151"/>
  <c r="F151"/>
  <c r="L150"/>
  <c r="F150"/>
  <c r="L149"/>
  <c r="F149"/>
  <c r="L148"/>
  <c r="F148"/>
  <c r="L147"/>
  <c r="F147"/>
  <c r="L146"/>
  <c r="F146"/>
  <c r="F145"/>
  <c r="L145" s="1"/>
  <c r="L144"/>
  <c r="F144"/>
  <c r="L143"/>
  <c r="F143"/>
  <c r="L142"/>
  <c r="F142"/>
  <c r="L138"/>
  <c r="F138"/>
  <c r="L137"/>
  <c r="F137"/>
  <c r="L136"/>
  <c r="F136"/>
  <c r="L135"/>
  <c r="F135"/>
  <c r="L134"/>
  <c r="F134"/>
  <c r="L133"/>
  <c r="F133"/>
  <c r="L132"/>
  <c r="F132"/>
  <c r="F131"/>
  <c r="L131" s="1"/>
  <c r="L130"/>
  <c r="F130"/>
  <c r="L127"/>
  <c r="F127"/>
  <c r="L126"/>
  <c r="F126"/>
  <c r="L125"/>
  <c r="F125"/>
  <c r="L124"/>
  <c r="F124"/>
  <c r="L123"/>
  <c r="F123"/>
  <c r="L120"/>
  <c r="F120"/>
  <c r="L119"/>
  <c r="F119"/>
  <c r="F118"/>
  <c r="L118" s="1"/>
  <c r="L117"/>
  <c r="F117"/>
  <c r="L116"/>
  <c r="F116"/>
  <c r="L115"/>
  <c r="F115"/>
  <c r="L114"/>
  <c r="F114"/>
  <c r="F113"/>
  <c r="L113" s="1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L98"/>
  <c r="F98"/>
  <c r="L97"/>
  <c r="F97"/>
  <c r="L96"/>
  <c r="F96"/>
  <c r="L95"/>
  <c r="F95"/>
  <c r="L94"/>
  <c r="F94"/>
  <c r="L93"/>
  <c r="F93"/>
  <c r="L92"/>
  <c r="F92"/>
  <c r="F89"/>
  <c r="L89" s="1"/>
  <c r="L88"/>
  <c r="F88"/>
  <c r="L87"/>
  <c r="F87"/>
  <c r="L86"/>
  <c r="F86"/>
  <c r="L85"/>
  <c r="F85"/>
  <c r="L84"/>
  <c r="F84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F64"/>
  <c r="L64" s="1"/>
  <c r="L63"/>
  <c r="F63"/>
  <c r="L62"/>
  <c r="F62"/>
  <c r="L61"/>
  <c r="F61"/>
  <c r="L57"/>
  <c r="F57"/>
  <c r="L56"/>
  <c r="F56"/>
  <c r="L55"/>
  <c r="F55"/>
  <c r="L54"/>
  <c r="F54"/>
  <c r="L53"/>
  <c r="F53"/>
  <c r="L52"/>
  <c r="F52"/>
  <c r="F51"/>
  <c r="L51" s="1"/>
  <c r="F50"/>
  <c r="L50" s="1"/>
  <c r="L49"/>
  <c r="F49"/>
  <c r="L47"/>
  <c r="F47"/>
  <c r="L46"/>
  <c r="F46"/>
  <c r="L45"/>
  <c r="F45"/>
  <c r="L44"/>
  <c r="F44"/>
  <c r="L41"/>
  <c r="F41"/>
  <c r="L40"/>
  <c r="F40"/>
  <c r="L39"/>
  <c r="F39"/>
  <c r="L38"/>
  <c r="F38"/>
  <c r="L37"/>
  <c r="F37"/>
  <c r="L36"/>
  <c r="F36"/>
  <c r="L35"/>
  <c r="F35"/>
  <c r="L34"/>
  <c r="F34"/>
  <c r="L33"/>
  <c r="F33"/>
  <c r="L32"/>
  <c r="F32"/>
  <c r="L31"/>
  <c r="F31"/>
  <c r="L28"/>
  <c r="F28"/>
  <c r="L27"/>
  <c r="F27"/>
  <c r="L26"/>
  <c r="F26"/>
  <c r="L25"/>
  <c r="F25"/>
  <c r="L24"/>
  <c r="F24"/>
  <c r="L23"/>
  <c r="F23"/>
  <c r="L22"/>
  <c r="F22"/>
  <c r="L21"/>
  <c r="F21"/>
  <c r="L20"/>
  <c r="F20"/>
  <c r="L19"/>
  <c r="F19"/>
  <c r="L18"/>
  <c r="F18"/>
  <c r="L17"/>
  <c r="F17"/>
  <c r="L16"/>
  <c r="F16"/>
  <c r="L15"/>
  <c r="F15"/>
  <c r="L12"/>
  <c r="F12"/>
  <c r="L11"/>
  <c r="F11"/>
  <c r="L9"/>
  <c r="F9"/>
  <c r="L8"/>
  <c r="F8"/>
  <c r="L7"/>
  <c r="F7"/>
  <c r="F171" s="1"/>
  <c r="L170" i="3"/>
  <c r="F170"/>
  <c r="L169"/>
  <c r="F169"/>
  <c r="L168"/>
  <c r="F168"/>
  <c r="F167"/>
  <c r="L167" s="1"/>
  <c r="L166"/>
  <c r="F166"/>
  <c r="L165"/>
  <c r="F165"/>
  <c r="L163"/>
  <c r="F163"/>
  <c r="L162"/>
  <c r="F162"/>
  <c r="L161"/>
  <c r="F161"/>
  <c r="L160"/>
  <c r="F160"/>
  <c r="L159"/>
  <c r="F159"/>
  <c r="L158"/>
  <c r="F158"/>
  <c r="L157"/>
  <c r="F157"/>
  <c r="L156"/>
  <c r="F156"/>
  <c r="L155"/>
  <c r="F155"/>
  <c r="L154"/>
  <c r="F154"/>
  <c r="L152"/>
  <c r="F152"/>
  <c r="L151"/>
  <c r="F151"/>
  <c r="L150"/>
  <c r="F150"/>
  <c r="L149"/>
  <c r="F149"/>
  <c r="L148"/>
  <c r="F148"/>
  <c r="L147"/>
  <c r="F147"/>
  <c r="L146"/>
  <c r="F146"/>
  <c r="F145"/>
  <c r="L145" s="1"/>
  <c r="F144"/>
  <c r="L144" s="1"/>
  <c r="L143"/>
  <c r="F143"/>
  <c r="L142"/>
  <c r="F142"/>
  <c r="L138"/>
  <c r="F138"/>
  <c r="L137"/>
  <c r="F137"/>
  <c r="L136"/>
  <c r="F136"/>
  <c r="L135"/>
  <c r="F135"/>
  <c r="L134"/>
  <c r="F134"/>
  <c r="L133"/>
  <c r="F133"/>
  <c r="L132"/>
  <c r="F132"/>
  <c r="L131"/>
  <c r="F131"/>
  <c r="L130"/>
  <c r="F130"/>
  <c r="L127"/>
  <c r="F127"/>
  <c r="L126"/>
  <c r="F126"/>
  <c r="L125"/>
  <c r="F125"/>
  <c r="L124"/>
  <c r="F124"/>
  <c r="L123"/>
  <c r="F123"/>
  <c r="L120"/>
  <c r="F120"/>
  <c r="L119"/>
  <c r="F119"/>
  <c r="F118"/>
  <c r="L118" s="1"/>
  <c r="L117"/>
  <c r="F117"/>
  <c r="L116"/>
  <c r="F116"/>
  <c r="L115"/>
  <c r="F115"/>
  <c r="L114"/>
  <c r="F114"/>
  <c r="F113"/>
  <c r="L113" s="1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L98"/>
  <c r="F98"/>
  <c r="L97"/>
  <c r="F97"/>
  <c r="L96"/>
  <c r="F96"/>
  <c r="L95"/>
  <c r="F95"/>
  <c r="L94"/>
  <c r="F94"/>
  <c r="L93"/>
  <c r="F93"/>
  <c r="L92"/>
  <c r="F92"/>
  <c r="F89"/>
  <c r="L89" s="1"/>
  <c r="L88"/>
  <c r="F88"/>
  <c r="L87"/>
  <c r="F87"/>
  <c r="L86"/>
  <c r="F86"/>
  <c r="L85"/>
  <c r="F85"/>
  <c r="L84"/>
  <c r="F84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F64"/>
  <c r="L64" s="1"/>
  <c r="L63"/>
  <c r="F63"/>
  <c r="L62"/>
  <c r="F62"/>
  <c r="L61"/>
  <c r="F61"/>
  <c r="L57"/>
  <c r="F57"/>
  <c r="L56"/>
  <c r="F56"/>
  <c r="L55"/>
  <c r="F55"/>
  <c r="L54"/>
  <c r="F54"/>
  <c r="L53"/>
  <c r="F53"/>
  <c r="L52"/>
  <c r="F52"/>
  <c r="L51"/>
  <c r="F51"/>
  <c r="F50"/>
  <c r="L50" s="1"/>
  <c r="L49"/>
  <c r="F49"/>
  <c r="L47"/>
  <c r="F47"/>
  <c r="L46"/>
  <c r="F46"/>
  <c r="L45"/>
  <c r="F45"/>
  <c r="F44"/>
  <c r="L44" s="1"/>
  <c r="L41"/>
  <c r="F41"/>
  <c r="L40"/>
  <c r="F40"/>
  <c r="L39"/>
  <c r="F39"/>
  <c r="L38"/>
  <c r="F38"/>
  <c r="L37"/>
  <c r="F37"/>
  <c r="L36"/>
  <c r="F36"/>
  <c r="L35"/>
  <c r="F35"/>
  <c r="F34"/>
  <c r="L34" s="1"/>
  <c r="L33"/>
  <c r="F33"/>
  <c r="L32"/>
  <c r="F32"/>
  <c r="L31"/>
  <c r="F31"/>
  <c r="L28"/>
  <c r="F28"/>
  <c r="L27"/>
  <c r="F27"/>
  <c r="L26"/>
  <c r="F26"/>
  <c r="L25"/>
  <c r="F25"/>
  <c r="L24"/>
  <c r="F24"/>
  <c r="L23"/>
  <c r="F23"/>
  <c r="L22"/>
  <c r="F22"/>
  <c r="L21"/>
  <c r="F21"/>
  <c r="L20"/>
  <c r="F20"/>
  <c r="L19"/>
  <c r="F19"/>
  <c r="F18"/>
  <c r="L18" s="1"/>
  <c r="L17"/>
  <c r="F17"/>
  <c r="L16"/>
  <c r="F16"/>
  <c r="L15"/>
  <c r="F15"/>
  <c r="L12"/>
  <c r="F12"/>
  <c r="L11"/>
  <c r="F11"/>
  <c r="F9"/>
  <c r="L9" s="1"/>
  <c r="L8"/>
  <c r="F8"/>
  <c r="F7"/>
  <c r="F171" s="1"/>
  <c r="L170" i="2"/>
  <c r="F170"/>
  <c r="L169"/>
  <c r="F169"/>
  <c r="L168"/>
  <c r="F168"/>
  <c r="F167"/>
  <c r="L167" s="1"/>
  <c r="L166"/>
  <c r="F166"/>
  <c r="F165"/>
  <c r="L165" s="1"/>
  <c r="L163"/>
  <c r="F163"/>
  <c r="L162"/>
  <c r="F162"/>
  <c r="L161"/>
  <c r="F161"/>
  <c r="L160"/>
  <c r="F160"/>
  <c r="L159"/>
  <c r="F159"/>
  <c r="L158"/>
  <c r="F158"/>
  <c r="L157"/>
  <c r="F157"/>
  <c r="L156"/>
  <c r="F156"/>
  <c r="L155"/>
  <c r="F155"/>
  <c r="L154"/>
  <c r="F154"/>
  <c r="L152"/>
  <c r="F152"/>
  <c r="L151"/>
  <c r="F151"/>
  <c r="L150"/>
  <c r="F150"/>
  <c r="L149"/>
  <c r="F149"/>
  <c r="L148"/>
  <c r="F148"/>
  <c r="L147"/>
  <c r="F147"/>
  <c r="L146"/>
  <c r="F146"/>
  <c r="L145"/>
  <c r="F145"/>
  <c r="F144"/>
  <c r="L144" s="1"/>
  <c r="L143"/>
  <c r="F143"/>
  <c r="L142"/>
  <c r="F142"/>
  <c r="L138"/>
  <c r="F138"/>
  <c r="L137"/>
  <c r="F137"/>
  <c r="L136"/>
  <c r="F136"/>
  <c r="L135"/>
  <c r="F135"/>
  <c r="L134"/>
  <c r="F134"/>
  <c r="L133"/>
  <c r="F133"/>
  <c r="L132"/>
  <c r="F132"/>
  <c r="L131"/>
  <c r="F131"/>
  <c r="L130"/>
  <c r="F130"/>
  <c r="L127"/>
  <c r="F127"/>
  <c r="L126"/>
  <c r="F126"/>
  <c r="L125"/>
  <c r="F125"/>
  <c r="L124"/>
  <c r="F124"/>
  <c r="L123"/>
  <c r="F123"/>
  <c r="L120"/>
  <c r="F120"/>
  <c r="L119"/>
  <c r="F119"/>
  <c r="F118"/>
  <c r="L118" s="1"/>
  <c r="L117"/>
  <c r="F117"/>
  <c r="L116"/>
  <c r="F116"/>
  <c r="L115"/>
  <c r="F115"/>
  <c r="L114"/>
  <c r="F114"/>
  <c r="L113"/>
  <c r="F113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F98"/>
  <c r="L98" s="1"/>
  <c r="L97"/>
  <c r="F97"/>
  <c r="L96"/>
  <c r="F96"/>
  <c r="L95"/>
  <c r="F95"/>
  <c r="L94"/>
  <c r="F94"/>
  <c r="L93"/>
  <c r="F93"/>
  <c r="L92"/>
  <c r="F92"/>
  <c r="F89"/>
  <c r="L89" s="1"/>
  <c r="L88"/>
  <c r="F88"/>
  <c r="F87"/>
  <c r="L87" s="1"/>
  <c r="F86"/>
  <c r="L86" s="1"/>
  <c r="F85"/>
  <c r="L85" s="1"/>
  <c r="F84"/>
  <c r="L84" s="1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F64"/>
  <c r="L64" s="1"/>
  <c r="F63"/>
  <c r="L63" s="1"/>
  <c r="L62"/>
  <c r="F62"/>
  <c r="L61"/>
  <c r="F61"/>
  <c r="L57"/>
  <c r="F57"/>
  <c r="L56"/>
  <c r="F56"/>
  <c r="L55"/>
  <c r="F55"/>
  <c r="L54"/>
  <c r="F54"/>
  <c r="L53"/>
  <c r="F53"/>
  <c r="F52"/>
  <c r="L52" s="1"/>
  <c r="L51"/>
  <c r="F51"/>
  <c r="L50"/>
  <c r="F50"/>
  <c r="L49"/>
  <c r="F49"/>
  <c r="F47"/>
  <c r="L47" s="1"/>
  <c r="L46"/>
  <c r="F46"/>
  <c r="L45"/>
  <c r="F45"/>
  <c r="F44"/>
  <c r="L44" s="1"/>
  <c r="L41"/>
  <c r="F41"/>
  <c r="L40"/>
  <c r="F40"/>
  <c r="L39"/>
  <c r="F39"/>
  <c r="F38"/>
  <c r="L38" s="1"/>
  <c r="L37"/>
  <c r="F37"/>
  <c r="L36"/>
  <c r="F36"/>
  <c r="L35"/>
  <c r="F35"/>
  <c r="F34"/>
  <c r="L34" s="1"/>
  <c r="L33"/>
  <c r="F33"/>
  <c r="L32"/>
  <c r="F32"/>
  <c r="L31"/>
  <c r="F31"/>
  <c r="L28"/>
  <c r="F28"/>
  <c r="L27"/>
  <c r="F27"/>
  <c r="L26"/>
  <c r="F26"/>
  <c r="F25"/>
  <c r="L25" s="1"/>
  <c r="F24"/>
  <c r="L24" s="1"/>
  <c r="F23"/>
  <c r="L23" s="1"/>
  <c r="L22"/>
  <c r="F22"/>
  <c r="L21"/>
  <c r="F21"/>
  <c r="L20"/>
  <c r="F20"/>
  <c r="F19"/>
  <c r="L19" s="1"/>
  <c r="F18"/>
  <c r="L18" s="1"/>
  <c r="L17"/>
  <c r="F17"/>
  <c r="L16"/>
  <c r="F16"/>
  <c r="L15"/>
  <c r="F15"/>
  <c r="L12"/>
  <c r="F12"/>
  <c r="L11"/>
  <c r="F11"/>
  <c r="F9"/>
  <c r="L9" s="1"/>
  <c r="L8"/>
  <c r="F8"/>
  <c r="F7"/>
  <c r="M173" i="5" l="1"/>
  <c r="M171"/>
  <c r="M169"/>
  <c r="M167"/>
  <c r="M165"/>
  <c r="M163"/>
  <c r="M172"/>
  <c r="M170"/>
  <c r="N170" s="1"/>
  <c r="M168"/>
  <c r="M166"/>
  <c r="N166" s="1"/>
  <c r="M164"/>
  <c r="N173"/>
  <c r="O173" s="1"/>
  <c r="P173" s="1"/>
  <c r="N172"/>
  <c r="O172" s="1"/>
  <c r="P172" s="1"/>
  <c r="N171"/>
  <c r="N169"/>
  <c r="O169" s="1"/>
  <c r="P169" s="1"/>
  <c r="N168"/>
  <c r="O168" s="1"/>
  <c r="P168" s="1"/>
  <c r="N167"/>
  <c r="N165"/>
  <c r="O165" s="1"/>
  <c r="P165" s="1"/>
  <c r="N164"/>
  <c r="O164" s="1"/>
  <c r="P164" s="1"/>
  <c r="N163"/>
  <c r="M195"/>
  <c r="M193"/>
  <c r="N193" s="1"/>
  <c r="M191"/>
  <c r="M189"/>
  <c r="N189" s="1"/>
  <c r="M187"/>
  <c r="M185"/>
  <c r="N185" s="1"/>
  <c r="M183"/>
  <c r="M181"/>
  <c r="N181" s="1"/>
  <c r="M179"/>
  <c r="M177"/>
  <c r="N177" s="1"/>
  <c r="M175"/>
  <c r="M194"/>
  <c r="M192"/>
  <c r="M190"/>
  <c r="M188"/>
  <c r="M186"/>
  <c r="M184"/>
  <c r="M182"/>
  <c r="M180"/>
  <c r="M178"/>
  <c r="M176"/>
  <c r="M174"/>
  <c r="N195"/>
  <c r="O195" s="1"/>
  <c r="P195" s="1"/>
  <c r="N194"/>
  <c r="O194" s="1"/>
  <c r="P194" s="1"/>
  <c r="N192"/>
  <c r="N191"/>
  <c r="O191" s="1"/>
  <c r="P191" s="1"/>
  <c r="N190"/>
  <c r="O190" s="1"/>
  <c r="P190" s="1"/>
  <c r="N188"/>
  <c r="N187"/>
  <c r="O187" s="1"/>
  <c r="P187" s="1"/>
  <c r="N186"/>
  <c r="O186" s="1"/>
  <c r="P186" s="1"/>
  <c r="N184"/>
  <c r="N183"/>
  <c r="O183" s="1"/>
  <c r="P183" s="1"/>
  <c r="N182"/>
  <c r="O182" s="1"/>
  <c r="P182" s="1"/>
  <c r="N180"/>
  <c r="N179"/>
  <c r="O179" s="1"/>
  <c r="P179" s="1"/>
  <c r="N178"/>
  <c r="O178" s="1"/>
  <c r="P178" s="1"/>
  <c r="N176"/>
  <c r="N175"/>
  <c r="O175" s="1"/>
  <c r="P175" s="1"/>
  <c r="N174"/>
  <c r="O174" s="1"/>
  <c r="P174" s="1"/>
  <c r="F207"/>
  <c r="N205"/>
  <c r="O204"/>
  <c r="N203"/>
  <c r="O205"/>
  <c r="L7"/>
  <c r="M7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M45"/>
  <c r="M46"/>
  <c r="M47"/>
  <c r="M49"/>
  <c r="M50"/>
  <c r="M51"/>
  <c r="M52"/>
  <c r="M53"/>
  <c r="M54"/>
  <c r="M55"/>
  <c r="M56"/>
  <c r="M57"/>
  <c r="M61"/>
  <c r="M62"/>
  <c r="M63"/>
  <c r="M64"/>
  <c r="M65"/>
  <c r="M66"/>
  <c r="M67"/>
  <c r="M68"/>
  <c r="M69"/>
  <c r="M70"/>
  <c r="M71"/>
  <c r="N7"/>
  <c r="O7" s="1"/>
  <c r="N8"/>
  <c r="N9"/>
  <c r="N11"/>
  <c r="N12"/>
  <c r="N15"/>
  <c r="N16"/>
  <c r="N17"/>
  <c r="N18"/>
  <c r="N19"/>
  <c r="N20"/>
  <c r="N21"/>
  <c r="N22"/>
  <c r="N23"/>
  <c r="N24"/>
  <c r="N25"/>
  <c r="N26"/>
  <c r="N27"/>
  <c r="N28"/>
  <c r="N31"/>
  <c r="N32"/>
  <c r="N33"/>
  <c r="N34"/>
  <c r="N35"/>
  <c r="N36"/>
  <c r="N37"/>
  <c r="N38"/>
  <c r="N39"/>
  <c r="N40"/>
  <c r="N41"/>
  <c r="N44"/>
  <c r="N45"/>
  <c r="N46"/>
  <c r="N47"/>
  <c r="N49"/>
  <c r="N50"/>
  <c r="N51"/>
  <c r="N52"/>
  <c r="N53"/>
  <c r="N54"/>
  <c r="N55"/>
  <c r="N56"/>
  <c r="N57"/>
  <c r="N61"/>
  <c r="N62"/>
  <c r="N63"/>
  <c r="N64"/>
  <c r="N65"/>
  <c r="N66"/>
  <c r="N67"/>
  <c r="N68"/>
  <c r="N69"/>
  <c r="N70"/>
  <c r="N71"/>
  <c r="M73"/>
  <c r="M74"/>
  <c r="N74" s="1"/>
  <c r="O74"/>
  <c r="M75"/>
  <c r="M76"/>
  <c r="N76" s="1"/>
  <c r="M77"/>
  <c r="M78"/>
  <c r="N78" s="1"/>
  <c r="O78"/>
  <c r="M79"/>
  <c r="M80"/>
  <c r="N80" s="1"/>
  <c r="M81"/>
  <c r="M82"/>
  <c r="N82" s="1"/>
  <c r="O82" s="1"/>
  <c r="M84"/>
  <c r="M85"/>
  <c r="M86"/>
  <c r="M87"/>
  <c r="N87" s="1"/>
  <c r="O87" s="1"/>
  <c r="M88"/>
  <c r="M89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O115" s="1"/>
  <c r="M116"/>
  <c r="M117"/>
  <c r="M118"/>
  <c r="M119"/>
  <c r="O119" s="1"/>
  <c r="L120"/>
  <c r="L123"/>
  <c r="M123" s="1"/>
  <c r="L124"/>
  <c r="L125"/>
  <c r="M125" s="1"/>
  <c r="L126"/>
  <c r="L127"/>
  <c r="M127" s="1"/>
  <c r="N84"/>
  <c r="O84" s="1"/>
  <c r="N85"/>
  <c r="O85" s="1"/>
  <c r="N86"/>
  <c r="O86" s="1"/>
  <c r="N88"/>
  <c r="O88" s="1"/>
  <c r="N89"/>
  <c r="O89" s="1"/>
  <c r="N92"/>
  <c r="O92" s="1"/>
  <c r="N93"/>
  <c r="O93" s="1"/>
  <c r="N94"/>
  <c r="O94" s="1"/>
  <c r="N95"/>
  <c r="O95" s="1"/>
  <c r="N96"/>
  <c r="O96" s="1"/>
  <c r="N97"/>
  <c r="O97" s="1"/>
  <c r="N98"/>
  <c r="O98" s="1"/>
  <c r="N99"/>
  <c r="O99" s="1"/>
  <c r="N100"/>
  <c r="O100" s="1"/>
  <c r="N101"/>
  <c r="O101" s="1"/>
  <c r="N102"/>
  <c r="O102" s="1"/>
  <c r="N103"/>
  <c r="O103" s="1"/>
  <c r="N104"/>
  <c r="O104" s="1"/>
  <c r="N105"/>
  <c r="O105" s="1"/>
  <c r="N106"/>
  <c r="O106" s="1"/>
  <c r="N107"/>
  <c r="O107" s="1"/>
  <c r="N108"/>
  <c r="O108" s="1"/>
  <c r="N109"/>
  <c r="O109" s="1"/>
  <c r="N110"/>
  <c r="O110" s="1"/>
  <c r="N111"/>
  <c r="O111" s="1"/>
  <c r="N112"/>
  <c r="O112" s="1"/>
  <c r="N113"/>
  <c r="O113" s="1"/>
  <c r="N114"/>
  <c r="O114" s="1"/>
  <c r="N115"/>
  <c r="N116"/>
  <c r="O116" s="1"/>
  <c r="N117"/>
  <c r="O117" s="1"/>
  <c r="N118"/>
  <c r="O118" s="1"/>
  <c r="N119"/>
  <c r="L130"/>
  <c r="L131"/>
  <c r="L132"/>
  <c r="L133"/>
  <c r="M133" s="1"/>
  <c r="N133" s="1"/>
  <c r="L134"/>
  <c r="L135"/>
  <c r="L136"/>
  <c r="L137"/>
  <c r="M137" s="1"/>
  <c r="N137" s="1"/>
  <c r="L138"/>
  <c r="L142"/>
  <c r="L143"/>
  <c r="L144"/>
  <c r="M144" s="1"/>
  <c r="L145"/>
  <c r="L146"/>
  <c r="M146" s="1"/>
  <c r="L147"/>
  <c r="L148"/>
  <c r="M148" s="1"/>
  <c r="N148" s="1"/>
  <c r="L149"/>
  <c r="L150"/>
  <c r="M150" s="1"/>
  <c r="L151"/>
  <c r="L152"/>
  <c r="M152" s="1"/>
  <c r="N152" s="1"/>
  <c r="L154"/>
  <c r="L155"/>
  <c r="M155" s="1"/>
  <c r="L156"/>
  <c r="L157"/>
  <c r="M157" s="1"/>
  <c r="N157" s="1"/>
  <c r="L158"/>
  <c r="L159"/>
  <c r="M159" s="1"/>
  <c r="L160"/>
  <c r="L161"/>
  <c r="M161" s="1"/>
  <c r="N161" s="1"/>
  <c r="L162"/>
  <c r="L196"/>
  <c r="M196" s="1"/>
  <c r="L198"/>
  <c r="L199"/>
  <c r="M199" s="1"/>
  <c r="N199" s="1"/>
  <c r="L200"/>
  <c r="L201"/>
  <c r="M201" s="1"/>
  <c r="L202"/>
  <c r="L206"/>
  <c r="M206" s="1"/>
  <c r="N206" s="1"/>
  <c r="O54" i="4"/>
  <c r="M54"/>
  <c r="M7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M45"/>
  <c r="M46"/>
  <c r="M47"/>
  <c r="M49"/>
  <c r="M50"/>
  <c r="M51"/>
  <c r="O51"/>
  <c r="M52"/>
  <c r="M53"/>
  <c r="P53" s="1"/>
  <c r="O53"/>
  <c r="N54"/>
  <c r="P54" s="1"/>
  <c r="N7"/>
  <c r="N8"/>
  <c r="O8" s="1"/>
  <c r="N9"/>
  <c r="N11"/>
  <c r="O11" s="1"/>
  <c r="N12"/>
  <c r="N15"/>
  <c r="O15" s="1"/>
  <c r="N16"/>
  <c r="N17"/>
  <c r="O17" s="1"/>
  <c r="N18"/>
  <c r="N19"/>
  <c r="O19" s="1"/>
  <c r="N20"/>
  <c r="N21"/>
  <c r="O21" s="1"/>
  <c r="N22"/>
  <c r="N23"/>
  <c r="O23" s="1"/>
  <c r="N24"/>
  <c r="N25"/>
  <c r="O25" s="1"/>
  <c r="N26"/>
  <c r="N27"/>
  <c r="O27" s="1"/>
  <c r="N28"/>
  <c r="N31"/>
  <c r="O31" s="1"/>
  <c r="N32"/>
  <c r="N33"/>
  <c r="O33" s="1"/>
  <c r="N34"/>
  <c r="N35"/>
  <c r="O35" s="1"/>
  <c r="N36"/>
  <c r="N37"/>
  <c r="O37" s="1"/>
  <c r="N38"/>
  <c r="N39"/>
  <c r="O39" s="1"/>
  <c r="N40"/>
  <c r="N41"/>
  <c r="O41" s="1"/>
  <c r="N44"/>
  <c r="N45"/>
  <c r="O45" s="1"/>
  <c r="N46"/>
  <c r="N47"/>
  <c r="O47" s="1"/>
  <c r="N49"/>
  <c r="N50"/>
  <c r="O50" s="1"/>
  <c r="N51"/>
  <c r="N52"/>
  <c r="O52" s="1"/>
  <c r="N53"/>
  <c r="M55"/>
  <c r="N55" s="1"/>
  <c r="O55"/>
  <c r="M56"/>
  <c r="M57"/>
  <c r="N57" s="1"/>
  <c r="O57"/>
  <c r="M61"/>
  <c r="M62"/>
  <c r="N62" s="1"/>
  <c r="O62"/>
  <c r="M63"/>
  <c r="M64"/>
  <c r="N64" s="1"/>
  <c r="O64"/>
  <c r="M65"/>
  <c r="M66"/>
  <c r="N66" s="1"/>
  <c r="O66"/>
  <c r="M67"/>
  <c r="M68"/>
  <c r="M69"/>
  <c r="M70"/>
  <c r="M71"/>
  <c r="M73"/>
  <c r="M74"/>
  <c r="M75"/>
  <c r="M76"/>
  <c r="M77"/>
  <c r="M78"/>
  <c r="M79"/>
  <c r="M80"/>
  <c r="M81"/>
  <c r="P81" s="1"/>
  <c r="O81"/>
  <c r="M82"/>
  <c r="M84"/>
  <c r="P84" s="1"/>
  <c r="O84"/>
  <c r="M85"/>
  <c r="M86"/>
  <c r="O86"/>
  <c r="M87"/>
  <c r="M88"/>
  <c r="P88" s="1"/>
  <c r="O88"/>
  <c r="M89"/>
  <c r="M92"/>
  <c r="P92" s="1"/>
  <c r="O92"/>
  <c r="M93"/>
  <c r="M94"/>
  <c r="P94" s="1"/>
  <c r="O94"/>
  <c r="M95"/>
  <c r="M96"/>
  <c r="P96" s="1"/>
  <c r="O96"/>
  <c r="M97"/>
  <c r="M98"/>
  <c r="P98" s="1"/>
  <c r="O98"/>
  <c r="M99"/>
  <c r="M100"/>
  <c r="P100" s="1"/>
  <c r="O100"/>
  <c r="M101"/>
  <c r="M102"/>
  <c r="P102" s="1"/>
  <c r="O102"/>
  <c r="M103"/>
  <c r="M104"/>
  <c r="P104" s="1"/>
  <c r="O104"/>
  <c r="M105"/>
  <c r="M106"/>
  <c r="P106" s="1"/>
  <c r="O106"/>
  <c r="M107"/>
  <c r="M108"/>
  <c r="P108" s="1"/>
  <c r="O108"/>
  <c r="M109"/>
  <c r="M110"/>
  <c r="P110" s="1"/>
  <c r="O110"/>
  <c r="M111"/>
  <c r="N68"/>
  <c r="O68" s="1"/>
  <c r="N69"/>
  <c r="N70"/>
  <c r="O70" s="1"/>
  <c r="N71"/>
  <c r="N73"/>
  <c r="O73" s="1"/>
  <c r="N74"/>
  <c r="N75"/>
  <c r="O75" s="1"/>
  <c r="N76"/>
  <c r="N77"/>
  <c r="O77" s="1"/>
  <c r="N78"/>
  <c r="N79"/>
  <c r="O79" s="1"/>
  <c r="N80"/>
  <c r="N81"/>
  <c r="N82"/>
  <c r="N84"/>
  <c r="N85"/>
  <c r="N86"/>
  <c r="N87"/>
  <c r="N88"/>
  <c r="N89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M112"/>
  <c r="M113"/>
  <c r="N113" s="1"/>
  <c r="M114"/>
  <c r="M115"/>
  <c r="N115" s="1"/>
  <c r="M116"/>
  <c r="P116" s="1"/>
  <c r="O116"/>
  <c r="M117"/>
  <c r="M118"/>
  <c r="N118" s="1"/>
  <c r="M119"/>
  <c r="M120"/>
  <c r="P120" s="1"/>
  <c r="O120"/>
  <c r="M123"/>
  <c r="M124"/>
  <c r="P124" s="1"/>
  <c r="O124"/>
  <c r="M125"/>
  <c r="M126"/>
  <c r="P126" s="1"/>
  <c r="O126"/>
  <c r="M127"/>
  <c r="M130"/>
  <c r="P130" s="1"/>
  <c r="O130"/>
  <c r="M131"/>
  <c r="M132"/>
  <c r="P132" s="1"/>
  <c r="O132"/>
  <c r="M133"/>
  <c r="M134"/>
  <c r="P134" s="1"/>
  <c r="O134"/>
  <c r="M135"/>
  <c r="M136"/>
  <c r="P136" s="1"/>
  <c r="O136"/>
  <c r="M137"/>
  <c r="M138"/>
  <c r="P138" s="1"/>
  <c r="O138"/>
  <c r="M142"/>
  <c r="M143"/>
  <c r="P143" s="1"/>
  <c r="O143"/>
  <c r="M144"/>
  <c r="M145"/>
  <c r="M146"/>
  <c r="M147"/>
  <c r="P147" s="1"/>
  <c r="O147"/>
  <c r="M148"/>
  <c r="M149"/>
  <c r="P149" s="1"/>
  <c r="O149"/>
  <c r="M150"/>
  <c r="M151"/>
  <c r="P151" s="1"/>
  <c r="O151"/>
  <c r="M152"/>
  <c r="M154"/>
  <c r="P154" s="1"/>
  <c r="O154"/>
  <c r="M155"/>
  <c r="M156"/>
  <c r="P156" s="1"/>
  <c r="O156"/>
  <c r="M157"/>
  <c r="M158"/>
  <c r="P158" s="1"/>
  <c r="O158"/>
  <c r="M159"/>
  <c r="M160"/>
  <c r="P160" s="1"/>
  <c r="O160"/>
  <c r="M161"/>
  <c r="M162"/>
  <c r="P162" s="1"/>
  <c r="O162"/>
  <c r="M163"/>
  <c r="M165"/>
  <c r="P165" s="1"/>
  <c r="O165"/>
  <c r="M166"/>
  <c r="M167"/>
  <c r="P167" s="1"/>
  <c r="O167"/>
  <c r="M168"/>
  <c r="M169"/>
  <c r="P169" s="1"/>
  <c r="O169"/>
  <c r="M170"/>
  <c r="N116"/>
  <c r="N117"/>
  <c r="N119"/>
  <c r="N120"/>
  <c r="N123"/>
  <c r="N124"/>
  <c r="N125"/>
  <c r="N126"/>
  <c r="N127"/>
  <c r="N130"/>
  <c r="N131"/>
  <c r="N132"/>
  <c r="N133"/>
  <c r="N134"/>
  <c r="N135"/>
  <c r="N136"/>
  <c r="N137"/>
  <c r="N138"/>
  <c r="N142"/>
  <c r="N143"/>
  <c r="N144"/>
  <c r="N145"/>
  <c r="O145" s="1"/>
  <c r="N146"/>
  <c r="N147"/>
  <c r="N148"/>
  <c r="N149"/>
  <c r="N150"/>
  <c r="N151"/>
  <c r="N152"/>
  <c r="N154"/>
  <c r="N155"/>
  <c r="N156"/>
  <c r="N157"/>
  <c r="N158"/>
  <c r="N159"/>
  <c r="N160"/>
  <c r="N161"/>
  <c r="N162"/>
  <c r="N163"/>
  <c r="N165"/>
  <c r="N166"/>
  <c r="N167"/>
  <c r="N168"/>
  <c r="N169"/>
  <c r="N170"/>
  <c r="L7" i="3"/>
  <c r="M7"/>
  <c r="N7" s="1"/>
  <c r="O7" s="1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M45"/>
  <c r="M46"/>
  <c r="M47"/>
  <c r="M49"/>
  <c r="M50"/>
  <c r="M51"/>
  <c r="M52"/>
  <c r="M53"/>
  <c r="M54"/>
  <c r="M55"/>
  <c r="M56"/>
  <c r="M57"/>
  <c r="M61"/>
  <c r="M62"/>
  <c r="M63"/>
  <c r="M64"/>
  <c r="M65"/>
  <c r="M66"/>
  <c r="M67"/>
  <c r="M68"/>
  <c r="N68" s="1"/>
  <c r="N8"/>
  <c r="N9"/>
  <c r="N11"/>
  <c r="N12"/>
  <c r="N15"/>
  <c r="N16"/>
  <c r="N17"/>
  <c r="N18"/>
  <c r="N19"/>
  <c r="N20"/>
  <c r="N21"/>
  <c r="N22"/>
  <c r="N23"/>
  <c r="N24"/>
  <c r="N25"/>
  <c r="N26"/>
  <c r="N27"/>
  <c r="N28"/>
  <c r="N31"/>
  <c r="N32"/>
  <c r="N33"/>
  <c r="N34"/>
  <c r="N35"/>
  <c r="N36"/>
  <c r="N37"/>
  <c r="N38"/>
  <c r="N39"/>
  <c r="N40"/>
  <c r="N41"/>
  <c r="N44"/>
  <c r="N45"/>
  <c r="N46"/>
  <c r="N47"/>
  <c r="N49"/>
  <c r="N50"/>
  <c r="N51"/>
  <c r="N52"/>
  <c r="N53"/>
  <c r="N54"/>
  <c r="N55"/>
  <c r="N56"/>
  <c r="N57"/>
  <c r="N61"/>
  <c r="N62"/>
  <c r="N63"/>
  <c r="N64"/>
  <c r="N65"/>
  <c r="N66"/>
  <c r="N67"/>
  <c r="M69"/>
  <c r="M70"/>
  <c r="N70" s="1"/>
  <c r="M71"/>
  <c r="M73"/>
  <c r="N73" s="1"/>
  <c r="M74"/>
  <c r="M75"/>
  <c r="N75" s="1"/>
  <c r="M76"/>
  <c r="M77"/>
  <c r="N77" s="1"/>
  <c r="M78"/>
  <c r="M79"/>
  <c r="N79" s="1"/>
  <c r="M80"/>
  <c r="M81"/>
  <c r="M82"/>
  <c r="M84"/>
  <c r="M85"/>
  <c r="M86"/>
  <c r="M87"/>
  <c r="N87" s="1"/>
  <c r="M88"/>
  <c r="M89"/>
  <c r="N89" s="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N80"/>
  <c r="N81"/>
  <c r="N82"/>
  <c r="N84"/>
  <c r="N85"/>
  <c r="N86"/>
  <c r="N88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M112"/>
  <c r="N112" s="1"/>
  <c r="M113"/>
  <c r="M114"/>
  <c r="N114" s="1"/>
  <c r="M115"/>
  <c r="M116"/>
  <c r="M117"/>
  <c r="M118"/>
  <c r="M119"/>
  <c r="M120"/>
  <c r="M123"/>
  <c r="M124"/>
  <c r="M125"/>
  <c r="M126"/>
  <c r="M127"/>
  <c r="M130"/>
  <c r="M131"/>
  <c r="M132"/>
  <c r="M133"/>
  <c r="M134"/>
  <c r="M135"/>
  <c r="M136"/>
  <c r="M137"/>
  <c r="M138"/>
  <c r="M142"/>
  <c r="M143"/>
  <c r="M144"/>
  <c r="M145"/>
  <c r="M146"/>
  <c r="M147"/>
  <c r="M148"/>
  <c r="M149"/>
  <c r="M150"/>
  <c r="M151"/>
  <c r="M152"/>
  <c r="M154"/>
  <c r="M155"/>
  <c r="M156"/>
  <c r="M157"/>
  <c r="M158"/>
  <c r="M159"/>
  <c r="M160"/>
  <c r="M161"/>
  <c r="M162"/>
  <c r="M163"/>
  <c r="M165"/>
  <c r="M166"/>
  <c r="M167"/>
  <c r="M168"/>
  <c r="M169"/>
  <c r="M170"/>
  <c r="F171" i="2"/>
  <c r="L7"/>
  <c r="M7" s="1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N44" s="1"/>
  <c r="M45"/>
  <c r="M46"/>
  <c r="M47"/>
  <c r="M49"/>
  <c r="M50"/>
  <c r="M51"/>
  <c r="M52"/>
  <c r="M53"/>
  <c r="M54"/>
  <c r="M55"/>
  <c r="M56"/>
  <c r="M57"/>
  <c r="M61"/>
  <c r="M62"/>
  <c r="M63"/>
  <c r="M64"/>
  <c r="M65"/>
  <c r="M66"/>
  <c r="M67"/>
  <c r="N8"/>
  <c r="N9"/>
  <c r="N11"/>
  <c r="N12"/>
  <c r="N15"/>
  <c r="N16"/>
  <c r="N17"/>
  <c r="N18"/>
  <c r="N19"/>
  <c r="N20"/>
  <c r="N21"/>
  <c r="N22"/>
  <c r="N23"/>
  <c r="N24"/>
  <c r="N25"/>
  <c r="N26"/>
  <c r="N27"/>
  <c r="N28"/>
  <c r="N31"/>
  <c r="N32"/>
  <c r="N33"/>
  <c r="N34"/>
  <c r="N35"/>
  <c r="N36"/>
  <c r="N37"/>
  <c r="N38"/>
  <c r="N39"/>
  <c r="N40"/>
  <c r="N41"/>
  <c r="N45"/>
  <c r="N46"/>
  <c r="N47"/>
  <c r="N49"/>
  <c r="N50"/>
  <c r="N51"/>
  <c r="N52"/>
  <c r="N53"/>
  <c r="N54"/>
  <c r="N55"/>
  <c r="N56"/>
  <c r="N57"/>
  <c r="N61"/>
  <c r="N62"/>
  <c r="N63"/>
  <c r="N64"/>
  <c r="N65"/>
  <c r="N66"/>
  <c r="N67"/>
  <c r="M68"/>
  <c r="M69"/>
  <c r="N69" s="1"/>
  <c r="O69"/>
  <c r="M70"/>
  <c r="M71"/>
  <c r="N71" s="1"/>
  <c r="O71"/>
  <c r="M73"/>
  <c r="M74"/>
  <c r="N74" s="1"/>
  <c r="O74"/>
  <c r="M75"/>
  <c r="M76"/>
  <c r="N76" s="1"/>
  <c r="O76"/>
  <c r="M77"/>
  <c r="M78"/>
  <c r="N78" s="1"/>
  <c r="O78"/>
  <c r="M79"/>
  <c r="M80"/>
  <c r="M81"/>
  <c r="M82"/>
  <c r="M84"/>
  <c r="M85"/>
  <c r="N85" s="1"/>
  <c r="O85" s="1"/>
  <c r="M86"/>
  <c r="M87"/>
  <c r="M88"/>
  <c r="M89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N80"/>
  <c r="O80" s="1"/>
  <c r="N81"/>
  <c r="O81" s="1"/>
  <c r="N82"/>
  <c r="O82" s="1"/>
  <c r="N84"/>
  <c r="O84" s="1"/>
  <c r="N86"/>
  <c r="O86" s="1"/>
  <c r="N87"/>
  <c r="O87" s="1"/>
  <c r="N88"/>
  <c r="O88" s="1"/>
  <c r="N89"/>
  <c r="O89" s="1"/>
  <c r="N92"/>
  <c r="O92" s="1"/>
  <c r="N93"/>
  <c r="O93" s="1"/>
  <c r="N94"/>
  <c r="O94" s="1"/>
  <c r="N95"/>
  <c r="O95" s="1"/>
  <c r="N96"/>
  <c r="O96" s="1"/>
  <c r="N97"/>
  <c r="O97" s="1"/>
  <c r="N98"/>
  <c r="O98" s="1"/>
  <c r="N99"/>
  <c r="O99" s="1"/>
  <c r="N100"/>
  <c r="O100" s="1"/>
  <c r="N101"/>
  <c r="O101" s="1"/>
  <c r="N102"/>
  <c r="O102" s="1"/>
  <c r="N103"/>
  <c r="O103" s="1"/>
  <c r="N104"/>
  <c r="O104" s="1"/>
  <c r="N105"/>
  <c r="O105" s="1"/>
  <c r="N106"/>
  <c r="O106" s="1"/>
  <c r="N107"/>
  <c r="O107" s="1"/>
  <c r="N108"/>
  <c r="O108" s="1"/>
  <c r="N109"/>
  <c r="O109" s="1"/>
  <c r="N110"/>
  <c r="O110" s="1"/>
  <c r="N111"/>
  <c r="M112"/>
  <c r="N112" s="1"/>
  <c r="M113"/>
  <c r="M114"/>
  <c r="N114" s="1"/>
  <c r="M115"/>
  <c r="M116"/>
  <c r="N116" s="1"/>
  <c r="M117"/>
  <c r="M118"/>
  <c r="N118" s="1"/>
  <c r="M119"/>
  <c r="M120"/>
  <c r="N120" s="1"/>
  <c r="M123"/>
  <c r="M124"/>
  <c r="N124" s="1"/>
  <c r="M125"/>
  <c r="M126"/>
  <c r="N126" s="1"/>
  <c r="M127"/>
  <c r="M130"/>
  <c r="N130" s="1"/>
  <c r="M131"/>
  <c r="M132"/>
  <c r="N132" s="1"/>
  <c r="M133"/>
  <c r="M134"/>
  <c r="N134" s="1"/>
  <c r="M135"/>
  <c r="M136"/>
  <c r="N136" s="1"/>
  <c r="M137"/>
  <c r="M138"/>
  <c r="N138" s="1"/>
  <c r="M142"/>
  <c r="M143"/>
  <c r="N143" s="1"/>
  <c r="M144"/>
  <c r="M145"/>
  <c r="N145" s="1"/>
  <c r="M146"/>
  <c r="M147"/>
  <c r="N147" s="1"/>
  <c r="M148"/>
  <c r="M149"/>
  <c r="N149" s="1"/>
  <c r="M150"/>
  <c r="M151"/>
  <c r="N151" s="1"/>
  <c r="M152"/>
  <c r="M154"/>
  <c r="N154" s="1"/>
  <c r="M155"/>
  <c r="M156"/>
  <c r="N156" s="1"/>
  <c r="M157"/>
  <c r="M158"/>
  <c r="N158" s="1"/>
  <c r="M159"/>
  <c r="M160"/>
  <c r="N160" s="1"/>
  <c r="M161"/>
  <c r="M162"/>
  <c r="N162" s="1"/>
  <c r="M163"/>
  <c r="M165"/>
  <c r="N165" s="1"/>
  <c r="M166"/>
  <c r="M167"/>
  <c r="N167" s="1"/>
  <c r="M168"/>
  <c r="M169"/>
  <c r="N169" s="1"/>
  <c r="M170"/>
  <c r="O176" i="5" l="1"/>
  <c r="P176" s="1"/>
  <c r="O180"/>
  <c r="P180" s="1"/>
  <c r="O184"/>
  <c r="P184" s="1"/>
  <c r="O188"/>
  <c r="P188" s="1"/>
  <c r="O192"/>
  <c r="P192" s="1"/>
  <c r="O177"/>
  <c r="P177" s="1"/>
  <c r="O181"/>
  <c r="P181" s="1"/>
  <c r="O185"/>
  <c r="P185" s="1"/>
  <c r="O189"/>
  <c r="P189" s="1"/>
  <c r="O193"/>
  <c r="P193" s="1"/>
  <c r="O166"/>
  <c r="P166" s="1"/>
  <c r="O170"/>
  <c r="P170" s="1"/>
  <c r="O163"/>
  <c r="P163" s="1"/>
  <c r="O167"/>
  <c r="P167" s="1"/>
  <c r="Q166"/>
  <c r="Q170"/>
  <c r="Q164"/>
  <c r="Q168"/>
  <c r="Q172"/>
  <c r="Q165"/>
  <c r="Q169"/>
  <c r="O171"/>
  <c r="P171" s="1"/>
  <c r="Q173"/>
  <c r="Q176"/>
  <c r="Q180"/>
  <c r="Q184"/>
  <c r="Q188"/>
  <c r="Q192"/>
  <c r="Q174"/>
  <c r="Q178"/>
  <c r="Q182"/>
  <c r="Q186"/>
  <c r="Q190"/>
  <c r="Q194"/>
  <c r="Q175"/>
  <c r="Q179"/>
  <c r="Q183"/>
  <c r="Q187"/>
  <c r="Q191"/>
  <c r="Q195"/>
  <c r="N125"/>
  <c r="O125" s="1"/>
  <c r="P125" s="1"/>
  <c r="Q125" s="1"/>
  <c r="N201"/>
  <c r="N196"/>
  <c r="N159"/>
  <c r="N155"/>
  <c r="N150"/>
  <c r="N146"/>
  <c r="N123"/>
  <c r="O123" s="1"/>
  <c r="P123" s="1"/>
  <c r="Q123" s="1"/>
  <c r="P117"/>
  <c r="P119"/>
  <c r="P115"/>
  <c r="P113"/>
  <c r="P111"/>
  <c r="P109"/>
  <c r="P107"/>
  <c r="P105"/>
  <c r="P103"/>
  <c r="P101"/>
  <c r="P99"/>
  <c r="P97"/>
  <c r="P95"/>
  <c r="P93"/>
  <c r="P85"/>
  <c r="O80"/>
  <c r="O76"/>
  <c r="O203"/>
  <c r="P204"/>
  <c r="Q204" s="1"/>
  <c r="P205"/>
  <c r="Q205" s="1"/>
  <c r="P89"/>
  <c r="P87"/>
  <c r="N144"/>
  <c r="N127"/>
  <c r="O127" s="1"/>
  <c r="P127" s="1"/>
  <c r="Q127" s="1"/>
  <c r="P118"/>
  <c r="P114"/>
  <c r="P112"/>
  <c r="P110"/>
  <c r="P108"/>
  <c r="P106"/>
  <c r="P104"/>
  <c r="P102"/>
  <c r="P100"/>
  <c r="P98"/>
  <c r="P96"/>
  <c r="P94"/>
  <c r="P92"/>
  <c r="P88"/>
  <c r="P86"/>
  <c r="Q86" s="1"/>
  <c r="P84"/>
  <c r="P7"/>
  <c r="P116"/>
  <c r="O206"/>
  <c r="M202"/>
  <c r="O201"/>
  <c r="P201" s="1"/>
  <c r="M200"/>
  <c r="O199"/>
  <c r="M198"/>
  <c r="O196"/>
  <c r="M162"/>
  <c r="O161"/>
  <c r="M160"/>
  <c r="O159"/>
  <c r="P159" s="1"/>
  <c r="M158"/>
  <c r="O157"/>
  <c r="M156"/>
  <c r="O155"/>
  <c r="M154"/>
  <c r="O152"/>
  <c r="M151"/>
  <c r="O150"/>
  <c r="P150" s="1"/>
  <c r="M149"/>
  <c r="O148"/>
  <c r="M147"/>
  <c r="O146"/>
  <c r="M145"/>
  <c r="O144"/>
  <c r="P144" s="1"/>
  <c r="M143"/>
  <c r="N143" s="1"/>
  <c r="M138"/>
  <c r="N138" s="1"/>
  <c r="O137"/>
  <c r="M136"/>
  <c r="N136" s="1"/>
  <c r="M134"/>
  <c r="N134" s="1"/>
  <c r="O133"/>
  <c r="P133" s="1"/>
  <c r="Q133" s="1"/>
  <c r="M132"/>
  <c r="N132" s="1"/>
  <c r="M130"/>
  <c r="N130" s="1"/>
  <c r="P137"/>
  <c r="M126"/>
  <c r="M124"/>
  <c r="N124" s="1"/>
  <c r="M120"/>
  <c r="Q119"/>
  <c r="Q117"/>
  <c r="Q115"/>
  <c r="Q113"/>
  <c r="Q111"/>
  <c r="Q109"/>
  <c r="Q107"/>
  <c r="Q105"/>
  <c r="Q103"/>
  <c r="Q101"/>
  <c r="Q99"/>
  <c r="Q97"/>
  <c r="Q95"/>
  <c r="Q93"/>
  <c r="Q89"/>
  <c r="Q87"/>
  <c r="Q85"/>
  <c r="N81"/>
  <c r="O81" s="1"/>
  <c r="N79"/>
  <c r="O79" s="1"/>
  <c r="N77"/>
  <c r="O77" s="1"/>
  <c r="N75"/>
  <c r="O75" s="1"/>
  <c r="N73"/>
  <c r="O73" s="1"/>
  <c r="O71"/>
  <c r="P71" s="1"/>
  <c r="Q71" s="1"/>
  <c r="O70"/>
  <c r="P70" s="1"/>
  <c r="Q70" s="1"/>
  <c r="O69"/>
  <c r="P69" s="1"/>
  <c r="Q69" s="1"/>
  <c r="O68"/>
  <c r="P68" s="1"/>
  <c r="Q68" s="1"/>
  <c r="O67"/>
  <c r="P67" s="1"/>
  <c r="Q67" s="1"/>
  <c r="O66"/>
  <c r="P66" s="1"/>
  <c r="Q66" s="1"/>
  <c r="O65"/>
  <c r="P65" s="1"/>
  <c r="Q65" s="1"/>
  <c r="O64"/>
  <c r="P64" s="1"/>
  <c r="Q64" s="1"/>
  <c r="O63"/>
  <c r="P63" s="1"/>
  <c r="Q63" s="1"/>
  <c r="O62"/>
  <c r="P62" s="1"/>
  <c r="Q62" s="1"/>
  <c r="O61"/>
  <c r="P61" s="1"/>
  <c r="Q61" s="1"/>
  <c r="O57"/>
  <c r="P57" s="1"/>
  <c r="Q57" s="1"/>
  <c r="O56"/>
  <c r="P56" s="1"/>
  <c r="Q56" s="1"/>
  <c r="O55"/>
  <c r="P55" s="1"/>
  <c r="Q55" s="1"/>
  <c r="O54"/>
  <c r="P54" s="1"/>
  <c r="Q54" s="1"/>
  <c r="O53"/>
  <c r="P53" s="1"/>
  <c r="O52"/>
  <c r="P52" s="1"/>
  <c r="Q52" s="1"/>
  <c r="O51"/>
  <c r="P51" s="1"/>
  <c r="Q51" s="1"/>
  <c r="O50"/>
  <c r="P50" s="1"/>
  <c r="Q50" s="1"/>
  <c r="O49"/>
  <c r="P49" s="1"/>
  <c r="O47"/>
  <c r="P47" s="1"/>
  <c r="Q47" s="1"/>
  <c r="O46"/>
  <c r="P46" s="1"/>
  <c r="Q46" s="1"/>
  <c r="O45"/>
  <c r="P45" s="1"/>
  <c r="Q45" s="1"/>
  <c r="O44"/>
  <c r="P44" s="1"/>
  <c r="O41"/>
  <c r="P41" s="1"/>
  <c r="Q41" s="1"/>
  <c r="O40"/>
  <c r="P40" s="1"/>
  <c r="Q40" s="1"/>
  <c r="O39"/>
  <c r="P39" s="1"/>
  <c r="Q39" s="1"/>
  <c r="O38"/>
  <c r="P38" s="1"/>
  <c r="O37"/>
  <c r="P37" s="1"/>
  <c r="Q37" s="1"/>
  <c r="O36"/>
  <c r="P36" s="1"/>
  <c r="Q36" s="1"/>
  <c r="O35"/>
  <c r="P35" s="1"/>
  <c r="Q35" s="1"/>
  <c r="O34"/>
  <c r="P34" s="1"/>
  <c r="O33"/>
  <c r="P33" s="1"/>
  <c r="Q33" s="1"/>
  <c r="O32"/>
  <c r="P32" s="1"/>
  <c r="Q32" s="1"/>
  <c r="O31"/>
  <c r="P31" s="1"/>
  <c r="Q31" s="1"/>
  <c r="O28"/>
  <c r="P28" s="1"/>
  <c r="O27"/>
  <c r="P27" s="1"/>
  <c r="Q27" s="1"/>
  <c r="O26"/>
  <c r="P26" s="1"/>
  <c r="Q26" s="1"/>
  <c r="O25"/>
  <c r="P25" s="1"/>
  <c r="Q25" s="1"/>
  <c r="O24"/>
  <c r="P24" s="1"/>
  <c r="O23"/>
  <c r="P23" s="1"/>
  <c r="Q23" s="1"/>
  <c r="O22"/>
  <c r="P22" s="1"/>
  <c r="Q22" s="1"/>
  <c r="O21"/>
  <c r="P21" s="1"/>
  <c r="Q21" s="1"/>
  <c r="O20"/>
  <c r="P20" s="1"/>
  <c r="O19"/>
  <c r="P19" s="1"/>
  <c r="Q19" s="1"/>
  <c r="O18"/>
  <c r="P18" s="1"/>
  <c r="Q18" s="1"/>
  <c r="O17"/>
  <c r="P17" s="1"/>
  <c r="Q17" s="1"/>
  <c r="O16"/>
  <c r="P16" s="1"/>
  <c r="O15"/>
  <c r="P15" s="1"/>
  <c r="Q15" s="1"/>
  <c r="O12"/>
  <c r="P12" s="1"/>
  <c r="Q12" s="1"/>
  <c r="O11"/>
  <c r="P11" s="1"/>
  <c r="Q11" s="1"/>
  <c r="O9"/>
  <c r="P9" s="1"/>
  <c r="O8"/>
  <c r="P8" s="1"/>
  <c r="Q8" s="1"/>
  <c r="Q7"/>
  <c r="P82"/>
  <c r="Q82" s="1"/>
  <c r="P81"/>
  <c r="P79"/>
  <c r="P77"/>
  <c r="P75"/>
  <c r="P73"/>
  <c r="O143"/>
  <c r="M142"/>
  <c r="N142" s="1"/>
  <c r="Q137"/>
  <c r="O136"/>
  <c r="M135"/>
  <c r="N135" s="1"/>
  <c r="O132"/>
  <c r="M131"/>
  <c r="N131" s="1"/>
  <c r="Q118"/>
  <c r="Q116"/>
  <c r="Q114"/>
  <c r="Q112"/>
  <c r="Q110"/>
  <c r="Q108"/>
  <c r="Q106"/>
  <c r="Q104"/>
  <c r="Q102"/>
  <c r="Q100"/>
  <c r="Q98"/>
  <c r="Q96"/>
  <c r="Q94"/>
  <c r="Q92"/>
  <c r="Q88"/>
  <c r="Q84"/>
  <c r="P80"/>
  <c r="Q80" s="1"/>
  <c r="P78"/>
  <c r="Q78" s="1"/>
  <c r="P76"/>
  <c r="Q76" s="1"/>
  <c r="P74"/>
  <c r="Q74" s="1"/>
  <c r="P145" i="4"/>
  <c r="O118"/>
  <c r="O113"/>
  <c r="P118"/>
  <c r="P86"/>
  <c r="P51"/>
  <c r="Q51" s="1"/>
  <c r="O115"/>
  <c r="Q115" s="1"/>
  <c r="P79"/>
  <c r="P77"/>
  <c r="P75"/>
  <c r="P73"/>
  <c r="P70"/>
  <c r="P68"/>
  <c r="Q53"/>
  <c r="P52"/>
  <c r="P50"/>
  <c r="P47"/>
  <c r="P45"/>
  <c r="P41"/>
  <c r="P39"/>
  <c r="P37"/>
  <c r="P35"/>
  <c r="P33"/>
  <c r="P31"/>
  <c r="P27"/>
  <c r="P25"/>
  <c r="P23"/>
  <c r="P21"/>
  <c r="P19"/>
  <c r="P17"/>
  <c r="P15"/>
  <c r="P11"/>
  <c r="P8"/>
  <c r="Q54"/>
  <c r="Q169"/>
  <c r="Q167"/>
  <c r="Q165"/>
  <c r="Q162"/>
  <c r="Q160"/>
  <c r="Q158"/>
  <c r="Q156"/>
  <c r="Q154"/>
  <c r="Q151"/>
  <c r="Q149"/>
  <c r="Q147"/>
  <c r="Q145"/>
  <c r="Q143"/>
  <c r="Q138"/>
  <c r="Q136"/>
  <c r="Q134"/>
  <c r="Q132"/>
  <c r="Q130"/>
  <c r="Q126"/>
  <c r="Q124"/>
  <c r="Q120"/>
  <c r="Q118"/>
  <c r="Q116"/>
  <c r="P115"/>
  <c r="Q110"/>
  <c r="Q108"/>
  <c r="Q106"/>
  <c r="Q104"/>
  <c r="Q102"/>
  <c r="Q100"/>
  <c r="Q98"/>
  <c r="Q96"/>
  <c r="Q94"/>
  <c r="Q92"/>
  <c r="Q88"/>
  <c r="Q86"/>
  <c r="Q84"/>
  <c r="Q81"/>
  <c r="Q79"/>
  <c r="Q77"/>
  <c r="Q75"/>
  <c r="Q73"/>
  <c r="Q70"/>
  <c r="Q68"/>
  <c r="P113"/>
  <c r="Q113" s="1"/>
  <c r="N67"/>
  <c r="O67" s="1"/>
  <c r="N65"/>
  <c r="O65" s="1"/>
  <c r="N63"/>
  <c r="O63" s="1"/>
  <c r="N61"/>
  <c r="O61" s="1"/>
  <c r="N56"/>
  <c r="O56" s="1"/>
  <c r="O7"/>
  <c r="Q52"/>
  <c r="Q50"/>
  <c r="Q47"/>
  <c r="Q45"/>
  <c r="Q41"/>
  <c r="Q39"/>
  <c r="Q37"/>
  <c r="Q35"/>
  <c r="Q33"/>
  <c r="Q31"/>
  <c r="Q27"/>
  <c r="Q25"/>
  <c r="Q23"/>
  <c r="Q21"/>
  <c r="Q19"/>
  <c r="Q17"/>
  <c r="Q15"/>
  <c r="Q11"/>
  <c r="Q8"/>
  <c r="P66"/>
  <c r="Q66" s="1"/>
  <c r="P64"/>
  <c r="Q64" s="1"/>
  <c r="P62"/>
  <c r="Q62" s="1"/>
  <c r="P57"/>
  <c r="Q57" s="1"/>
  <c r="P55"/>
  <c r="Q55" s="1"/>
  <c r="O170"/>
  <c r="P170" s="1"/>
  <c r="O168"/>
  <c r="P168" s="1"/>
  <c r="O166"/>
  <c r="O163"/>
  <c r="P163" s="1"/>
  <c r="O161"/>
  <c r="P161" s="1"/>
  <c r="O159"/>
  <c r="P159" s="1"/>
  <c r="O157"/>
  <c r="O155"/>
  <c r="P155" s="1"/>
  <c r="O152"/>
  <c r="P152" s="1"/>
  <c r="O150"/>
  <c r="P150" s="1"/>
  <c r="O148"/>
  <c r="O146"/>
  <c r="P146" s="1"/>
  <c r="O144"/>
  <c r="O142"/>
  <c r="P142" s="1"/>
  <c r="O137"/>
  <c r="O135"/>
  <c r="P135" s="1"/>
  <c r="O133"/>
  <c r="O131"/>
  <c r="P131" s="1"/>
  <c r="O127"/>
  <c r="O125"/>
  <c r="O123"/>
  <c r="P123" s="1"/>
  <c r="O119"/>
  <c r="P119" s="1"/>
  <c r="O117"/>
  <c r="N114"/>
  <c r="O114" s="1"/>
  <c r="N112"/>
  <c r="O112" s="1"/>
  <c r="O111"/>
  <c r="O109"/>
  <c r="P109" s="1"/>
  <c r="O107"/>
  <c r="P107" s="1"/>
  <c r="O105"/>
  <c r="O103"/>
  <c r="O101"/>
  <c r="P101" s="1"/>
  <c r="O99"/>
  <c r="P99" s="1"/>
  <c r="O97"/>
  <c r="O95"/>
  <c r="O93"/>
  <c r="P93" s="1"/>
  <c r="O89"/>
  <c r="P89" s="1"/>
  <c r="O87"/>
  <c r="O85"/>
  <c r="O82"/>
  <c r="P82" s="1"/>
  <c r="O80"/>
  <c r="P80" s="1"/>
  <c r="O78"/>
  <c r="O76"/>
  <c r="P76" s="1"/>
  <c r="O74"/>
  <c r="O71"/>
  <c r="P71" s="1"/>
  <c r="O69"/>
  <c r="O49"/>
  <c r="P49" s="1"/>
  <c r="O46"/>
  <c r="O44"/>
  <c r="P44" s="1"/>
  <c r="O40"/>
  <c r="O38"/>
  <c r="P38" s="1"/>
  <c r="O36"/>
  <c r="O34"/>
  <c r="P34" s="1"/>
  <c r="O32"/>
  <c r="O28"/>
  <c r="P28" s="1"/>
  <c r="O26"/>
  <c r="O24"/>
  <c r="P24" s="1"/>
  <c r="O22"/>
  <c r="O20"/>
  <c r="P20" s="1"/>
  <c r="O18"/>
  <c r="O16"/>
  <c r="P16" s="1"/>
  <c r="O12"/>
  <c r="O9"/>
  <c r="P9" s="1"/>
  <c r="P7" i="3"/>
  <c r="O168"/>
  <c r="O163"/>
  <c r="O159"/>
  <c r="O155"/>
  <c r="O150"/>
  <c r="O146"/>
  <c r="O142"/>
  <c r="O135"/>
  <c r="O131"/>
  <c r="O125"/>
  <c r="O119"/>
  <c r="O114"/>
  <c r="O112"/>
  <c r="N170"/>
  <c r="O170" s="1"/>
  <c r="N168"/>
  <c r="Q168" s="1"/>
  <c r="N166"/>
  <c r="O166" s="1"/>
  <c r="N163"/>
  <c r="Q163" s="1"/>
  <c r="N161"/>
  <c r="O161" s="1"/>
  <c r="N159"/>
  <c r="Q159" s="1"/>
  <c r="N157"/>
  <c r="O157" s="1"/>
  <c r="N155"/>
  <c r="Q155" s="1"/>
  <c r="N152"/>
  <c r="O152" s="1"/>
  <c r="N150"/>
  <c r="Q150" s="1"/>
  <c r="N148"/>
  <c r="O148" s="1"/>
  <c r="N146"/>
  <c r="Q146" s="1"/>
  <c r="N144"/>
  <c r="O144" s="1"/>
  <c r="N142"/>
  <c r="Q142" s="1"/>
  <c r="N137"/>
  <c r="O137" s="1"/>
  <c r="N135"/>
  <c r="Q135" s="1"/>
  <c r="N133"/>
  <c r="O133" s="1"/>
  <c r="N131"/>
  <c r="Q131" s="1"/>
  <c r="N127"/>
  <c r="O127" s="1"/>
  <c r="N125"/>
  <c r="Q125" s="1"/>
  <c r="N123"/>
  <c r="O123" s="1"/>
  <c r="N119"/>
  <c r="Q119" s="1"/>
  <c r="N117"/>
  <c r="O117" s="1"/>
  <c r="P168"/>
  <c r="P163"/>
  <c r="P159"/>
  <c r="P155"/>
  <c r="P150"/>
  <c r="P146"/>
  <c r="P142"/>
  <c r="P135"/>
  <c r="P131"/>
  <c r="P125"/>
  <c r="P119"/>
  <c r="O110"/>
  <c r="P110" s="1"/>
  <c r="O109"/>
  <c r="P109" s="1"/>
  <c r="Q109" s="1"/>
  <c r="O108"/>
  <c r="P108" s="1"/>
  <c r="Q108" s="1"/>
  <c r="O107"/>
  <c r="P107" s="1"/>
  <c r="Q107" s="1"/>
  <c r="O106"/>
  <c r="P106" s="1"/>
  <c r="O105"/>
  <c r="P105" s="1"/>
  <c r="Q105" s="1"/>
  <c r="O104"/>
  <c r="P104" s="1"/>
  <c r="Q104" s="1"/>
  <c r="O103"/>
  <c r="P103" s="1"/>
  <c r="Q103" s="1"/>
  <c r="O102"/>
  <c r="P102" s="1"/>
  <c r="O101"/>
  <c r="P101" s="1"/>
  <c r="Q101" s="1"/>
  <c r="O100"/>
  <c r="P100" s="1"/>
  <c r="Q100" s="1"/>
  <c r="O99"/>
  <c r="P99" s="1"/>
  <c r="Q99" s="1"/>
  <c r="O98"/>
  <c r="P98" s="1"/>
  <c r="O97"/>
  <c r="P97" s="1"/>
  <c r="Q97" s="1"/>
  <c r="O96"/>
  <c r="P96" s="1"/>
  <c r="Q96" s="1"/>
  <c r="O95"/>
  <c r="P95" s="1"/>
  <c r="Q95" s="1"/>
  <c r="O94"/>
  <c r="P94" s="1"/>
  <c r="O93"/>
  <c r="P93" s="1"/>
  <c r="Q93" s="1"/>
  <c r="O92"/>
  <c r="P92" s="1"/>
  <c r="Q92" s="1"/>
  <c r="O89"/>
  <c r="P89" s="1"/>
  <c r="Q89" s="1"/>
  <c r="O88"/>
  <c r="P88" s="1"/>
  <c r="O87"/>
  <c r="P87" s="1"/>
  <c r="Q87" s="1"/>
  <c r="O86"/>
  <c r="P86" s="1"/>
  <c r="Q86" s="1"/>
  <c r="O85"/>
  <c r="P85" s="1"/>
  <c r="Q85" s="1"/>
  <c r="O84"/>
  <c r="P84" s="1"/>
  <c r="O82"/>
  <c r="P82" s="1"/>
  <c r="Q82" s="1"/>
  <c r="O81"/>
  <c r="P81" s="1"/>
  <c r="Q81" s="1"/>
  <c r="O80"/>
  <c r="P80" s="1"/>
  <c r="Q80" s="1"/>
  <c r="O79"/>
  <c r="Q79" s="1"/>
  <c r="O77"/>
  <c r="O75"/>
  <c r="O73"/>
  <c r="O70"/>
  <c r="Q70" s="1"/>
  <c r="N116"/>
  <c r="P114"/>
  <c r="P112"/>
  <c r="Q112" s="1"/>
  <c r="N78"/>
  <c r="N76"/>
  <c r="N74"/>
  <c r="N71"/>
  <c r="N69"/>
  <c r="O67"/>
  <c r="Q67" s="1"/>
  <c r="O66"/>
  <c r="P66" s="1"/>
  <c r="Q66" s="1"/>
  <c r="O65"/>
  <c r="Q65" s="1"/>
  <c r="O64"/>
  <c r="P64" s="1"/>
  <c r="Q64" s="1"/>
  <c r="O63"/>
  <c r="Q63" s="1"/>
  <c r="O62"/>
  <c r="P62" s="1"/>
  <c r="Q62" s="1"/>
  <c r="O61"/>
  <c r="Q61" s="1"/>
  <c r="O57"/>
  <c r="P57" s="1"/>
  <c r="Q57" s="1"/>
  <c r="O56"/>
  <c r="Q56" s="1"/>
  <c r="O55"/>
  <c r="P55" s="1"/>
  <c r="Q55" s="1"/>
  <c r="O54"/>
  <c r="Q54" s="1"/>
  <c r="O53"/>
  <c r="P53" s="1"/>
  <c r="Q53" s="1"/>
  <c r="O52"/>
  <c r="Q52" s="1"/>
  <c r="O51"/>
  <c r="P51" s="1"/>
  <c r="Q51" s="1"/>
  <c r="O50"/>
  <c r="P50" s="1"/>
  <c r="O49"/>
  <c r="P49" s="1"/>
  <c r="Q49" s="1"/>
  <c r="O47"/>
  <c r="Q47" s="1"/>
  <c r="O46"/>
  <c r="P46" s="1"/>
  <c r="Q46" s="1"/>
  <c r="O45"/>
  <c r="Q45" s="1"/>
  <c r="O44"/>
  <c r="P44" s="1"/>
  <c r="Q44" s="1"/>
  <c r="O41"/>
  <c r="Q41" s="1"/>
  <c r="O40"/>
  <c r="P40" s="1"/>
  <c r="Q40" s="1"/>
  <c r="O39"/>
  <c r="Q39" s="1"/>
  <c r="O38"/>
  <c r="P38" s="1"/>
  <c r="Q38" s="1"/>
  <c r="O37"/>
  <c r="Q37" s="1"/>
  <c r="O36"/>
  <c r="P36" s="1"/>
  <c r="Q36" s="1"/>
  <c r="O35"/>
  <c r="Q35" s="1"/>
  <c r="O34"/>
  <c r="P34" s="1"/>
  <c r="Q34" s="1"/>
  <c r="O33"/>
  <c r="Q33" s="1"/>
  <c r="O32"/>
  <c r="P32" s="1"/>
  <c r="Q32" s="1"/>
  <c r="O31"/>
  <c r="Q31" s="1"/>
  <c r="O28"/>
  <c r="P28" s="1"/>
  <c r="Q28" s="1"/>
  <c r="O27"/>
  <c r="Q27" s="1"/>
  <c r="O26"/>
  <c r="P26" s="1"/>
  <c r="Q26" s="1"/>
  <c r="O25"/>
  <c r="Q25" s="1"/>
  <c r="O24"/>
  <c r="P24" s="1"/>
  <c r="Q24" s="1"/>
  <c r="O23"/>
  <c r="Q23" s="1"/>
  <c r="O22"/>
  <c r="P22" s="1"/>
  <c r="Q22" s="1"/>
  <c r="O21"/>
  <c r="Q21" s="1"/>
  <c r="O20"/>
  <c r="P20" s="1"/>
  <c r="Q20" s="1"/>
  <c r="O19"/>
  <c r="Q19" s="1"/>
  <c r="O18"/>
  <c r="P18" s="1"/>
  <c r="Q18" s="1"/>
  <c r="O17"/>
  <c r="Q17" s="1"/>
  <c r="O16"/>
  <c r="P16" s="1"/>
  <c r="Q16" s="1"/>
  <c r="O15"/>
  <c r="Q15" s="1"/>
  <c r="O12"/>
  <c r="P12" s="1"/>
  <c r="Q12" s="1"/>
  <c r="O11"/>
  <c r="Q11" s="1"/>
  <c r="O9"/>
  <c r="P9" s="1"/>
  <c r="Q9" s="1"/>
  <c r="O8"/>
  <c r="Q8" s="1"/>
  <c r="Q7"/>
  <c r="P67"/>
  <c r="P65"/>
  <c r="P63"/>
  <c r="P61"/>
  <c r="P56"/>
  <c r="P54"/>
  <c r="P52"/>
  <c r="P47"/>
  <c r="P45"/>
  <c r="P41"/>
  <c r="P39"/>
  <c r="P37"/>
  <c r="P35"/>
  <c r="P33"/>
  <c r="P31"/>
  <c r="P27"/>
  <c r="P25"/>
  <c r="P23"/>
  <c r="P21"/>
  <c r="P19"/>
  <c r="P17"/>
  <c r="P15"/>
  <c r="P11"/>
  <c r="P8"/>
  <c r="N169"/>
  <c r="N167"/>
  <c r="N165"/>
  <c r="N162"/>
  <c r="N160"/>
  <c r="N158"/>
  <c r="N156"/>
  <c r="N154"/>
  <c r="N151"/>
  <c r="N149"/>
  <c r="N147"/>
  <c r="N145"/>
  <c r="N143"/>
  <c r="N138"/>
  <c r="N136"/>
  <c r="N134"/>
  <c r="N132"/>
  <c r="N130"/>
  <c r="N126"/>
  <c r="N124"/>
  <c r="N120"/>
  <c r="N118"/>
  <c r="Q114"/>
  <c r="N115"/>
  <c r="N113"/>
  <c r="O113" s="1"/>
  <c r="O111"/>
  <c r="Q73"/>
  <c r="O68"/>
  <c r="P79"/>
  <c r="P77"/>
  <c r="Q77" s="1"/>
  <c r="P75"/>
  <c r="Q75" s="1"/>
  <c r="P73"/>
  <c r="P70"/>
  <c r="N7" i="2"/>
  <c r="O7" s="1"/>
  <c r="P109"/>
  <c r="P107"/>
  <c r="P105"/>
  <c r="P103"/>
  <c r="P101"/>
  <c r="P99"/>
  <c r="P97"/>
  <c r="P95"/>
  <c r="P93"/>
  <c r="P89"/>
  <c r="P87"/>
  <c r="P85"/>
  <c r="P82"/>
  <c r="P80"/>
  <c r="P7"/>
  <c r="Q7" s="1"/>
  <c r="O169"/>
  <c r="O167"/>
  <c r="P167" s="1"/>
  <c r="Q167" s="1"/>
  <c r="O165"/>
  <c r="P165" s="1"/>
  <c r="Q165" s="1"/>
  <c r="O162"/>
  <c r="O160"/>
  <c r="O158"/>
  <c r="O156"/>
  <c r="O154"/>
  <c r="O151"/>
  <c r="O149"/>
  <c r="O147"/>
  <c r="O145"/>
  <c r="O143"/>
  <c r="O138"/>
  <c r="O136"/>
  <c r="O134"/>
  <c r="O132"/>
  <c r="O130"/>
  <c r="O126"/>
  <c r="O124"/>
  <c r="O120"/>
  <c r="O118"/>
  <c r="O116"/>
  <c r="O114"/>
  <c r="O112"/>
  <c r="N170"/>
  <c r="N168"/>
  <c r="O168" s="1"/>
  <c r="N166"/>
  <c r="O166" s="1"/>
  <c r="N163"/>
  <c r="N161"/>
  <c r="O161" s="1"/>
  <c r="N159"/>
  <c r="N157"/>
  <c r="O157" s="1"/>
  <c r="N155"/>
  <c r="N152"/>
  <c r="O152" s="1"/>
  <c r="N150"/>
  <c r="N148"/>
  <c r="O148" s="1"/>
  <c r="N146"/>
  <c r="N144"/>
  <c r="O144" s="1"/>
  <c r="N142"/>
  <c r="N137"/>
  <c r="O137" s="1"/>
  <c r="N135"/>
  <c r="N133"/>
  <c r="O133" s="1"/>
  <c r="N131"/>
  <c r="N127"/>
  <c r="O127" s="1"/>
  <c r="N125"/>
  <c r="N123"/>
  <c r="O123" s="1"/>
  <c r="N119"/>
  <c r="N117"/>
  <c r="O117" s="1"/>
  <c r="N115"/>
  <c r="P169"/>
  <c r="Q169" s="1"/>
  <c r="P162"/>
  <c r="Q162" s="1"/>
  <c r="P160"/>
  <c r="Q160" s="1"/>
  <c r="P158"/>
  <c r="Q158" s="1"/>
  <c r="P156"/>
  <c r="Q156" s="1"/>
  <c r="P154"/>
  <c r="Q154" s="1"/>
  <c r="P151"/>
  <c r="Q151" s="1"/>
  <c r="P149"/>
  <c r="Q149" s="1"/>
  <c r="P147"/>
  <c r="Q147" s="1"/>
  <c r="P145"/>
  <c r="Q145" s="1"/>
  <c r="P143"/>
  <c r="Q143" s="1"/>
  <c r="P138"/>
  <c r="Q138" s="1"/>
  <c r="P136"/>
  <c r="Q136" s="1"/>
  <c r="P134"/>
  <c r="Q134" s="1"/>
  <c r="P132"/>
  <c r="Q132" s="1"/>
  <c r="P130"/>
  <c r="Q130" s="1"/>
  <c r="P126"/>
  <c r="Q126" s="1"/>
  <c r="P124"/>
  <c r="Q124" s="1"/>
  <c r="P120"/>
  <c r="Q120" s="1"/>
  <c r="P118"/>
  <c r="Q118" s="1"/>
  <c r="P116"/>
  <c r="Q116" s="1"/>
  <c r="N113"/>
  <c r="O113" s="1"/>
  <c r="O111"/>
  <c r="P111" s="1"/>
  <c r="Q111" s="1"/>
  <c r="Q109"/>
  <c r="Q107"/>
  <c r="Q105"/>
  <c r="Q103"/>
  <c r="Q101"/>
  <c r="Q99"/>
  <c r="Q97"/>
  <c r="Q95"/>
  <c r="Q93"/>
  <c r="Q89"/>
  <c r="Q87"/>
  <c r="Q85"/>
  <c r="Q82"/>
  <c r="Q80"/>
  <c r="P114"/>
  <c r="Q114" s="1"/>
  <c r="P112"/>
  <c r="P110"/>
  <c r="Q110" s="1"/>
  <c r="P108"/>
  <c r="Q108" s="1"/>
  <c r="P106"/>
  <c r="Q106" s="1"/>
  <c r="P104"/>
  <c r="Q104" s="1"/>
  <c r="P102"/>
  <c r="Q102" s="1"/>
  <c r="P100"/>
  <c r="Q100" s="1"/>
  <c r="P98"/>
  <c r="Q98" s="1"/>
  <c r="P96"/>
  <c r="Q96" s="1"/>
  <c r="P94"/>
  <c r="Q94" s="1"/>
  <c r="P92"/>
  <c r="Q92" s="1"/>
  <c r="P88"/>
  <c r="Q88" s="1"/>
  <c r="P86"/>
  <c r="Q86" s="1"/>
  <c r="P84"/>
  <c r="Q84" s="1"/>
  <c r="P81"/>
  <c r="Q81" s="1"/>
  <c r="N79"/>
  <c r="O79" s="1"/>
  <c r="N77"/>
  <c r="O77" s="1"/>
  <c r="N75"/>
  <c r="O75" s="1"/>
  <c r="N73"/>
  <c r="O73" s="1"/>
  <c r="N70"/>
  <c r="O70" s="1"/>
  <c r="N68"/>
  <c r="O68" s="1"/>
  <c r="O67"/>
  <c r="Q67" s="1"/>
  <c r="O66"/>
  <c r="P66" s="1"/>
  <c r="Q66" s="1"/>
  <c r="O65"/>
  <c r="Q65" s="1"/>
  <c r="O64"/>
  <c r="P64" s="1"/>
  <c r="Q64" s="1"/>
  <c r="O63"/>
  <c r="P63" s="1"/>
  <c r="O62"/>
  <c r="P62" s="1"/>
  <c r="Q62" s="1"/>
  <c r="O61"/>
  <c r="Q61" s="1"/>
  <c r="O57"/>
  <c r="P57" s="1"/>
  <c r="Q57" s="1"/>
  <c r="O56"/>
  <c r="Q56" s="1"/>
  <c r="O55"/>
  <c r="P55" s="1"/>
  <c r="Q55" s="1"/>
  <c r="O54"/>
  <c r="Q54" s="1"/>
  <c r="O53"/>
  <c r="P53" s="1"/>
  <c r="Q53" s="1"/>
  <c r="O52"/>
  <c r="P52" s="1"/>
  <c r="O51"/>
  <c r="P51" s="1"/>
  <c r="Q51" s="1"/>
  <c r="O50"/>
  <c r="Q50" s="1"/>
  <c r="O49"/>
  <c r="P49" s="1"/>
  <c r="Q49" s="1"/>
  <c r="O47"/>
  <c r="P47" s="1"/>
  <c r="O46"/>
  <c r="P46" s="1"/>
  <c r="Q46" s="1"/>
  <c r="O45"/>
  <c r="Q45" s="1"/>
  <c r="O44"/>
  <c r="P44" s="1"/>
  <c r="Q44" s="1"/>
  <c r="O41"/>
  <c r="Q41" s="1"/>
  <c r="O40"/>
  <c r="P40" s="1"/>
  <c r="Q40" s="1"/>
  <c r="O39"/>
  <c r="Q39" s="1"/>
  <c r="O38"/>
  <c r="P38" s="1"/>
  <c r="Q38" s="1"/>
  <c r="O37"/>
  <c r="Q37" s="1"/>
  <c r="O36"/>
  <c r="P36" s="1"/>
  <c r="Q36" s="1"/>
  <c r="O35"/>
  <c r="Q35" s="1"/>
  <c r="O34"/>
  <c r="P34" s="1"/>
  <c r="Q34" s="1"/>
  <c r="O33"/>
  <c r="Q33" s="1"/>
  <c r="O32"/>
  <c r="P32" s="1"/>
  <c r="Q32" s="1"/>
  <c r="O31"/>
  <c r="Q31" s="1"/>
  <c r="O28"/>
  <c r="P28" s="1"/>
  <c r="Q28" s="1"/>
  <c r="O27"/>
  <c r="Q27" s="1"/>
  <c r="O26"/>
  <c r="P26" s="1"/>
  <c r="Q26" s="1"/>
  <c r="O25"/>
  <c r="O24"/>
  <c r="P24" s="1"/>
  <c r="Q24" s="1"/>
  <c r="O23"/>
  <c r="P23" s="1"/>
  <c r="O22"/>
  <c r="P22" s="1"/>
  <c r="Q22" s="1"/>
  <c r="O21"/>
  <c r="Q21" s="1"/>
  <c r="O20"/>
  <c r="P20" s="1"/>
  <c r="Q20" s="1"/>
  <c r="O19"/>
  <c r="P19" s="1"/>
  <c r="O18"/>
  <c r="P18" s="1"/>
  <c r="Q18" s="1"/>
  <c r="O17"/>
  <c r="Q17" s="1"/>
  <c r="O16"/>
  <c r="P16" s="1"/>
  <c r="Q16" s="1"/>
  <c r="O15"/>
  <c r="Q15" s="1"/>
  <c r="O12"/>
  <c r="P12" s="1"/>
  <c r="Q12" s="1"/>
  <c r="O11"/>
  <c r="P11" s="1"/>
  <c r="Q11" s="1"/>
  <c r="O9"/>
  <c r="P9" s="1"/>
  <c r="Q9" s="1"/>
  <c r="O8"/>
  <c r="P8" s="1"/>
  <c r="Q8" s="1"/>
  <c r="P78"/>
  <c r="P76"/>
  <c r="Q76" s="1"/>
  <c r="P74"/>
  <c r="P71"/>
  <c r="Q71" s="1"/>
  <c r="P69"/>
  <c r="Q69" s="1"/>
  <c r="P67"/>
  <c r="P65"/>
  <c r="P61"/>
  <c r="P56"/>
  <c r="P54"/>
  <c r="P50"/>
  <c r="P45"/>
  <c r="P41"/>
  <c r="P39"/>
  <c r="P37"/>
  <c r="P35"/>
  <c r="P33"/>
  <c r="P31"/>
  <c r="P27"/>
  <c r="P25"/>
  <c r="P21"/>
  <c r="P17"/>
  <c r="P15"/>
  <c r="Q112"/>
  <c r="Q78"/>
  <c r="Q74"/>
  <c r="Q167" i="5" l="1"/>
  <c r="Q193"/>
  <c r="Q185"/>
  <c r="Q177"/>
  <c r="Q163"/>
  <c r="Q189"/>
  <c r="Q181"/>
  <c r="V165"/>
  <c r="X165"/>
  <c r="W165"/>
  <c r="V168"/>
  <c r="X168"/>
  <c r="W168"/>
  <c r="V166"/>
  <c r="Y166" s="1"/>
  <c r="X166"/>
  <c r="Z166"/>
  <c r="W166"/>
  <c r="Q171"/>
  <c r="V173"/>
  <c r="X173"/>
  <c r="W173"/>
  <c r="V169"/>
  <c r="X169"/>
  <c r="W169"/>
  <c r="V172"/>
  <c r="X172"/>
  <c r="W172"/>
  <c r="V164"/>
  <c r="X164"/>
  <c r="W164"/>
  <c r="V170"/>
  <c r="X170"/>
  <c r="W170"/>
  <c r="V195"/>
  <c r="X195"/>
  <c r="W195"/>
  <c r="V187"/>
  <c r="X187"/>
  <c r="W187"/>
  <c r="V179"/>
  <c r="X179"/>
  <c r="W179"/>
  <c r="V194"/>
  <c r="X194"/>
  <c r="W194"/>
  <c r="V186"/>
  <c r="Y186" s="1"/>
  <c r="X186"/>
  <c r="Z186"/>
  <c r="W186"/>
  <c r="V178"/>
  <c r="Y178" s="1"/>
  <c r="X178"/>
  <c r="Z178"/>
  <c r="W178"/>
  <c r="V192"/>
  <c r="X192"/>
  <c r="W192"/>
  <c r="V184"/>
  <c r="X184"/>
  <c r="W184"/>
  <c r="V176"/>
  <c r="X176"/>
  <c r="W176"/>
  <c r="V191"/>
  <c r="X191"/>
  <c r="W191"/>
  <c r="V183"/>
  <c r="X183"/>
  <c r="W183"/>
  <c r="V175"/>
  <c r="X175"/>
  <c r="W175"/>
  <c r="V190"/>
  <c r="X190"/>
  <c r="W190"/>
  <c r="V182"/>
  <c r="X182"/>
  <c r="W182"/>
  <c r="V174"/>
  <c r="X174"/>
  <c r="W174"/>
  <c r="V188"/>
  <c r="X188"/>
  <c r="W188"/>
  <c r="V180"/>
  <c r="X180"/>
  <c r="W180"/>
  <c r="V204"/>
  <c r="X204"/>
  <c r="W204"/>
  <c r="P203"/>
  <c r="Q203" s="1"/>
  <c r="W205"/>
  <c r="V205"/>
  <c r="Y205" s="1"/>
  <c r="X205"/>
  <c r="Z205"/>
  <c r="W76"/>
  <c r="V76"/>
  <c r="Y76" s="1"/>
  <c r="X76"/>
  <c r="W80"/>
  <c r="V80"/>
  <c r="X80"/>
  <c r="X82"/>
  <c r="V82"/>
  <c r="Y82" s="1"/>
  <c r="W82"/>
  <c r="X8"/>
  <c r="V8"/>
  <c r="W8"/>
  <c r="X11"/>
  <c r="V11"/>
  <c r="Y11" s="1"/>
  <c r="W11"/>
  <c r="X15"/>
  <c r="V15"/>
  <c r="W15"/>
  <c r="X17"/>
  <c r="V17"/>
  <c r="Y17" s="1"/>
  <c r="W17"/>
  <c r="X19"/>
  <c r="V19"/>
  <c r="W19"/>
  <c r="X21"/>
  <c r="V21"/>
  <c r="Y21" s="1"/>
  <c r="W21"/>
  <c r="X23"/>
  <c r="V23"/>
  <c r="W23"/>
  <c r="X25"/>
  <c r="V25"/>
  <c r="Y25" s="1"/>
  <c r="W25"/>
  <c r="X27"/>
  <c r="V27"/>
  <c r="W27"/>
  <c r="X31"/>
  <c r="V31"/>
  <c r="Y31" s="1"/>
  <c r="W31"/>
  <c r="X33"/>
  <c r="V33"/>
  <c r="W33"/>
  <c r="X35"/>
  <c r="V35"/>
  <c r="Y35" s="1"/>
  <c r="W35"/>
  <c r="X37"/>
  <c r="V37"/>
  <c r="W37"/>
  <c r="X39"/>
  <c r="V39"/>
  <c r="Y39" s="1"/>
  <c r="W39"/>
  <c r="X41"/>
  <c r="V41"/>
  <c r="W41"/>
  <c r="X45"/>
  <c r="V45"/>
  <c r="Y45" s="1"/>
  <c r="W45"/>
  <c r="X47"/>
  <c r="V47"/>
  <c r="W47"/>
  <c r="X50"/>
  <c r="V50"/>
  <c r="Y50" s="1"/>
  <c r="W50"/>
  <c r="X52"/>
  <c r="V52"/>
  <c r="W52"/>
  <c r="X54"/>
  <c r="V54"/>
  <c r="Y54" s="1"/>
  <c r="W54"/>
  <c r="X56"/>
  <c r="V56"/>
  <c r="W56"/>
  <c r="X61"/>
  <c r="V61"/>
  <c r="Y61" s="1"/>
  <c r="W61"/>
  <c r="X63"/>
  <c r="V63"/>
  <c r="W63"/>
  <c r="X65"/>
  <c r="V65"/>
  <c r="Y65" s="1"/>
  <c r="W65"/>
  <c r="X67"/>
  <c r="V67"/>
  <c r="W67"/>
  <c r="X69"/>
  <c r="V69"/>
  <c r="Y69" s="1"/>
  <c r="W69"/>
  <c r="W71"/>
  <c r="V71"/>
  <c r="X71"/>
  <c r="X127"/>
  <c r="V127"/>
  <c r="Y127" s="1"/>
  <c r="W127"/>
  <c r="Q144"/>
  <c r="W74"/>
  <c r="V74"/>
  <c r="Y74" s="1"/>
  <c r="X74"/>
  <c r="W78"/>
  <c r="V78"/>
  <c r="X78"/>
  <c r="X12"/>
  <c r="V12"/>
  <c r="Y12" s="1"/>
  <c r="W12"/>
  <c r="X18"/>
  <c r="V18"/>
  <c r="W18"/>
  <c r="X22"/>
  <c r="V22"/>
  <c r="Y22" s="1"/>
  <c r="W22"/>
  <c r="X26"/>
  <c r="V26"/>
  <c r="W26"/>
  <c r="X32"/>
  <c r="V32"/>
  <c r="Y32" s="1"/>
  <c r="W32"/>
  <c r="X36"/>
  <c r="V36"/>
  <c r="W36"/>
  <c r="X40"/>
  <c r="V40"/>
  <c r="Y40" s="1"/>
  <c r="W40"/>
  <c r="X46"/>
  <c r="V46"/>
  <c r="W46"/>
  <c r="X51"/>
  <c r="V51"/>
  <c r="Y51" s="1"/>
  <c r="W51"/>
  <c r="X55"/>
  <c r="V55"/>
  <c r="W55"/>
  <c r="X57"/>
  <c r="V57"/>
  <c r="Y57" s="1"/>
  <c r="W57"/>
  <c r="X62"/>
  <c r="V62"/>
  <c r="W62"/>
  <c r="X64"/>
  <c r="V64"/>
  <c r="Y64" s="1"/>
  <c r="W64"/>
  <c r="X66"/>
  <c r="V66"/>
  <c r="W66"/>
  <c r="X68"/>
  <c r="V68"/>
  <c r="Y68" s="1"/>
  <c r="W68"/>
  <c r="X70"/>
  <c r="V70"/>
  <c r="W70"/>
  <c r="X123"/>
  <c r="V123"/>
  <c r="Y123" s="1"/>
  <c r="W123"/>
  <c r="X125"/>
  <c r="V125"/>
  <c r="W125"/>
  <c r="X133"/>
  <c r="V133"/>
  <c r="Y133" s="1"/>
  <c r="W133"/>
  <c r="X86"/>
  <c r="V86"/>
  <c r="W86"/>
  <c r="X92"/>
  <c r="V92"/>
  <c r="W92"/>
  <c r="X96"/>
  <c r="V96"/>
  <c r="W96"/>
  <c r="X100"/>
  <c r="V100"/>
  <c r="W100"/>
  <c r="X104"/>
  <c r="V104"/>
  <c r="W104"/>
  <c r="X108"/>
  <c r="V108"/>
  <c r="W108"/>
  <c r="X112"/>
  <c r="V112"/>
  <c r="W112"/>
  <c r="X116"/>
  <c r="V116"/>
  <c r="W116"/>
  <c r="X87"/>
  <c r="V87"/>
  <c r="W87"/>
  <c r="X93"/>
  <c r="V93"/>
  <c r="W93"/>
  <c r="X97"/>
  <c r="V97"/>
  <c r="W97"/>
  <c r="X101"/>
  <c r="V101"/>
  <c r="W101"/>
  <c r="X105"/>
  <c r="V105"/>
  <c r="W105"/>
  <c r="X109"/>
  <c r="V109"/>
  <c r="W109"/>
  <c r="X113"/>
  <c r="V113"/>
  <c r="W113"/>
  <c r="X117"/>
  <c r="V117"/>
  <c r="W117"/>
  <c r="N145"/>
  <c r="N149"/>
  <c r="N154"/>
  <c r="N158"/>
  <c r="N162"/>
  <c r="N200"/>
  <c r="Q9"/>
  <c r="Q16"/>
  <c r="Q20"/>
  <c r="Q24"/>
  <c r="Q28"/>
  <c r="Q34"/>
  <c r="Q38"/>
  <c r="Q44"/>
  <c r="Q49"/>
  <c r="Q53"/>
  <c r="O124"/>
  <c r="O131"/>
  <c r="O135"/>
  <c r="O142"/>
  <c r="O130"/>
  <c r="O134"/>
  <c r="O138"/>
  <c r="P148"/>
  <c r="Q148" s="1"/>
  <c r="Q150"/>
  <c r="P157"/>
  <c r="Q157" s="1"/>
  <c r="Q159"/>
  <c r="P199"/>
  <c r="Q199" s="1"/>
  <c r="Q201"/>
  <c r="Q77"/>
  <c r="Q81"/>
  <c r="P146"/>
  <c r="Q146" s="1"/>
  <c r="P155"/>
  <c r="Q155" s="1"/>
  <c r="P196"/>
  <c r="Q196" s="1"/>
  <c r="X84"/>
  <c r="V84"/>
  <c r="W84"/>
  <c r="X88"/>
  <c r="V88"/>
  <c r="W88"/>
  <c r="X94"/>
  <c r="V94"/>
  <c r="W94"/>
  <c r="X98"/>
  <c r="V98"/>
  <c r="W98"/>
  <c r="X102"/>
  <c r="V102"/>
  <c r="W102"/>
  <c r="X106"/>
  <c r="V106"/>
  <c r="W106"/>
  <c r="X110"/>
  <c r="V110"/>
  <c r="W110"/>
  <c r="X114"/>
  <c r="V114"/>
  <c r="W114"/>
  <c r="X118"/>
  <c r="V118"/>
  <c r="W118"/>
  <c r="X137"/>
  <c r="V137"/>
  <c r="W137"/>
  <c r="X7"/>
  <c r="V7"/>
  <c r="W7"/>
  <c r="X85"/>
  <c r="V85"/>
  <c r="Y85" s="1"/>
  <c r="W85"/>
  <c r="X89"/>
  <c r="V89"/>
  <c r="W89"/>
  <c r="X95"/>
  <c r="V95"/>
  <c r="Y95" s="1"/>
  <c r="W95"/>
  <c r="X99"/>
  <c r="V99"/>
  <c r="W99"/>
  <c r="X103"/>
  <c r="V103"/>
  <c r="Y103" s="1"/>
  <c r="W103"/>
  <c r="X107"/>
  <c r="V107"/>
  <c r="W107"/>
  <c r="X111"/>
  <c r="V111"/>
  <c r="Y111" s="1"/>
  <c r="W111"/>
  <c r="X115"/>
  <c r="V115"/>
  <c r="W115"/>
  <c r="X119"/>
  <c r="V119"/>
  <c r="Y119" s="1"/>
  <c r="W119"/>
  <c r="O147"/>
  <c r="P147" s="1"/>
  <c r="N147"/>
  <c r="O151"/>
  <c r="N151"/>
  <c r="N156"/>
  <c r="O156" s="1"/>
  <c r="P156" s="1"/>
  <c r="N160"/>
  <c r="O160" s="1"/>
  <c r="O198"/>
  <c r="P198" s="1"/>
  <c r="N198"/>
  <c r="N202"/>
  <c r="O202" s="1"/>
  <c r="N120"/>
  <c r="N126"/>
  <c r="Q75"/>
  <c r="Q79"/>
  <c r="P132"/>
  <c r="Q132" s="1"/>
  <c r="P136"/>
  <c r="Q136" s="1"/>
  <c r="P143"/>
  <c r="Q143" s="1"/>
  <c r="P152"/>
  <c r="Q152" s="1"/>
  <c r="P161"/>
  <c r="Q161" s="1"/>
  <c r="P206"/>
  <c r="Q206" s="1"/>
  <c r="Q73"/>
  <c r="P124"/>
  <c r="Q124" s="1"/>
  <c r="P131"/>
  <c r="P142"/>
  <c r="X51" i="4"/>
  <c r="W51"/>
  <c r="Y51" s="1"/>
  <c r="Z51" s="1"/>
  <c r="V51"/>
  <c r="W57"/>
  <c r="V57"/>
  <c r="Y57" s="1"/>
  <c r="X57"/>
  <c r="Z57" s="1"/>
  <c r="W64"/>
  <c r="V64"/>
  <c r="Y64" s="1"/>
  <c r="X64"/>
  <c r="X115"/>
  <c r="V115"/>
  <c r="W115"/>
  <c r="W55"/>
  <c r="V55"/>
  <c r="Y55" s="1"/>
  <c r="X55"/>
  <c r="Z55" s="1"/>
  <c r="W62"/>
  <c r="V62"/>
  <c r="Y62" s="1"/>
  <c r="X62"/>
  <c r="Z62" s="1"/>
  <c r="W66"/>
  <c r="V66"/>
  <c r="Y66" s="1"/>
  <c r="X66"/>
  <c r="Z66" s="1"/>
  <c r="W113"/>
  <c r="V113"/>
  <c r="X113"/>
  <c r="X11"/>
  <c r="V11"/>
  <c r="W11"/>
  <c r="X17"/>
  <c r="V17"/>
  <c r="W17"/>
  <c r="X21"/>
  <c r="V21"/>
  <c r="W21"/>
  <c r="X25"/>
  <c r="V25"/>
  <c r="W25"/>
  <c r="X31"/>
  <c r="V31"/>
  <c r="W31"/>
  <c r="X35"/>
  <c r="V35"/>
  <c r="W35"/>
  <c r="X39"/>
  <c r="V39"/>
  <c r="W39"/>
  <c r="X45"/>
  <c r="V45"/>
  <c r="W45"/>
  <c r="X50"/>
  <c r="V50"/>
  <c r="W50"/>
  <c r="X70"/>
  <c r="V70"/>
  <c r="W70"/>
  <c r="X75"/>
  <c r="V75"/>
  <c r="W75"/>
  <c r="X79"/>
  <c r="V79"/>
  <c r="Y79" s="1"/>
  <c r="W79"/>
  <c r="X84"/>
  <c r="V84"/>
  <c r="Y84" s="1"/>
  <c r="W84"/>
  <c r="X88"/>
  <c r="V88"/>
  <c r="Y88" s="1"/>
  <c r="W88"/>
  <c r="X94"/>
  <c r="V94"/>
  <c r="Y94" s="1"/>
  <c r="W94"/>
  <c r="X98"/>
  <c r="V98"/>
  <c r="Y98" s="1"/>
  <c r="W98"/>
  <c r="X102"/>
  <c r="V102"/>
  <c r="Y102" s="1"/>
  <c r="W102"/>
  <c r="X106"/>
  <c r="V106"/>
  <c r="Y106" s="1"/>
  <c r="W106"/>
  <c r="X110"/>
  <c r="V110"/>
  <c r="Y110" s="1"/>
  <c r="W110"/>
  <c r="X118"/>
  <c r="V118"/>
  <c r="W118"/>
  <c r="X124"/>
  <c r="V124"/>
  <c r="Y124" s="1"/>
  <c r="W124"/>
  <c r="X130"/>
  <c r="V130"/>
  <c r="Y130" s="1"/>
  <c r="W130"/>
  <c r="X134"/>
  <c r="V134"/>
  <c r="Y134" s="1"/>
  <c r="W134"/>
  <c r="X138"/>
  <c r="V138"/>
  <c r="Y138" s="1"/>
  <c r="W138"/>
  <c r="X145"/>
  <c r="V145"/>
  <c r="Y145" s="1"/>
  <c r="W145"/>
  <c r="X149"/>
  <c r="V149"/>
  <c r="Y149" s="1"/>
  <c r="W149"/>
  <c r="X154"/>
  <c r="V154"/>
  <c r="Y154" s="1"/>
  <c r="W154"/>
  <c r="X158"/>
  <c r="V158"/>
  <c r="Y158" s="1"/>
  <c r="W158"/>
  <c r="X162"/>
  <c r="V162"/>
  <c r="Y162" s="1"/>
  <c r="W162"/>
  <c r="X167"/>
  <c r="V167"/>
  <c r="Y167" s="1"/>
  <c r="W167"/>
  <c r="W54"/>
  <c r="X54"/>
  <c r="V54"/>
  <c r="P63"/>
  <c r="Q63" s="1"/>
  <c r="P69"/>
  <c r="Q69" s="1"/>
  <c r="P74"/>
  <c r="Q74" s="1"/>
  <c r="P78"/>
  <c r="Q78" s="1"/>
  <c r="P85"/>
  <c r="Q85" s="1"/>
  <c r="P95"/>
  <c r="Q95" s="1"/>
  <c r="P103"/>
  <c r="Q103" s="1"/>
  <c r="P111"/>
  <c r="Q111" s="1"/>
  <c r="Q71"/>
  <c r="Q76"/>
  <c r="Q80"/>
  <c r="Q89"/>
  <c r="Q99"/>
  <c r="Q107"/>
  <c r="P117"/>
  <c r="Q117" s="1"/>
  <c r="P127"/>
  <c r="Q127" s="1"/>
  <c r="P137"/>
  <c r="Q137" s="1"/>
  <c r="P148"/>
  <c r="Q148" s="1"/>
  <c r="P157"/>
  <c r="Q157" s="1"/>
  <c r="P166"/>
  <c r="Q166" s="1"/>
  <c r="Q123"/>
  <c r="Q131"/>
  <c r="Q135"/>
  <c r="Q142"/>
  <c r="Q146"/>
  <c r="Q155"/>
  <c r="Q163"/>
  <c r="P7"/>
  <c r="Q7" s="1"/>
  <c r="P12"/>
  <c r="Q12" s="1"/>
  <c r="P18"/>
  <c r="Q18" s="1"/>
  <c r="P22"/>
  <c r="Q22" s="1"/>
  <c r="P26"/>
  <c r="Q26" s="1"/>
  <c r="P32"/>
  <c r="Q32" s="1"/>
  <c r="P36"/>
  <c r="Q36" s="1"/>
  <c r="P40"/>
  <c r="Q40" s="1"/>
  <c r="P46"/>
  <c r="Q46" s="1"/>
  <c r="Q9"/>
  <c r="Q16"/>
  <c r="Q20"/>
  <c r="Q24"/>
  <c r="Q28"/>
  <c r="Q34"/>
  <c r="Q38"/>
  <c r="Q44"/>
  <c r="Q49"/>
  <c r="P87"/>
  <c r="Q87" s="1"/>
  <c r="P97"/>
  <c r="Q97" s="1"/>
  <c r="P105"/>
  <c r="Q105" s="1"/>
  <c r="P112"/>
  <c r="Q112" s="1"/>
  <c r="P125"/>
  <c r="Q125" s="1"/>
  <c r="Q152"/>
  <c r="Q161"/>
  <c r="Q170"/>
  <c r="X8"/>
  <c r="V8"/>
  <c r="Y8" s="1"/>
  <c r="W8"/>
  <c r="X15"/>
  <c r="V15"/>
  <c r="Y15" s="1"/>
  <c r="W15"/>
  <c r="X19"/>
  <c r="V19"/>
  <c r="Y19" s="1"/>
  <c r="W19"/>
  <c r="X23"/>
  <c r="V23"/>
  <c r="Y23" s="1"/>
  <c r="W23"/>
  <c r="X27"/>
  <c r="V27"/>
  <c r="Y27" s="1"/>
  <c r="W27"/>
  <c r="X33"/>
  <c r="V33"/>
  <c r="Y33" s="1"/>
  <c r="W33"/>
  <c r="X37"/>
  <c r="V37"/>
  <c r="Y37" s="1"/>
  <c r="W37"/>
  <c r="X41"/>
  <c r="V41"/>
  <c r="Y41" s="1"/>
  <c r="W41"/>
  <c r="X47"/>
  <c r="V47"/>
  <c r="Y47" s="1"/>
  <c r="W47"/>
  <c r="X52"/>
  <c r="V52"/>
  <c r="Y52" s="1"/>
  <c r="W52"/>
  <c r="X68"/>
  <c r="V68"/>
  <c r="Y68" s="1"/>
  <c r="W68"/>
  <c r="X73"/>
  <c r="V73"/>
  <c r="Y73" s="1"/>
  <c r="W73"/>
  <c r="X77"/>
  <c r="V77"/>
  <c r="Y77" s="1"/>
  <c r="W77"/>
  <c r="X81"/>
  <c r="V81"/>
  <c r="Y81" s="1"/>
  <c r="W81"/>
  <c r="X86"/>
  <c r="V86"/>
  <c r="Y86" s="1"/>
  <c r="W86"/>
  <c r="X92"/>
  <c r="V92"/>
  <c r="Y92" s="1"/>
  <c r="W92"/>
  <c r="X96"/>
  <c r="V96"/>
  <c r="Y96" s="1"/>
  <c r="W96"/>
  <c r="X100"/>
  <c r="V100"/>
  <c r="Y100" s="1"/>
  <c r="W100"/>
  <c r="X104"/>
  <c r="V104"/>
  <c r="Y104" s="1"/>
  <c r="W104"/>
  <c r="X108"/>
  <c r="V108"/>
  <c r="Y108" s="1"/>
  <c r="W108"/>
  <c r="X116"/>
  <c r="V116"/>
  <c r="Y116" s="1"/>
  <c r="W116"/>
  <c r="X120"/>
  <c r="V120"/>
  <c r="Y120" s="1"/>
  <c r="W120"/>
  <c r="X126"/>
  <c r="V126"/>
  <c r="Y126" s="1"/>
  <c r="W126"/>
  <c r="X132"/>
  <c r="V132"/>
  <c r="Y132" s="1"/>
  <c r="W132"/>
  <c r="X136"/>
  <c r="V136"/>
  <c r="Y136" s="1"/>
  <c r="W136"/>
  <c r="X143"/>
  <c r="V143"/>
  <c r="Y143" s="1"/>
  <c r="W143"/>
  <c r="X147"/>
  <c r="V147"/>
  <c r="Y147" s="1"/>
  <c r="W147"/>
  <c r="X151"/>
  <c r="V151"/>
  <c r="Y151" s="1"/>
  <c r="W151"/>
  <c r="X156"/>
  <c r="V156"/>
  <c r="Y156" s="1"/>
  <c r="W156"/>
  <c r="X160"/>
  <c r="V160"/>
  <c r="Y160" s="1"/>
  <c r="W160"/>
  <c r="X165"/>
  <c r="V165"/>
  <c r="Y165" s="1"/>
  <c r="W165"/>
  <c r="X169"/>
  <c r="V169"/>
  <c r="Y169" s="1"/>
  <c r="W169"/>
  <c r="X53"/>
  <c r="V53"/>
  <c r="Y53" s="1"/>
  <c r="W53"/>
  <c r="Q114"/>
  <c r="P56"/>
  <c r="Q56" s="1"/>
  <c r="P67"/>
  <c r="Q67" s="1"/>
  <c r="Q82"/>
  <c r="Q93"/>
  <c r="Q101"/>
  <c r="Q109"/>
  <c r="P114"/>
  <c r="P133"/>
  <c r="Q133" s="1"/>
  <c r="P144"/>
  <c r="Q144" s="1"/>
  <c r="Q119"/>
  <c r="Q150"/>
  <c r="Q159"/>
  <c r="Q168"/>
  <c r="P61"/>
  <c r="Q61" s="1"/>
  <c r="P65"/>
  <c r="Q65" s="1"/>
  <c r="Q50" i="3"/>
  <c r="W75"/>
  <c r="V75"/>
  <c r="Y75" s="1"/>
  <c r="X75"/>
  <c r="Z75" s="1"/>
  <c r="X9"/>
  <c r="V9"/>
  <c r="W9"/>
  <c r="X12"/>
  <c r="V12"/>
  <c r="W12"/>
  <c r="X16"/>
  <c r="V16"/>
  <c r="W16"/>
  <c r="X18"/>
  <c r="V18"/>
  <c r="W18"/>
  <c r="X20"/>
  <c r="V20"/>
  <c r="W20"/>
  <c r="X22"/>
  <c r="V22"/>
  <c r="W22"/>
  <c r="X24"/>
  <c r="V24"/>
  <c r="W24"/>
  <c r="X26"/>
  <c r="V26"/>
  <c r="W26"/>
  <c r="X28"/>
  <c r="V28"/>
  <c r="W28"/>
  <c r="X32"/>
  <c r="V32"/>
  <c r="W32"/>
  <c r="X34"/>
  <c r="V34"/>
  <c r="W34"/>
  <c r="X36"/>
  <c r="V36"/>
  <c r="W36"/>
  <c r="X38"/>
  <c r="V38"/>
  <c r="W38"/>
  <c r="X40"/>
  <c r="V40"/>
  <c r="W40"/>
  <c r="X44"/>
  <c r="V44"/>
  <c r="W44"/>
  <c r="X46"/>
  <c r="V46"/>
  <c r="W46"/>
  <c r="X49"/>
  <c r="V49"/>
  <c r="W49"/>
  <c r="X51"/>
  <c r="V51"/>
  <c r="W51"/>
  <c r="X53"/>
  <c r="V53"/>
  <c r="W53"/>
  <c r="X55"/>
  <c r="V55"/>
  <c r="W55"/>
  <c r="X57"/>
  <c r="V57"/>
  <c r="W57"/>
  <c r="X62"/>
  <c r="V62"/>
  <c r="W62"/>
  <c r="X64"/>
  <c r="V64"/>
  <c r="W64"/>
  <c r="X66"/>
  <c r="V66"/>
  <c r="W66"/>
  <c r="W70"/>
  <c r="V70"/>
  <c r="Y70" s="1"/>
  <c r="X70"/>
  <c r="Z70" s="1"/>
  <c r="W79"/>
  <c r="V79"/>
  <c r="X79"/>
  <c r="X81"/>
  <c r="V81"/>
  <c r="W81"/>
  <c r="X86"/>
  <c r="V86"/>
  <c r="W86"/>
  <c r="X92"/>
  <c r="V92"/>
  <c r="W92"/>
  <c r="X96"/>
  <c r="V96"/>
  <c r="W96"/>
  <c r="X100"/>
  <c r="V100"/>
  <c r="Y100" s="1"/>
  <c r="W100"/>
  <c r="X104"/>
  <c r="V104"/>
  <c r="Y104" s="1"/>
  <c r="W104"/>
  <c r="X108"/>
  <c r="V108"/>
  <c r="Y108" s="1"/>
  <c r="W108"/>
  <c r="W77"/>
  <c r="V77"/>
  <c r="Y77" s="1"/>
  <c r="X77"/>
  <c r="X8"/>
  <c r="V8"/>
  <c r="Y8" s="1"/>
  <c r="W8"/>
  <c r="X11"/>
  <c r="V11"/>
  <c r="Y11" s="1"/>
  <c r="W11"/>
  <c r="X15"/>
  <c r="V15"/>
  <c r="Y15" s="1"/>
  <c r="W15"/>
  <c r="X17"/>
  <c r="V17"/>
  <c r="Y17" s="1"/>
  <c r="W17"/>
  <c r="X19"/>
  <c r="V19"/>
  <c r="Y19" s="1"/>
  <c r="W19"/>
  <c r="X21"/>
  <c r="V21"/>
  <c r="Y21" s="1"/>
  <c r="W21"/>
  <c r="X23"/>
  <c r="V23"/>
  <c r="Y23" s="1"/>
  <c r="W23"/>
  <c r="X25"/>
  <c r="V25"/>
  <c r="Y25" s="1"/>
  <c r="W25"/>
  <c r="X27"/>
  <c r="V27"/>
  <c r="Y27" s="1"/>
  <c r="W27"/>
  <c r="X31"/>
  <c r="V31"/>
  <c r="Y31" s="1"/>
  <c r="W31"/>
  <c r="X33"/>
  <c r="V33"/>
  <c r="Y33" s="1"/>
  <c r="W33"/>
  <c r="X35"/>
  <c r="V35"/>
  <c r="Y35" s="1"/>
  <c r="W35"/>
  <c r="X37"/>
  <c r="V37"/>
  <c r="Y37" s="1"/>
  <c r="W37"/>
  <c r="X39"/>
  <c r="V39"/>
  <c r="Y39" s="1"/>
  <c r="W39"/>
  <c r="X41"/>
  <c r="V41"/>
  <c r="Y41" s="1"/>
  <c r="W41"/>
  <c r="X45"/>
  <c r="V45"/>
  <c r="Y45" s="1"/>
  <c r="W45"/>
  <c r="X47"/>
  <c r="V47"/>
  <c r="Y47" s="1"/>
  <c r="W47"/>
  <c r="X50"/>
  <c r="V50"/>
  <c r="W50"/>
  <c r="X52"/>
  <c r="V52"/>
  <c r="Y52" s="1"/>
  <c r="W52"/>
  <c r="X54"/>
  <c r="V54"/>
  <c r="Y54" s="1"/>
  <c r="W54"/>
  <c r="X56"/>
  <c r="V56"/>
  <c r="Y56" s="1"/>
  <c r="W56"/>
  <c r="X61"/>
  <c r="V61"/>
  <c r="Y61" s="1"/>
  <c r="W61"/>
  <c r="X63"/>
  <c r="V63"/>
  <c r="Y63" s="1"/>
  <c r="W63"/>
  <c r="X65"/>
  <c r="V65"/>
  <c r="Y65" s="1"/>
  <c r="W65"/>
  <c r="X67"/>
  <c r="V67"/>
  <c r="Y67" s="1"/>
  <c r="W67"/>
  <c r="W112"/>
  <c r="V112"/>
  <c r="Y112" s="1"/>
  <c r="X112"/>
  <c r="X80"/>
  <c r="V80"/>
  <c r="Y80" s="1"/>
  <c r="W80"/>
  <c r="X82"/>
  <c r="V82"/>
  <c r="Y82" s="1"/>
  <c r="W82"/>
  <c r="X85"/>
  <c r="V85"/>
  <c r="Y85" s="1"/>
  <c r="W85"/>
  <c r="X87"/>
  <c r="V87"/>
  <c r="W87"/>
  <c r="X89"/>
  <c r="V89"/>
  <c r="Y89" s="1"/>
  <c r="W89"/>
  <c r="X93"/>
  <c r="V93"/>
  <c r="Y93" s="1"/>
  <c r="W93"/>
  <c r="X95"/>
  <c r="V95"/>
  <c r="Y95" s="1"/>
  <c r="W95"/>
  <c r="X97"/>
  <c r="V97"/>
  <c r="Y97" s="1"/>
  <c r="W97"/>
  <c r="X99"/>
  <c r="V99"/>
  <c r="Y99" s="1"/>
  <c r="W99"/>
  <c r="X101"/>
  <c r="V101"/>
  <c r="Y101" s="1"/>
  <c r="W101"/>
  <c r="X103"/>
  <c r="V103"/>
  <c r="Y103" s="1"/>
  <c r="W103"/>
  <c r="X105"/>
  <c r="V105"/>
  <c r="Y105" s="1"/>
  <c r="W105"/>
  <c r="X107"/>
  <c r="V107"/>
  <c r="Y107" s="1"/>
  <c r="W107"/>
  <c r="X109"/>
  <c r="V109"/>
  <c r="Y109" s="1"/>
  <c r="W109"/>
  <c r="W119"/>
  <c r="X119"/>
  <c r="V119"/>
  <c r="W125"/>
  <c r="X125"/>
  <c r="V125"/>
  <c r="W131"/>
  <c r="X131"/>
  <c r="V131"/>
  <c r="W135"/>
  <c r="X135"/>
  <c r="V135"/>
  <c r="W142"/>
  <c r="X142"/>
  <c r="V142"/>
  <c r="W146"/>
  <c r="X146"/>
  <c r="V146"/>
  <c r="W150"/>
  <c r="X150"/>
  <c r="V150"/>
  <c r="W155"/>
  <c r="X155"/>
  <c r="V155"/>
  <c r="W159"/>
  <c r="X159"/>
  <c r="V159"/>
  <c r="W163"/>
  <c r="X163"/>
  <c r="V163"/>
  <c r="W168"/>
  <c r="X168"/>
  <c r="V168"/>
  <c r="Q71"/>
  <c r="W73"/>
  <c r="V73"/>
  <c r="Y73" s="1"/>
  <c r="X73"/>
  <c r="Z73" s="1"/>
  <c r="W114"/>
  <c r="V114"/>
  <c r="Y114" s="1"/>
  <c r="X114"/>
  <c r="Z114" s="1"/>
  <c r="X7"/>
  <c r="V7"/>
  <c r="W7"/>
  <c r="P68"/>
  <c r="Q68" s="1"/>
  <c r="Q84"/>
  <c r="Q88"/>
  <c r="Q94"/>
  <c r="Q98"/>
  <c r="Q102"/>
  <c r="Q106"/>
  <c r="Q110"/>
  <c r="O69"/>
  <c r="P69" s="1"/>
  <c r="Q69" s="1"/>
  <c r="O71"/>
  <c r="P71" s="1"/>
  <c r="O74"/>
  <c r="P74" s="1"/>
  <c r="Q74" s="1"/>
  <c r="O76"/>
  <c r="P76" s="1"/>
  <c r="Q76" s="1"/>
  <c r="O78"/>
  <c r="P78" s="1"/>
  <c r="Q78" s="1"/>
  <c r="P117"/>
  <c r="P123"/>
  <c r="P127"/>
  <c r="P133"/>
  <c r="P137"/>
  <c r="P144"/>
  <c r="P148"/>
  <c r="P152"/>
  <c r="P157"/>
  <c r="P161"/>
  <c r="P166"/>
  <c r="P170"/>
  <c r="O116"/>
  <c r="P116" s="1"/>
  <c r="O118"/>
  <c r="P118" s="1"/>
  <c r="Q118" s="1"/>
  <c r="O120"/>
  <c r="O124"/>
  <c r="O126"/>
  <c r="P126" s="1"/>
  <c r="O130"/>
  <c r="O132"/>
  <c r="O134"/>
  <c r="O136"/>
  <c r="P136" s="1"/>
  <c r="O138"/>
  <c r="O143"/>
  <c r="O145"/>
  <c r="P145" s="1"/>
  <c r="Q145" s="1"/>
  <c r="O147"/>
  <c r="P147" s="1"/>
  <c r="O149"/>
  <c r="O151"/>
  <c r="O154"/>
  <c r="P154" s="1"/>
  <c r="Q154" s="1"/>
  <c r="O156"/>
  <c r="P156" s="1"/>
  <c r="O158"/>
  <c r="P158" s="1"/>
  <c r="Q158" s="1"/>
  <c r="O160"/>
  <c r="O162"/>
  <c r="O165"/>
  <c r="P165" s="1"/>
  <c r="O167"/>
  <c r="P167" s="1"/>
  <c r="Q167" s="1"/>
  <c r="O169"/>
  <c r="P111"/>
  <c r="Q111" s="1"/>
  <c r="P124"/>
  <c r="Q124" s="1"/>
  <c r="P130"/>
  <c r="Q130" s="1"/>
  <c r="P134"/>
  <c r="Q134" s="1"/>
  <c r="P138"/>
  <c r="Q138" s="1"/>
  <c r="P149"/>
  <c r="Q149" s="1"/>
  <c r="P162"/>
  <c r="Q162" s="1"/>
  <c r="P113"/>
  <c r="Q113" s="1"/>
  <c r="Q117"/>
  <c r="Q123"/>
  <c r="Q127"/>
  <c r="Q133"/>
  <c r="Q137"/>
  <c r="Q144"/>
  <c r="Q148"/>
  <c r="Q152"/>
  <c r="Q157"/>
  <c r="Q161"/>
  <c r="Q166"/>
  <c r="Q170"/>
  <c r="O115"/>
  <c r="Q63" i="2"/>
  <c r="Q52"/>
  <c r="Q47"/>
  <c r="Q25"/>
  <c r="Q23"/>
  <c r="Q19"/>
  <c r="V19" s="1"/>
  <c r="W71"/>
  <c r="V71"/>
  <c r="Y71" s="1"/>
  <c r="X71"/>
  <c r="Z71" s="1"/>
  <c r="W76"/>
  <c r="V76"/>
  <c r="Y76" s="1"/>
  <c r="X76"/>
  <c r="Z76" s="1"/>
  <c r="X12"/>
  <c r="V12"/>
  <c r="W12"/>
  <c r="X18"/>
  <c r="V18"/>
  <c r="W18"/>
  <c r="X22"/>
  <c r="V22"/>
  <c r="W22"/>
  <c r="X26"/>
  <c r="V26"/>
  <c r="W26"/>
  <c r="X32"/>
  <c r="V32"/>
  <c r="W32"/>
  <c r="X36"/>
  <c r="V36"/>
  <c r="W36"/>
  <c r="X38"/>
  <c r="V38"/>
  <c r="W38"/>
  <c r="X44"/>
  <c r="V44"/>
  <c r="W44"/>
  <c r="X46"/>
  <c r="V46"/>
  <c r="W46"/>
  <c r="X49"/>
  <c r="V49"/>
  <c r="W49"/>
  <c r="X51"/>
  <c r="V51"/>
  <c r="W51"/>
  <c r="X53"/>
  <c r="V53"/>
  <c r="W53"/>
  <c r="X55"/>
  <c r="V55"/>
  <c r="W55"/>
  <c r="X57"/>
  <c r="V57"/>
  <c r="W57"/>
  <c r="X62"/>
  <c r="V62"/>
  <c r="W62"/>
  <c r="X64"/>
  <c r="V64"/>
  <c r="W64"/>
  <c r="X66"/>
  <c r="V66"/>
  <c r="W66"/>
  <c r="X81"/>
  <c r="V81"/>
  <c r="W81"/>
  <c r="X86"/>
  <c r="V86"/>
  <c r="W86"/>
  <c r="X92"/>
  <c r="V92"/>
  <c r="W92"/>
  <c r="X96"/>
  <c r="V96"/>
  <c r="W96"/>
  <c r="X100"/>
  <c r="V100"/>
  <c r="W100"/>
  <c r="X104"/>
  <c r="V104"/>
  <c r="W104"/>
  <c r="X108"/>
  <c r="V108"/>
  <c r="W108"/>
  <c r="W111"/>
  <c r="X111"/>
  <c r="V111"/>
  <c r="Y111" s="1"/>
  <c r="W116"/>
  <c r="X116"/>
  <c r="V116"/>
  <c r="Y116" s="1"/>
  <c r="W120"/>
  <c r="X120"/>
  <c r="V120"/>
  <c r="Y120" s="1"/>
  <c r="W126"/>
  <c r="X126"/>
  <c r="V126"/>
  <c r="Y126" s="1"/>
  <c r="W132"/>
  <c r="X132"/>
  <c r="V132"/>
  <c r="Y132" s="1"/>
  <c r="W136"/>
  <c r="X136"/>
  <c r="V136"/>
  <c r="Y136" s="1"/>
  <c r="W143"/>
  <c r="X143"/>
  <c r="V143"/>
  <c r="Y143" s="1"/>
  <c r="W147"/>
  <c r="X147"/>
  <c r="V147"/>
  <c r="Y147" s="1"/>
  <c r="W151"/>
  <c r="X151"/>
  <c r="V151"/>
  <c r="Y151" s="1"/>
  <c r="W156"/>
  <c r="X156"/>
  <c r="V156"/>
  <c r="Y156" s="1"/>
  <c r="W160"/>
  <c r="X160"/>
  <c r="V160"/>
  <c r="Y160" s="1"/>
  <c r="W165"/>
  <c r="X165"/>
  <c r="V165"/>
  <c r="Y165" s="1"/>
  <c r="W169"/>
  <c r="X169"/>
  <c r="V169"/>
  <c r="Y169" s="1"/>
  <c r="X9"/>
  <c r="V9"/>
  <c r="W9"/>
  <c r="X16"/>
  <c r="V16"/>
  <c r="W16"/>
  <c r="X20"/>
  <c r="V20"/>
  <c r="W20"/>
  <c r="X24"/>
  <c r="V24"/>
  <c r="W24"/>
  <c r="X28"/>
  <c r="V28"/>
  <c r="W28"/>
  <c r="X34"/>
  <c r="V34"/>
  <c r="W34"/>
  <c r="X40"/>
  <c r="V40"/>
  <c r="W40"/>
  <c r="W69"/>
  <c r="V69"/>
  <c r="Y69" s="1"/>
  <c r="X69"/>
  <c r="Z69" s="1"/>
  <c r="X8"/>
  <c r="V8"/>
  <c r="W8"/>
  <c r="X11"/>
  <c r="V11"/>
  <c r="W11"/>
  <c r="X15"/>
  <c r="V15"/>
  <c r="W15"/>
  <c r="X17"/>
  <c r="V17"/>
  <c r="W17"/>
  <c r="X19"/>
  <c r="W19"/>
  <c r="X21"/>
  <c r="V21"/>
  <c r="W21"/>
  <c r="X23"/>
  <c r="V23"/>
  <c r="W23"/>
  <c r="X25"/>
  <c r="V25"/>
  <c r="W25"/>
  <c r="X27"/>
  <c r="V27"/>
  <c r="Y27" s="1"/>
  <c r="W27"/>
  <c r="X31"/>
  <c r="V31"/>
  <c r="Y31" s="1"/>
  <c r="W31"/>
  <c r="X33"/>
  <c r="V33"/>
  <c r="Y33" s="1"/>
  <c r="W33"/>
  <c r="X35"/>
  <c r="V35"/>
  <c r="Y35" s="1"/>
  <c r="W35"/>
  <c r="X37"/>
  <c r="V37"/>
  <c r="Y37" s="1"/>
  <c r="W37"/>
  <c r="X39"/>
  <c r="V39"/>
  <c r="Y39" s="1"/>
  <c r="W39"/>
  <c r="X41"/>
  <c r="V41"/>
  <c r="Y41" s="1"/>
  <c r="W41"/>
  <c r="X45"/>
  <c r="V45"/>
  <c r="Y45" s="1"/>
  <c r="W45"/>
  <c r="X47"/>
  <c r="V47"/>
  <c r="W47"/>
  <c r="X50"/>
  <c r="V50"/>
  <c r="Y50" s="1"/>
  <c r="W50"/>
  <c r="X52"/>
  <c r="V52"/>
  <c r="Y52" s="1"/>
  <c r="W52"/>
  <c r="X54"/>
  <c r="V54"/>
  <c r="Y54" s="1"/>
  <c r="W54"/>
  <c r="X56"/>
  <c r="V56"/>
  <c r="Y56" s="1"/>
  <c r="W56"/>
  <c r="X61"/>
  <c r="V61"/>
  <c r="Y61" s="1"/>
  <c r="W61"/>
  <c r="X63"/>
  <c r="V63"/>
  <c r="W63"/>
  <c r="X65"/>
  <c r="V65"/>
  <c r="Y65" s="1"/>
  <c r="W65"/>
  <c r="W67"/>
  <c r="V67"/>
  <c r="Y67" s="1"/>
  <c r="X67"/>
  <c r="X84"/>
  <c r="V84"/>
  <c r="W84"/>
  <c r="X88"/>
  <c r="V88"/>
  <c r="Y88" s="1"/>
  <c r="W88"/>
  <c r="X94"/>
  <c r="V94"/>
  <c r="Y94" s="1"/>
  <c r="W94"/>
  <c r="X98"/>
  <c r="V98"/>
  <c r="W98"/>
  <c r="X102"/>
  <c r="V102"/>
  <c r="Y102" s="1"/>
  <c r="W102"/>
  <c r="X106"/>
  <c r="V106"/>
  <c r="Y106" s="1"/>
  <c r="W106"/>
  <c r="X110"/>
  <c r="V110"/>
  <c r="Y110" s="1"/>
  <c r="W110"/>
  <c r="W114"/>
  <c r="X114"/>
  <c r="V114"/>
  <c r="W118"/>
  <c r="X118"/>
  <c r="V118"/>
  <c r="W124"/>
  <c r="X124"/>
  <c r="V124"/>
  <c r="W130"/>
  <c r="X130"/>
  <c r="V130"/>
  <c r="W134"/>
  <c r="X134"/>
  <c r="V134"/>
  <c r="W138"/>
  <c r="X138"/>
  <c r="V138"/>
  <c r="W145"/>
  <c r="X145"/>
  <c r="V145"/>
  <c r="W149"/>
  <c r="X149"/>
  <c r="V149"/>
  <c r="W154"/>
  <c r="X154"/>
  <c r="V154"/>
  <c r="W158"/>
  <c r="X158"/>
  <c r="V158"/>
  <c r="W162"/>
  <c r="X162"/>
  <c r="V162"/>
  <c r="W167"/>
  <c r="X167"/>
  <c r="V167"/>
  <c r="W78"/>
  <c r="V78"/>
  <c r="Y78" s="1"/>
  <c r="X78"/>
  <c r="Z78" s="1"/>
  <c r="W112"/>
  <c r="V112"/>
  <c r="Y112" s="1"/>
  <c r="X112"/>
  <c r="Z112" s="1"/>
  <c r="X7"/>
  <c r="V7"/>
  <c r="W7"/>
  <c r="X80"/>
  <c r="V80"/>
  <c r="Y80" s="1"/>
  <c r="W80"/>
  <c r="X85"/>
  <c r="V85"/>
  <c r="Y85" s="1"/>
  <c r="W85"/>
  <c r="X89"/>
  <c r="V89"/>
  <c r="W89"/>
  <c r="X95"/>
  <c r="V95"/>
  <c r="Y95" s="1"/>
  <c r="W95"/>
  <c r="X99"/>
  <c r="V99"/>
  <c r="Y99" s="1"/>
  <c r="W99"/>
  <c r="X103"/>
  <c r="V103"/>
  <c r="Y103" s="1"/>
  <c r="W103"/>
  <c r="X107"/>
  <c r="V107"/>
  <c r="Y107" s="1"/>
  <c r="W107"/>
  <c r="P75"/>
  <c r="Q75" s="1"/>
  <c r="P113"/>
  <c r="Q113" s="1"/>
  <c r="P117"/>
  <c r="Q117" s="1"/>
  <c r="P123"/>
  <c r="Q123" s="1"/>
  <c r="P127"/>
  <c r="Q127" s="1"/>
  <c r="P133"/>
  <c r="Q133" s="1"/>
  <c r="P137"/>
  <c r="Q137" s="1"/>
  <c r="P144"/>
  <c r="Q144" s="1"/>
  <c r="P148"/>
  <c r="Q148" s="1"/>
  <c r="P152"/>
  <c r="Q152" s="1"/>
  <c r="P157"/>
  <c r="Q157" s="1"/>
  <c r="P161"/>
  <c r="Q161" s="1"/>
  <c r="P166"/>
  <c r="Q166" s="1"/>
  <c r="P77"/>
  <c r="Q77" s="1"/>
  <c r="P168"/>
  <c r="Q168" s="1"/>
  <c r="W74"/>
  <c r="V74"/>
  <c r="Y74" s="1"/>
  <c r="X74"/>
  <c r="Z74" s="1"/>
  <c r="X82"/>
  <c r="V82"/>
  <c r="W82"/>
  <c r="X87"/>
  <c r="V87"/>
  <c r="W87"/>
  <c r="X93"/>
  <c r="V93"/>
  <c r="W93"/>
  <c r="X97"/>
  <c r="V97"/>
  <c r="W97"/>
  <c r="X101"/>
  <c r="V101"/>
  <c r="W101"/>
  <c r="X105"/>
  <c r="V105"/>
  <c r="W105"/>
  <c r="X109"/>
  <c r="V109"/>
  <c r="W109"/>
  <c r="O115"/>
  <c r="O119"/>
  <c r="O125"/>
  <c r="O131"/>
  <c r="O135"/>
  <c r="O142"/>
  <c r="O146"/>
  <c r="O150"/>
  <c r="O155"/>
  <c r="O159"/>
  <c r="O163"/>
  <c r="O170"/>
  <c r="P70"/>
  <c r="Q70" s="1"/>
  <c r="P79"/>
  <c r="Q79" s="1"/>
  <c r="P68"/>
  <c r="Q68" s="1"/>
  <c r="P73"/>
  <c r="Q73" s="1"/>
  <c r="Y168" i="5" l="1"/>
  <c r="Z168" s="1"/>
  <c r="Y180"/>
  <c r="Z180" s="1"/>
  <c r="Y188"/>
  <c r="Z188" s="1"/>
  <c r="Y174"/>
  <c r="Z174" s="1"/>
  <c r="Y182"/>
  <c r="Z182" s="1"/>
  <c r="Y190"/>
  <c r="Z190" s="1"/>
  <c r="Y175"/>
  <c r="Z175" s="1"/>
  <c r="Y183"/>
  <c r="Z183" s="1"/>
  <c r="Y191"/>
  <c r="Z191" s="1"/>
  <c r="Y176"/>
  <c r="Z176" s="1"/>
  <c r="Y184"/>
  <c r="Z184" s="1"/>
  <c r="Y192"/>
  <c r="Z192" s="1"/>
  <c r="Y165"/>
  <c r="Z165" s="1"/>
  <c r="V181"/>
  <c r="X181"/>
  <c r="W181"/>
  <c r="V163"/>
  <c r="W163"/>
  <c r="X163"/>
  <c r="V185"/>
  <c r="X185"/>
  <c r="W185"/>
  <c r="X167"/>
  <c r="V167"/>
  <c r="W167"/>
  <c r="V189"/>
  <c r="X189"/>
  <c r="W189"/>
  <c r="V177"/>
  <c r="X177"/>
  <c r="W177"/>
  <c r="V193"/>
  <c r="X193"/>
  <c r="W193"/>
  <c r="Y170"/>
  <c r="Z170" s="1"/>
  <c r="Y164"/>
  <c r="Z164" s="1"/>
  <c r="Y172"/>
  <c r="Z172" s="1"/>
  <c r="Y169"/>
  <c r="Z169" s="1"/>
  <c r="Y173"/>
  <c r="Z173" s="1"/>
  <c r="V171"/>
  <c r="X171"/>
  <c r="W171"/>
  <c r="Y194"/>
  <c r="Z194" s="1"/>
  <c r="Y179"/>
  <c r="Z179" s="1"/>
  <c r="Y187"/>
  <c r="Z187" s="1"/>
  <c r="Y195"/>
  <c r="Z195" s="1"/>
  <c r="Q198"/>
  <c r="Q156"/>
  <c r="V156" s="1"/>
  <c r="P151"/>
  <c r="Q147"/>
  <c r="Y115"/>
  <c r="Z115" s="1"/>
  <c r="Y107"/>
  <c r="Y99"/>
  <c r="Z99" s="1"/>
  <c r="Y125"/>
  <c r="Y70"/>
  <c r="Y66"/>
  <c r="Y62"/>
  <c r="Y55"/>
  <c r="Y46"/>
  <c r="Y36"/>
  <c r="Y26"/>
  <c r="Y18"/>
  <c r="Y78"/>
  <c r="Y71"/>
  <c r="Y67"/>
  <c r="Z67" s="1"/>
  <c r="Y63"/>
  <c r="Y56"/>
  <c r="Z56" s="1"/>
  <c r="Y52"/>
  <c r="Y47"/>
  <c r="Z47" s="1"/>
  <c r="Y41"/>
  <c r="Y37"/>
  <c r="Z37" s="1"/>
  <c r="Y33"/>
  <c r="Y27"/>
  <c r="Z27" s="1"/>
  <c r="Y23"/>
  <c r="Y19"/>
  <c r="Z19" s="1"/>
  <c r="Y15"/>
  <c r="Y80"/>
  <c r="Z80" s="1"/>
  <c r="V203"/>
  <c r="W203"/>
  <c r="X203"/>
  <c r="Y204"/>
  <c r="Z204" s="1"/>
  <c r="P202"/>
  <c r="Q202" s="1"/>
  <c r="Y8"/>
  <c r="Z8" s="1"/>
  <c r="Y89"/>
  <c r="X124"/>
  <c r="V124"/>
  <c r="W124"/>
  <c r="X206"/>
  <c r="V206"/>
  <c r="W206"/>
  <c r="X152"/>
  <c r="V152"/>
  <c r="W152"/>
  <c r="X136"/>
  <c r="V136"/>
  <c r="W136"/>
  <c r="X198"/>
  <c r="V198"/>
  <c r="W198"/>
  <c r="X156"/>
  <c r="X147"/>
  <c r="V147"/>
  <c r="W147"/>
  <c r="X196"/>
  <c r="V196"/>
  <c r="W196"/>
  <c r="X146"/>
  <c r="V146"/>
  <c r="W146"/>
  <c r="X199"/>
  <c r="V199"/>
  <c r="W199"/>
  <c r="X157"/>
  <c r="V157"/>
  <c r="W157"/>
  <c r="X148"/>
  <c r="V148"/>
  <c r="W148"/>
  <c r="X161"/>
  <c r="V161"/>
  <c r="W161"/>
  <c r="X143"/>
  <c r="V143"/>
  <c r="W143"/>
  <c r="X132"/>
  <c r="V132"/>
  <c r="W132"/>
  <c r="X155"/>
  <c r="V155"/>
  <c r="W155"/>
  <c r="W75"/>
  <c r="X75"/>
  <c r="V75"/>
  <c r="Y75" s="1"/>
  <c r="Y7"/>
  <c r="W81"/>
  <c r="X81"/>
  <c r="V81"/>
  <c r="Y81" s="1"/>
  <c r="X201"/>
  <c r="V201"/>
  <c r="W201"/>
  <c r="X150"/>
  <c r="V150"/>
  <c r="W150"/>
  <c r="P134"/>
  <c r="Q134" s="1"/>
  <c r="X53"/>
  <c r="V53"/>
  <c r="W53"/>
  <c r="X44"/>
  <c r="V44"/>
  <c r="W44"/>
  <c r="X34"/>
  <c r="V34"/>
  <c r="W34"/>
  <c r="X24"/>
  <c r="V24"/>
  <c r="W24"/>
  <c r="X16"/>
  <c r="V16"/>
  <c r="W16"/>
  <c r="O120"/>
  <c r="P120" s="1"/>
  <c r="Q120" s="1"/>
  <c r="Z119"/>
  <c r="Z111"/>
  <c r="Z107"/>
  <c r="Z103"/>
  <c r="Z95"/>
  <c r="Z89"/>
  <c r="Z85"/>
  <c r="Z7"/>
  <c r="Q151"/>
  <c r="Q142"/>
  <c r="Q131"/>
  <c r="Z133"/>
  <c r="Z125"/>
  <c r="Z123"/>
  <c r="Z70"/>
  <c r="Z68"/>
  <c r="Z66"/>
  <c r="Z64"/>
  <c r="Z62"/>
  <c r="Z57"/>
  <c r="Z55"/>
  <c r="Z51"/>
  <c r="Z46"/>
  <c r="Z40"/>
  <c r="Z36"/>
  <c r="Z32"/>
  <c r="Z26"/>
  <c r="Z22"/>
  <c r="Z18"/>
  <c r="Z12"/>
  <c r="P160"/>
  <c r="Q160" s="1"/>
  <c r="Z127"/>
  <c r="Z69"/>
  <c r="Z65"/>
  <c r="Z63"/>
  <c r="Z61"/>
  <c r="Z54"/>
  <c r="Z52"/>
  <c r="Z50"/>
  <c r="Z45"/>
  <c r="Z41"/>
  <c r="Z39"/>
  <c r="Z35"/>
  <c r="Z33"/>
  <c r="Z31"/>
  <c r="Z25"/>
  <c r="Z23"/>
  <c r="Z21"/>
  <c r="Z17"/>
  <c r="Z15"/>
  <c r="Z11"/>
  <c r="Z82"/>
  <c r="W73"/>
  <c r="X73"/>
  <c r="V73"/>
  <c r="W79"/>
  <c r="X79"/>
  <c r="V79"/>
  <c r="W77"/>
  <c r="X77"/>
  <c r="V77"/>
  <c r="X159"/>
  <c r="V159"/>
  <c r="W159"/>
  <c r="Q138"/>
  <c r="P138"/>
  <c r="Q130"/>
  <c r="P130"/>
  <c r="X49"/>
  <c r="V49"/>
  <c r="W49"/>
  <c r="X38"/>
  <c r="V38"/>
  <c r="W38"/>
  <c r="X28"/>
  <c r="V28"/>
  <c r="W28"/>
  <c r="X20"/>
  <c r="V20"/>
  <c r="W20"/>
  <c r="X9"/>
  <c r="V9"/>
  <c r="W9"/>
  <c r="X144"/>
  <c r="V144"/>
  <c r="W144"/>
  <c r="P126"/>
  <c r="Q126" s="1"/>
  <c r="O126"/>
  <c r="Y137"/>
  <c r="Z137" s="1"/>
  <c r="Y118"/>
  <c r="Z118" s="1"/>
  <c r="Y114"/>
  <c r="Z114" s="1"/>
  <c r="Y110"/>
  <c r="Z110" s="1"/>
  <c r="Y106"/>
  <c r="Z106" s="1"/>
  <c r="Y102"/>
  <c r="Z102" s="1"/>
  <c r="Y98"/>
  <c r="Z98" s="1"/>
  <c r="Y94"/>
  <c r="Z94" s="1"/>
  <c r="Y88"/>
  <c r="Z88" s="1"/>
  <c r="Y84"/>
  <c r="Z84" s="1"/>
  <c r="P135"/>
  <c r="Q135" s="1"/>
  <c r="O200"/>
  <c r="P200" s="1"/>
  <c r="O162"/>
  <c r="P162" s="1"/>
  <c r="O158"/>
  <c r="P158" s="1"/>
  <c r="O154"/>
  <c r="O149"/>
  <c r="P149" s="1"/>
  <c r="O145"/>
  <c r="P145" s="1"/>
  <c r="Y117"/>
  <c r="Z117" s="1"/>
  <c r="Y113"/>
  <c r="Z113" s="1"/>
  <c r="Y109"/>
  <c r="Z109" s="1"/>
  <c r="Y105"/>
  <c r="Z105" s="1"/>
  <c r="Y101"/>
  <c r="Z101" s="1"/>
  <c r="Y97"/>
  <c r="Z97" s="1"/>
  <c r="Y93"/>
  <c r="Z93" s="1"/>
  <c r="Y87"/>
  <c r="Z87" s="1"/>
  <c r="Y116"/>
  <c r="Z116" s="1"/>
  <c r="Y112"/>
  <c r="Z112" s="1"/>
  <c r="Y108"/>
  <c r="Z108" s="1"/>
  <c r="Y104"/>
  <c r="Z104" s="1"/>
  <c r="Y100"/>
  <c r="Z100" s="1"/>
  <c r="Y96"/>
  <c r="Z96" s="1"/>
  <c r="Y92"/>
  <c r="Z92" s="1"/>
  <c r="Y86"/>
  <c r="Z86" s="1"/>
  <c r="Z78"/>
  <c r="Z74"/>
  <c r="Z71"/>
  <c r="Z76"/>
  <c r="Y113" i="4"/>
  <c r="Z113"/>
  <c r="Y118"/>
  <c r="Z64"/>
  <c r="X144"/>
  <c r="V144"/>
  <c r="W144"/>
  <c r="W112"/>
  <c r="X112"/>
  <c r="V112"/>
  <c r="Y112" s="1"/>
  <c r="X97"/>
  <c r="V97"/>
  <c r="W97"/>
  <c r="X40"/>
  <c r="V40"/>
  <c r="W40"/>
  <c r="X32"/>
  <c r="V32"/>
  <c r="W32"/>
  <c r="X22"/>
  <c r="V22"/>
  <c r="W22"/>
  <c r="X12"/>
  <c r="V12"/>
  <c r="W12"/>
  <c r="X157"/>
  <c r="V157"/>
  <c r="W157"/>
  <c r="X137"/>
  <c r="V137"/>
  <c r="W137"/>
  <c r="X117"/>
  <c r="V117"/>
  <c r="W117"/>
  <c r="X103"/>
  <c r="V103"/>
  <c r="W103"/>
  <c r="X85"/>
  <c r="V85"/>
  <c r="W85"/>
  <c r="X74"/>
  <c r="V74"/>
  <c r="W74"/>
  <c r="X133"/>
  <c r="V133"/>
  <c r="W133"/>
  <c r="X125"/>
  <c r="V125"/>
  <c r="W125"/>
  <c r="X105"/>
  <c r="V105"/>
  <c r="W105"/>
  <c r="X87"/>
  <c r="V87"/>
  <c r="W87"/>
  <c r="X46"/>
  <c r="V46"/>
  <c r="W46"/>
  <c r="X36"/>
  <c r="V36"/>
  <c r="W36"/>
  <c r="X26"/>
  <c r="V26"/>
  <c r="W26"/>
  <c r="X18"/>
  <c r="V18"/>
  <c r="W18"/>
  <c r="Q171"/>
  <c r="X7"/>
  <c r="V7"/>
  <c r="W7"/>
  <c r="X166"/>
  <c r="V166"/>
  <c r="W166"/>
  <c r="X148"/>
  <c r="V148"/>
  <c r="W148"/>
  <c r="X127"/>
  <c r="V127"/>
  <c r="W127"/>
  <c r="W111"/>
  <c r="V111"/>
  <c r="Y111" s="1"/>
  <c r="X111"/>
  <c r="Z111" s="1"/>
  <c r="X95"/>
  <c r="V95"/>
  <c r="W95"/>
  <c r="X78"/>
  <c r="V78"/>
  <c r="W78"/>
  <c r="X69"/>
  <c r="V69"/>
  <c r="W69"/>
  <c r="W61"/>
  <c r="X61"/>
  <c r="V61"/>
  <c r="Y61" s="1"/>
  <c r="X159"/>
  <c r="V159"/>
  <c r="W159"/>
  <c r="X119"/>
  <c r="V119"/>
  <c r="W119"/>
  <c r="X109"/>
  <c r="V109"/>
  <c r="Y109" s="1"/>
  <c r="W109"/>
  <c r="X93"/>
  <c r="V93"/>
  <c r="Y93" s="1"/>
  <c r="W93"/>
  <c r="X67"/>
  <c r="W67"/>
  <c r="V67"/>
  <c r="W114"/>
  <c r="X114"/>
  <c r="V114"/>
  <c r="X161"/>
  <c r="V161"/>
  <c r="Y161" s="1"/>
  <c r="W161"/>
  <c r="X44"/>
  <c r="V44"/>
  <c r="Y44" s="1"/>
  <c r="W44"/>
  <c r="X34"/>
  <c r="V34"/>
  <c r="Y34" s="1"/>
  <c r="W34"/>
  <c r="X24"/>
  <c r="V24"/>
  <c r="Y24" s="1"/>
  <c r="W24"/>
  <c r="X16"/>
  <c r="V16"/>
  <c r="Y16" s="1"/>
  <c r="W16"/>
  <c r="X155"/>
  <c r="V155"/>
  <c r="Y155" s="1"/>
  <c r="W155"/>
  <c r="X142"/>
  <c r="V142"/>
  <c r="Y142" s="1"/>
  <c r="W142"/>
  <c r="X131"/>
  <c r="V131"/>
  <c r="Y131" s="1"/>
  <c r="W131"/>
  <c r="X107"/>
  <c r="V107"/>
  <c r="Y107" s="1"/>
  <c r="W107"/>
  <c r="X89"/>
  <c r="V89"/>
  <c r="W89"/>
  <c r="X76"/>
  <c r="V76"/>
  <c r="Y76" s="1"/>
  <c r="W76"/>
  <c r="Z53"/>
  <c r="Z169"/>
  <c r="Z165"/>
  <c r="Z160"/>
  <c r="Z156"/>
  <c r="Z151"/>
  <c r="Z147"/>
  <c r="Z143"/>
  <c r="Z136"/>
  <c r="Z132"/>
  <c r="Z126"/>
  <c r="Z120"/>
  <c r="Z116"/>
  <c r="Z108"/>
  <c r="Z104"/>
  <c r="Z100"/>
  <c r="Z96"/>
  <c r="Z92"/>
  <c r="Z86"/>
  <c r="Z81"/>
  <c r="Z77"/>
  <c r="Z73"/>
  <c r="Z68"/>
  <c r="Z52"/>
  <c r="Z47"/>
  <c r="Z41"/>
  <c r="Z37"/>
  <c r="Z33"/>
  <c r="Z27"/>
  <c r="Z23"/>
  <c r="Z19"/>
  <c r="Z15"/>
  <c r="Z8"/>
  <c r="Z167"/>
  <c r="Z162"/>
  <c r="Z158"/>
  <c r="Z154"/>
  <c r="Z149"/>
  <c r="Z145"/>
  <c r="Z138"/>
  <c r="Z134"/>
  <c r="Z130"/>
  <c r="Z124"/>
  <c r="Z118"/>
  <c r="Z110"/>
  <c r="Z106"/>
  <c r="Z102"/>
  <c r="Z98"/>
  <c r="Z94"/>
  <c r="Z88"/>
  <c r="Z84"/>
  <c r="Z79"/>
  <c r="Y75"/>
  <c r="Z75" s="1"/>
  <c r="Y70"/>
  <c r="Z70" s="1"/>
  <c r="Y50"/>
  <c r="Z50" s="1"/>
  <c r="Y45"/>
  <c r="Z45" s="1"/>
  <c r="Y39"/>
  <c r="Z39" s="1"/>
  <c r="Y35"/>
  <c r="Z35" s="1"/>
  <c r="Y31"/>
  <c r="Z31" s="1"/>
  <c r="Y25"/>
  <c r="Z25" s="1"/>
  <c r="Y21"/>
  <c r="Z21" s="1"/>
  <c r="Y17"/>
  <c r="Z17" s="1"/>
  <c r="Y11"/>
  <c r="Z11" s="1"/>
  <c r="Y115"/>
  <c r="Z115" s="1"/>
  <c r="W65"/>
  <c r="X65"/>
  <c r="V65"/>
  <c r="X168"/>
  <c r="V168"/>
  <c r="Y168" s="1"/>
  <c r="W168"/>
  <c r="X150"/>
  <c r="V150"/>
  <c r="Y150" s="1"/>
  <c r="W150"/>
  <c r="X101"/>
  <c r="V101"/>
  <c r="Y101" s="1"/>
  <c r="W101"/>
  <c r="X82"/>
  <c r="V82"/>
  <c r="Y82" s="1"/>
  <c r="W82"/>
  <c r="W56"/>
  <c r="X56"/>
  <c r="V56"/>
  <c r="X170"/>
  <c r="V170"/>
  <c r="Y170" s="1"/>
  <c r="W170"/>
  <c r="X152"/>
  <c r="V152"/>
  <c r="Y152" s="1"/>
  <c r="W152"/>
  <c r="X49"/>
  <c r="V49"/>
  <c r="Y49" s="1"/>
  <c r="W49"/>
  <c r="X38"/>
  <c r="V38"/>
  <c r="Y38" s="1"/>
  <c r="W38"/>
  <c r="X28"/>
  <c r="V28"/>
  <c r="Y28" s="1"/>
  <c r="W28"/>
  <c r="X20"/>
  <c r="V20"/>
  <c r="Y20" s="1"/>
  <c r="W20"/>
  <c r="X9"/>
  <c r="V9"/>
  <c r="Y9" s="1"/>
  <c r="W9"/>
  <c r="X163"/>
  <c r="V163"/>
  <c r="Y163" s="1"/>
  <c r="W163"/>
  <c r="X146"/>
  <c r="V146"/>
  <c r="Y146" s="1"/>
  <c r="W146"/>
  <c r="X135"/>
  <c r="V135"/>
  <c r="Y135" s="1"/>
  <c r="W135"/>
  <c r="X123"/>
  <c r="V123"/>
  <c r="Y123" s="1"/>
  <c r="W123"/>
  <c r="X99"/>
  <c r="V99"/>
  <c r="Y99" s="1"/>
  <c r="W99"/>
  <c r="X80"/>
  <c r="V80"/>
  <c r="Y80" s="1"/>
  <c r="W80"/>
  <c r="X71"/>
  <c r="V71"/>
  <c r="Y71" s="1"/>
  <c r="W71"/>
  <c r="W63"/>
  <c r="X63"/>
  <c r="V63"/>
  <c r="Y54"/>
  <c r="Z54" s="1"/>
  <c r="Y87" i="3"/>
  <c r="Y50"/>
  <c r="W162"/>
  <c r="X162"/>
  <c r="V162"/>
  <c r="Y162" s="1"/>
  <c r="W145"/>
  <c r="X145"/>
  <c r="V145"/>
  <c r="Y145" s="1"/>
  <c r="W134"/>
  <c r="X134"/>
  <c r="V134"/>
  <c r="Y134" s="1"/>
  <c r="W124"/>
  <c r="X124"/>
  <c r="V124"/>
  <c r="Y124" s="1"/>
  <c r="W111"/>
  <c r="X111"/>
  <c r="V111"/>
  <c r="Y111" s="1"/>
  <c r="W167"/>
  <c r="X167"/>
  <c r="V167"/>
  <c r="Y167" s="1"/>
  <c r="W158"/>
  <c r="X158"/>
  <c r="V158"/>
  <c r="Y158" s="1"/>
  <c r="W154"/>
  <c r="X154"/>
  <c r="V154"/>
  <c r="Y154" s="1"/>
  <c r="W78"/>
  <c r="X78"/>
  <c r="V78"/>
  <c r="Y78" s="1"/>
  <c r="W74"/>
  <c r="X74"/>
  <c r="V74"/>
  <c r="Y74" s="1"/>
  <c r="W69"/>
  <c r="X69"/>
  <c r="V69"/>
  <c r="Y69" s="1"/>
  <c r="W68"/>
  <c r="V68"/>
  <c r="Y68" s="1"/>
  <c r="X68"/>
  <c r="Z68" s="1"/>
  <c r="W113"/>
  <c r="X113"/>
  <c r="V113"/>
  <c r="Y113" s="1"/>
  <c r="W149"/>
  <c r="X149"/>
  <c r="V149"/>
  <c r="Y149" s="1"/>
  <c r="W138"/>
  <c r="X138"/>
  <c r="V138"/>
  <c r="Y138" s="1"/>
  <c r="W130"/>
  <c r="X130"/>
  <c r="V130"/>
  <c r="Y130" s="1"/>
  <c r="W118"/>
  <c r="X118"/>
  <c r="V118"/>
  <c r="Y118" s="1"/>
  <c r="W76"/>
  <c r="X76"/>
  <c r="V76"/>
  <c r="Y76" s="1"/>
  <c r="W170"/>
  <c r="X170"/>
  <c r="V170"/>
  <c r="Y170" s="1"/>
  <c r="W161"/>
  <c r="X161"/>
  <c r="V161"/>
  <c r="Y161" s="1"/>
  <c r="W152"/>
  <c r="X152"/>
  <c r="V152"/>
  <c r="Y152" s="1"/>
  <c r="W144"/>
  <c r="X144"/>
  <c r="V144"/>
  <c r="Y144" s="1"/>
  <c r="W133"/>
  <c r="X133"/>
  <c r="V133"/>
  <c r="Y133" s="1"/>
  <c r="W123"/>
  <c r="X123"/>
  <c r="V123"/>
  <c r="Y123" s="1"/>
  <c r="X106"/>
  <c r="V106"/>
  <c r="W106"/>
  <c r="X98"/>
  <c r="V98"/>
  <c r="W98"/>
  <c r="X88"/>
  <c r="V88"/>
  <c r="W88"/>
  <c r="Y7"/>
  <c r="Z7" s="1"/>
  <c r="W71"/>
  <c r="X71"/>
  <c r="V71"/>
  <c r="Y71" s="1"/>
  <c r="Q165"/>
  <c r="Q156"/>
  <c r="Q147"/>
  <c r="Q136"/>
  <c r="Q126"/>
  <c r="Q116"/>
  <c r="P115"/>
  <c r="Q115" s="1"/>
  <c r="Z109"/>
  <c r="Z107"/>
  <c r="Z105"/>
  <c r="Z103"/>
  <c r="Z101"/>
  <c r="Z99"/>
  <c r="Z97"/>
  <c r="Z95"/>
  <c r="Z93"/>
  <c r="Z89"/>
  <c r="Z87"/>
  <c r="Z85"/>
  <c r="Z82"/>
  <c r="Z80"/>
  <c r="Z67"/>
  <c r="Z65"/>
  <c r="Z63"/>
  <c r="Z61"/>
  <c r="Z56"/>
  <c r="Z54"/>
  <c r="Z52"/>
  <c r="Z50"/>
  <c r="Z47"/>
  <c r="Z45"/>
  <c r="Z41"/>
  <c r="Z39"/>
  <c r="Z37"/>
  <c r="Z35"/>
  <c r="Z33"/>
  <c r="Z31"/>
  <c r="Z27"/>
  <c r="Z25"/>
  <c r="Z23"/>
  <c r="Z21"/>
  <c r="Z19"/>
  <c r="Z17"/>
  <c r="Z15"/>
  <c r="Z11"/>
  <c r="Z8"/>
  <c r="P169"/>
  <c r="Q169" s="1"/>
  <c r="P160"/>
  <c r="Q160" s="1"/>
  <c r="P151"/>
  <c r="Q151" s="1"/>
  <c r="P143"/>
  <c r="Q143" s="1"/>
  <c r="P132"/>
  <c r="Q132" s="1"/>
  <c r="P120"/>
  <c r="Q120" s="1"/>
  <c r="Z108"/>
  <c r="Z104"/>
  <c r="Z100"/>
  <c r="Y96"/>
  <c r="Z96"/>
  <c r="Y92"/>
  <c r="Z92"/>
  <c r="Y86"/>
  <c r="Z86"/>
  <c r="Y81"/>
  <c r="Z81"/>
  <c r="Y79"/>
  <c r="Z79"/>
  <c r="Y66"/>
  <c r="Z66"/>
  <c r="Y64"/>
  <c r="Z64" s="1"/>
  <c r="Y62"/>
  <c r="Z62"/>
  <c r="Y57"/>
  <c r="Z57"/>
  <c r="Y55"/>
  <c r="Z55"/>
  <c r="Y53"/>
  <c r="Z53"/>
  <c r="Y51"/>
  <c r="Z51"/>
  <c r="Y49"/>
  <c r="Z49"/>
  <c r="Y46"/>
  <c r="Z46"/>
  <c r="Y44"/>
  <c r="Z44" s="1"/>
  <c r="Y40"/>
  <c r="Z40"/>
  <c r="Y38"/>
  <c r="Z38"/>
  <c r="Y36"/>
  <c r="Z36"/>
  <c r="Y34"/>
  <c r="Z34"/>
  <c r="Y32"/>
  <c r="Z32"/>
  <c r="Y28"/>
  <c r="Z28"/>
  <c r="Y26"/>
  <c r="Z26"/>
  <c r="Y24"/>
  <c r="Z24"/>
  <c r="Y22"/>
  <c r="Z22"/>
  <c r="Y20"/>
  <c r="Z20"/>
  <c r="Y18"/>
  <c r="Z18"/>
  <c r="Y16"/>
  <c r="Z16"/>
  <c r="Y12"/>
  <c r="Z12"/>
  <c r="Y9"/>
  <c r="Z9"/>
  <c r="W166"/>
  <c r="X166"/>
  <c r="V166"/>
  <c r="Y166" s="1"/>
  <c r="W157"/>
  <c r="X157"/>
  <c r="V157"/>
  <c r="Y157" s="1"/>
  <c r="W148"/>
  <c r="X148"/>
  <c r="V148"/>
  <c r="Y148" s="1"/>
  <c r="W137"/>
  <c r="X137"/>
  <c r="V137"/>
  <c r="Y137" s="1"/>
  <c r="W127"/>
  <c r="X127"/>
  <c r="V127"/>
  <c r="Y127" s="1"/>
  <c r="W117"/>
  <c r="X117"/>
  <c r="V117"/>
  <c r="Y117" s="1"/>
  <c r="X110"/>
  <c r="V110"/>
  <c r="W110"/>
  <c r="X102"/>
  <c r="V102"/>
  <c r="W102"/>
  <c r="X94"/>
  <c r="V94"/>
  <c r="W94"/>
  <c r="X84"/>
  <c r="V84"/>
  <c r="W84"/>
  <c r="Y168"/>
  <c r="Z168" s="1"/>
  <c r="Y163"/>
  <c r="Z163" s="1"/>
  <c r="Y159"/>
  <c r="Z159" s="1"/>
  <c r="Y155"/>
  <c r="Z155" s="1"/>
  <c r="Y150"/>
  <c r="Z150" s="1"/>
  <c r="Y146"/>
  <c r="Z146" s="1"/>
  <c r="Y142"/>
  <c r="Z142" s="1"/>
  <c r="Y135"/>
  <c r="Z135" s="1"/>
  <c r="Y131"/>
  <c r="Z131" s="1"/>
  <c r="Y125"/>
  <c r="Z125" s="1"/>
  <c r="Y119"/>
  <c r="Z119" s="1"/>
  <c r="Z112"/>
  <c r="Z77"/>
  <c r="Y89" i="2"/>
  <c r="Y84"/>
  <c r="Y98"/>
  <c r="Y63"/>
  <c r="Y47"/>
  <c r="Y25"/>
  <c r="Y23"/>
  <c r="W161"/>
  <c r="X161"/>
  <c r="V161"/>
  <c r="Y161" s="1"/>
  <c r="W152"/>
  <c r="X152"/>
  <c r="V152"/>
  <c r="Y152" s="1"/>
  <c r="W144"/>
  <c r="X144"/>
  <c r="V144"/>
  <c r="Y144" s="1"/>
  <c r="W133"/>
  <c r="X133"/>
  <c r="V133"/>
  <c r="Y133" s="1"/>
  <c r="W123"/>
  <c r="X123"/>
  <c r="V123"/>
  <c r="Y123" s="1"/>
  <c r="W113"/>
  <c r="X113"/>
  <c r="V113"/>
  <c r="Y113" s="1"/>
  <c r="W168"/>
  <c r="X168"/>
  <c r="V168"/>
  <c r="Y168" s="1"/>
  <c r="W166"/>
  <c r="X166"/>
  <c r="V166"/>
  <c r="Y166" s="1"/>
  <c r="W157"/>
  <c r="X157"/>
  <c r="V157"/>
  <c r="Y157" s="1"/>
  <c r="W148"/>
  <c r="X148"/>
  <c r="V148"/>
  <c r="Y148" s="1"/>
  <c r="W137"/>
  <c r="X137"/>
  <c r="V137"/>
  <c r="Y137" s="1"/>
  <c r="W127"/>
  <c r="X127"/>
  <c r="V127"/>
  <c r="Y127" s="1"/>
  <c r="W117"/>
  <c r="X117"/>
  <c r="V117"/>
  <c r="Y117" s="1"/>
  <c r="W73"/>
  <c r="X73"/>
  <c r="V73"/>
  <c r="Y73" s="1"/>
  <c r="X79"/>
  <c r="W79"/>
  <c r="V79"/>
  <c r="Y79" s="1"/>
  <c r="W75"/>
  <c r="X75"/>
  <c r="V75"/>
  <c r="Y75" s="1"/>
  <c r="Y7"/>
  <c r="Z7" s="1"/>
  <c r="Q159"/>
  <c r="Q142"/>
  <c r="Q119"/>
  <c r="Z107"/>
  <c r="Z103"/>
  <c r="Z99"/>
  <c r="Z95"/>
  <c r="Z89"/>
  <c r="Z85"/>
  <c r="Z80"/>
  <c r="P159"/>
  <c r="P150"/>
  <c r="Q150" s="1"/>
  <c r="P142"/>
  <c r="P131"/>
  <c r="Q131" s="1"/>
  <c r="P119"/>
  <c r="Z110"/>
  <c r="Z106"/>
  <c r="Z102"/>
  <c r="Z98"/>
  <c r="Z94"/>
  <c r="Z88"/>
  <c r="Z84"/>
  <c r="Z65"/>
  <c r="Z63"/>
  <c r="Z61"/>
  <c r="Z56"/>
  <c r="Z54"/>
  <c r="Z52"/>
  <c r="Z50"/>
  <c r="Z47"/>
  <c r="Z45"/>
  <c r="Z41"/>
  <c r="Z39"/>
  <c r="Z37"/>
  <c r="Z35"/>
  <c r="Z33"/>
  <c r="Z31"/>
  <c r="Z27"/>
  <c r="Z25"/>
  <c r="Z23"/>
  <c r="Y21"/>
  <c r="Z21"/>
  <c r="Y19"/>
  <c r="Z19"/>
  <c r="Y17"/>
  <c r="Z17"/>
  <c r="Y15"/>
  <c r="Z15"/>
  <c r="Y11"/>
  <c r="Z11"/>
  <c r="Y8"/>
  <c r="Z8"/>
  <c r="Y40"/>
  <c r="Z40"/>
  <c r="Y34"/>
  <c r="Z34"/>
  <c r="Y28"/>
  <c r="Z28"/>
  <c r="Y24"/>
  <c r="Z24"/>
  <c r="Y20"/>
  <c r="Z20"/>
  <c r="Y16"/>
  <c r="Z16"/>
  <c r="Y9"/>
  <c r="Z9"/>
  <c r="Z111"/>
  <c r="Y108"/>
  <c r="Z108" s="1"/>
  <c r="Y104"/>
  <c r="Z104" s="1"/>
  <c r="Y100"/>
  <c r="Z100" s="1"/>
  <c r="Y96"/>
  <c r="Z96" s="1"/>
  <c r="Y92"/>
  <c r="Z92" s="1"/>
  <c r="Y86"/>
  <c r="Z86" s="1"/>
  <c r="Y81"/>
  <c r="Z81" s="1"/>
  <c r="Y66"/>
  <c r="Z66" s="1"/>
  <c r="Y64"/>
  <c r="Z64" s="1"/>
  <c r="Y62"/>
  <c r="Z62" s="1"/>
  <c r="Y57"/>
  <c r="Z57" s="1"/>
  <c r="Y55"/>
  <c r="Z55" s="1"/>
  <c r="Y53"/>
  <c r="Z53" s="1"/>
  <c r="Y51"/>
  <c r="Z51" s="1"/>
  <c r="Y49"/>
  <c r="Z49" s="1"/>
  <c r="Y46"/>
  <c r="Z46" s="1"/>
  <c r="Y44"/>
  <c r="Z44" s="1"/>
  <c r="Y38"/>
  <c r="Z38" s="1"/>
  <c r="Y36"/>
  <c r="Z36" s="1"/>
  <c r="Y32"/>
  <c r="Z32" s="1"/>
  <c r="Y26"/>
  <c r="Z26" s="1"/>
  <c r="Y22"/>
  <c r="Z22" s="1"/>
  <c r="Y18"/>
  <c r="Z18" s="1"/>
  <c r="Y12"/>
  <c r="Z12" s="1"/>
  <c r="W68"/>
  <c r="X68"/>
  <c r="V68"/>
  <c r="W70"/>
  <c r="X70"/>
  <c r="V70"/>
  <c r="W77"/>
  <c r="X77"/>
  <c r="V77"/>
  <c r="Y109"/>
  <c r="Z109" s="1"/>
  <c r="Y105"/>
  <c r="Z105" s="1"/>
  <c r="Y101"/>
  <c r="Z101" s="1"/>
  <c r="Y97"/>
  <c r="Z97" s="1"/>
  <c r="Y93"/>
  <c r="Z93" s="1"/>
  <c r="Y87"/>
  <c r="Z87" s="1"/>
  <c r="Y82"/>
  <c r="Z82" s="1"/>
  <c r="P163"/>
  <c r="Q163" s="1"/>
  <c r="P155"/>
  <c r="Q155" s="1"/>
  <c r="P146"/>
  <c r="Q146" s="1"/>
  <c r="P135"/>
  <c r="Q135" s="1"/>
  <c r="P125"/>
  <c r="Q125" s="1"/>
  <c r="P115"/>
  <c r="Q115" s="1"/>
  <c r="Y167"/>
  <c r="Z167" s="1"/>
  <c r="Y162"/>
  <c r="Z162" s="1"/>
  <c r="Y158"/>
  <c r="Z158" s="1"/>
  <c r="Y154"/>
  <c r="Z154" s="1"/>
  <c r="Y149"/>
  <c r="Z149" s="1"/>
  <c r="Y145"/>
  <c r="Z145" s="1"/>
  <c r="Y138"/>
  <c r="Z138" s="1"/>
  <c r="Y134"/>
  <c r="Z134" s="1"/>
  <c r="Y130"/>
  <c r="Z130" s="1"/>
  <c r="Y124"/>
  <c r="Z124" s="1"/>
  <c r="Y118"/>
  <c r="Z118" s="1"/>
  <c r="Y114"/>
  <c r="Z114" s="1"/>
  <c r="Z67"/>
  <c r="P170"/>
  <c r="Q170" s="1"/>
  <c r="Z169"/>
  <c r="Z165"/>
  <c r="Z160"/>
  <c r="Z156"/>
  <c r="Z151"/>
  <c r="Z147"/>
  <c r="Z143"/>
  <c r="Z136"/>
  <c r="Z132"/>
  <c r="Z126"/>
  <c r="Z120"/>
  <c r="Z116"/>
  <c r="Y144" i="5" l="1"/>
  <c r="Z144" s="1"/>
  <c r="Y20"/>
  <c r="Y38"/>
  <c r="Z38" s="1"/>
  <c r="Y146"/>
  <c r="Y147"/>
  <c r="Z147" s="1"/>
  <c r="Y198"/>
  <c r="Y152"/>
  <c r="Z152" s="1"/>
  <c r="Y124"/>
  <c r="Y193"/>
  <c r="Y177"/>
  <c r="W156"/>
  <c r="Y156" s="1"/>
  <c r="Z156" s="1"/>
  <c r="Y185"/>
  <c r="Y189"/>
  <c r="Z189" s="1"/>
  <c r="Y167"/>
  <c r="Z167" s="1"/>
  <c r="Z185"/>
  <c r="Y163"/>
  <c r="Z163" s="1"/>
  <c r="Y181"/>
  <c r="Z181" s="1"/>
  <c r="Z193"/>
  <c r="Z177"/>
  <c r="Y171"/>
  <c r="Z171" s="1"/>
  <c r="Y159"/>
  <c r="Y157"/>
  <c r="Y9"/>
  <c r="Y28"/>
  <c r="Y49"/>
  <c r="Y148"/>
  <c r="Z148" s="1"/>
  <c r="Y199"/>
  <c r="Y196"/>
  <c r="Z196" s="1"/>
  <c r="Y136"/>
  <c r="Y206"/>
  <c r="Y203"/>
  <c r="Z203" s="1"/>
  <c r="X135"/>
  <c r="V135"/>
  <c r="W135"/>
  <c r="X160"/>
  <c r="V160"/>
  <c r="W160"/>
  <c r="X120"/>
  <c r="V120"/>
  <c r="W120"/>
  <c r="X134"/>
  <c r="V134"/>
  <c r="W134"/>
  <c r="X126"/>
  <c r="V126"/>
  <c r="W126"/>
  <c r="X130"/>
  <c r="V130"/>
  <c r="W130"/>
  <c r="X138"/>
  <c r="V138"/>
  <c r="W138"/>
  <c r="X151"/>
  <c r="V151"/>
  <c r="W151"/>
  <c r="Z9"/>
  <c r="Z20"/>
  <c r="Z28"/>
  <c r="Z49"/>
  <c r="Z159"/>
  <c r="Q149"/>
  <c r="Q158"/>
  <c r="Q200"/>
  <c r="Z157"/>
  <c r="Z199"/>
  <c r="Z146"/>
  <c r="Z198"/>
  <c r="Z136"/>
  <c r="Z206"/>
  <c r="Z124"/>
  <c r="X131"/>
  <c r="V131"/>
  <c r="W131"/>
  <c r="X142"/>
  <c r="V142"/>
  <c r="W142"/>
  <c r="X202"/>
  <c r="V202"/>
  <c r="W202"/>
  <c r="P154"/>
  <c r="Q154" s="1"/>
  <c r="Y77"/>
  <c r="Z77" s="1"/>
  <c r="Y79"/>
  <c r="Z79" s="1"/>
  <c r="Y73"/>
  <c r="Z73" s="1"/>
  <c r="Q145"/>
  <c r="Q162"/>
  <c r="Y16"/>
  <c r="Z16"/>
  <c r="Y24"/>
  <c r="Z24"/>
  <c r="Y34"/>
  <c r="Z34"/>
  <c r="Y44"/>
  <c r="Z44"/>
  <c r="Y53"/>
  <c r="Z53"/>
  <c r="Y150"/>
  <c r="Z150"/>
  <c r="Y201"/>
  <c r="Z201"/>
  <c r="Z81"/>
  <c r="Z75"/>
  <c r="Y155"/>
  <c r="Z155" s="1"/>
  <c r="Y132"/>
  <c r="Z132" s="1"/>
  <c r="Y143"/>
  <c r="Z143" s="1"/>
  <c r="Y161"/>
  <c r="Z161" s="1"/>
  <c r="Y89" i="4"/>
  <c r="Y63"/>
  <c r="Z63" s="1"/>
  <c r="Y56"/>
  <c r="Z56" s="1"/>
  <c r="Y65"/>
  <c r="Z65" s="1"/>
  <c r="Y114"/>
  <c r="Z114" s="1"/>
  <c r="Y67"/>
  <c r="Z67" s="1"/>
  <c r="X171"/>
  <c r="U173" s="1"/>
  <c r="Y18"/>
  <c r="Z18" s="1"/>
  <c r="Y26"/>
  <c r="Z26" s="1"/>
  <c r="Y36"/>
  <c r="Z36" s="1"/>
  <c r="Y46"/>
  <c r="Z46" s="1"/>
  <c r="Y87"/>
  <c r="Z87" s="1"/>
  <c r="Y105"/>
  <c r="Z105" s="1"/>
  <c r="Y125"/>
  <c r="Z125" s="1"/>
  <c r="Y133"/>
  <c r="Z133" s="1"/>
  <c r="Y74"/>
  <c r="Z74" s="1"/>
  <c r="Y85"/>
  <c r="Z85" s="1"/>
  <c r="Y103"/>
  <c r="Z103" s="1"/>
  <c r="Y117"/>
  <c r="Z117" s="1"/>
  <c r="Y137"/>
  <c r="Z137" s="1"/>
  <c r="Y157"/>
  <c r="Z157" s="1"/>
  <c r="Y12"/>
  <c r="Z12" s="1"/>
  <c r="Y22"/>
  <c r="Z22" s="1"/>
  <c r="Y32"/>
  <c r="Z32" s="1"/>
  <c r="Y40"/>
  <c r="Z40" s="1"/>
  <c r="Y97"/>
  <c r="Z97" s="1"/>
  <c r="Z112"/>
  <c r="Y144"/>
  <c r="Z144"/>
  <c r="Y7"/>
  <c r="U172" s="1"/>
  <c r="Z71"/>
  <c r="Z80"/>
  <c r="Z99"/>
  <c r="Z123"/>
  <c r="Z135"/>
  <c r="Z146"/>
  <c r="Z163"/>
  <c r="Z9"/>
  <c r="Z20"/>
  <c r="Z28"/>
  <c r="Z38"/>
  <c r="Z49"/>
  <c r="Z152"/>
  <c r="Z170"/>
  <c r="Z82"/>
  <c r="Z101"/>
  <c r="Z150"/>
  <c r="Z168"/>
  <c r="Z76"/>
  <c r="Z89"/>
  <c r="Z107"/>
  <c r="Z131"/>
  <c r="Z142"/>
  <c r="Z155"/>
  <c r="Z16"/>
  <c r="Z24"/>
  <c r="Z34"/>
  <c r="Z44"/>
  <c r="Z161"/>
  <c r="Z93"/>
  <c r="Z109"/>
  <c r="Y119"/>
  <c r="Z119" s="1"/>
  <c r="Y159"/>
  <c r="Z159" s="1"/>
  <c r="Z61"/>
  <c r="Y69"/>
  <c r="Z69"/>
  <c r="Y78"/>
  <c r="Z78"/>
  <c r="Y95"/>
  <c r="Z95"/>
  <c r="Y127"/>
  <c r="Z127"/>
  <c r="Y148"/>
  <c r="Z148"/>
  <c r="Y166"/>
  <c r="Z166"/>
  <c r="Z7"/>
  <c r="W120" i="3"/>
  <c r="X120"/>
  <c r="V120"/>
  <c r="Y120" s="1"/>
  <c r="W143"/>
  <c r="X143"/>
  <c r="V143"/>
  <c r="Y143" s="1"/>
  <c r="W160"/>
  <c r="X160"/>
  <c r="V160"/>
  <c r="Y160" s="1"/>
  <c r="W132"/>
  <c r="X132"/>
  <c r="V132"/>
  <c r="Y132" s="1"/>
  <c r="W151"/>
  <c r="X151"/>
  <c r="V151"/>
  <c r="Y151" s="1"/>
  <c r="W169"/>
  <c r="X169"/>
  <c r="V169"/>
  <c r="Y169" s="1"/>
  <c r="W115"/>
  <c r="X115"/>
  <c r="V115"/>
  <c r="Y115" s="1"/>
  <c r="Q171"/>
  <c r="W126"/>
  <c r="X126"/>
  <c r="V126"/>
  <c r="W147"/>
  <c r="X147"/>
  <c r="V147"/>
  <c r="W165"/>
  <c r="X165"/>
  <c r="V165"/>
  <c r="Y84"/>
  <c r="Z84" s="1"/>
  <c r="Y94"/>
  <c r="Z94" s="1"/>
  <c r="Y102"/>
  <c r="Z102" s="1"/>
  <c r="Y110"/>
  <c r="Z110" s="1"/>
  <c r="Z71"/>
  <c r="Y88"/>
  <c r="Z88" s="1"/>
  <c r="Y98"/>
  <c r="Z98" s="1"/>
  <c r="Y106"/>
  <c r="Z106" s="1"/>
  <c r="Z76"/>
  <c r="Z113"/>
  <c r="Z69"/>
  <c r="Z74"/>
  <c r="Z78"/>
  <c r="Z111"/>
  <c r="W116"/>
  <c r="X116"/>
  <c r="X171" s="1"/>
  <c r="U173" s="1"/>
  <c r="V116"/>
  <c r="W136"/>
  <c r="X136"/>
  <c r="V136"/>
  <c r="W156"/>
  <c r="X156"/>
  <c r="V156"/>
  <c r="Z117"/>
  <c r="Z127"/>
  <c r="Z137"/>
  <c r="Z148"/>
  <c r="Z157"/>
  <c r="Z166"/>
  <c r="Z123"/>
  <c r="Z133"/>
  <c r="Z144"/>
  <c r="Z152"/>
  <c r="Z161"/>
  <c r="Z170"/>
  <c r="Z118"/>
  <c r="Z130"/>
  <c r="Z138"/>
  <c r="Z149"/>
  <c r="Z154"/>
  <c r="Z158"/>
  <c r="Z167"/>
  <c r="Z124"/>
  <c r="Z134"/>
  <c r="Z145"/>
  <c r="Z162"/>
  <c r="W146" i="2"/>
  <c r="X146"/>
  <c r="V146"/>
  <c r="Y146" s="1"/>
  <c r="W170"/>
  <c r="X170"/>
  <c r="V170"/>
  <c r="Y170" s="1"/>
  <c r="W115"/>
  <c r="X115"/>
  <c r="V115"/>
  <c r="Y115" s="1"/>
  <c r="Q171"/>
  <c r="W135"/>
  <c r="X135"/>
  <c r="V135"/>
  <c r="W155"/>
  <c r="X155"/>
  <c r="V155"/>
  <c r="W125"/>
  <c r="X125"/>
  <c r="V125"/>
  <c r="W163"/>
  <c r="X163"/>
  <c r="V163"/>
  <c r="W131"/>
  <c r="X131"/>
  <c r="V131"/>
  <c r="W150"/>
  <c r="X150"/>
  <c r="V150"/>
  <c r="Y77"/>
  <c r="Z77" s="1"/>
  <c r="Y70"/>
  <c r="Z70" s="1"/>
  <c r="Y68"/>
  <c r="Z68" s="1"/>
  <c r="Z75"/>
  <c r="Z79"/>
  <c r="Z73"/>
  <c r="Z113"/>
  <c r="W119"/>
  <c r="X119"/>
  <c r="V119"/>
  <c r="Y119" s="1"/>
  <c r="W142"/>
  <c r="X142"/>
  <c r="V142"/>
  <c r="Y142" s="1"/>
  <c r="W159"/>
  <c r="X159"/>
  <c r="V159"/>
  <c r="Y159" s="1"/>
  <c r="Z117"/>
  <c r="Z127"/>
  <c r="Z137"/>
  <c r="Z148"/>
  <c r="Z157"/>
  <c r="Z166"/>
  <c r="Z168"/>
  <c r="Z123"/>
  <c r="Z133"/>
  <c r="Z144"/>
  <c r="Z152"/>
  <c r="Z161"/>
  <c r="Y151" i="5" l="1"/>
  <c r="Y130"/>
  <c r="Y134"/>
  <c r="Y138"/>
  <c r="Z138" s="1"/>
  <c r="Y126"/>
  <c r="Y135"/>
  <c r="Z135" s="1"/>
  <c r="X154"/>
  <c r="V154"/>
  <c r="W154"/>
  <c r="X162"/>
  <c r="V162"/>
  <c r="W162"/>
  <c r="X158"/>
  <c r="V158"/>
  <c r="W158"/>
  <c r="Z151"/>
  <c r="Z130"/>
  <c r="Z126"/>
  <c r="Z134"/>
  <c r="X145"/>
  <c r="V145"/>
  <c r="W145"/>
  <c r="X200"/>
  <c r="V200"/>
  <c r="W200"/>
  <c r="X149"/>
  <c r="V149"/>
  <c r="W149"/>
  <c r="Y202"/>
  <c r="Z202" s="1"/>
  <c r="Y142"/>
  <c r="Z142" s="1"/>
  <c r="Y131"/>
  <c r="Z131" s="1"/>
  <c r="Q207"/>
  <c r="Y120"/>
  <c r="Z120"/>
  <c r="Y160"/>
  <c r="Z160"/>
  <c r="Z171" i="4"/>
  <c r="Z174" s="1"/>
  <c r="Y156" i="3"/>
  <c r="Z156" s="1"/>
  <c r="Y136"/>
  <c r="Z136" s="1"/>
  <c r="Y116"/>
  <c r="Z116" s="1"/>
  <c r="U172"/>
  <c r="Y165"/>
  <c r="Z165"/>
  <c r="Y147"/>
  <c r="Z147"/>
  <c r="Y126"/>
  <c r="Z126"/>
  <c r="Z115"/>
  <c r="Z169"/>
  <c r="Z151"/>
  <c r="Z132"/>
  <c r="Z160"/>
  <c r="Z143"/>
  <c r="Z120"/>
  <c r="Z159" i="2"/>
  <c r="Z142"/>
  <c r="Z119"/>
  <c r="U172"/>
  <c r="Y150"/>
  <c r="Z150"/>
  <c r="Y131"/>
  <c r="Z131"/>
  <c r="Y163"/>
  <c r="Z163"/>
  <c r="Y125"/>
  <c r="Z125"/>
  <c r="Y155"/>
  <c r="Z155"/>
  <c r="Y135"/>
  <c r="Z135"/>
  <c r="X171"/>
  <c r="U173" s="1"/>
  <c r="Z115"/>
  <c r="Z170"/>
  <c r="Z146"/>
  <c r="Y149" i="5" l="1"/>
  <c r="Y200"/>
  <c r="Z200" s="1"/>
  <c r="X207"/>
  <c r="U209" s="1"/>
  <c r="Z149"/>
  <c r="Y145"/>
  <c r="U208" s="1"/>
  <c r="Z145"/>
  <c r="Y158"/>
  <c r="Z158" s="1"/>
  <c r="Y162"/>
  <c r="Z162" s="1"/>
  <c r="Y154"/>
  <c r="Z154" s="1"/>
  <c r="Z171" i="3"/>
  <c r="Z174" s="1"/>
  <c r="Z171" i="2"/>
  <c r="Z207" i="5" l="1"/>
  <c r="Z210" s="1"/>
</calcChain>
</file>

<file path=xl/sharedStrings.xml><?xml version="1.0" encoding="utf-8"?>
<sst xmlns="http://schemas.openxmlformats.org/spreadsheetml/2006/main" count="1456" uniqueCount="233">
  <si>
    <t>Total CPM &amp; Commissioning</t>
  </si>
  <si>
    <t>Total Pre-design, Design &amp; Fees on Design</t>
  </si>
  <si>
    <t xml:space="preserve">Total Project Cost </t>
  </si>
  <si>
    <t>LF</t>
  </si>
  <si>
    <t xml:space="preserve">Emergency repair of HDS pipe insulation including removal of existing ACM pipe insulation </t>
  </si>
  <si>
    <t>EA</t>
  </si>
  <si>
    <t xml:space="preserve">Water well station - Bldg ? </t>
  </si>
  <si>
    <t>Force main lift station - Bldg ?</t>
  </si>
  <si>
    <t>Fire hydrant - replacement including lateral piping, tracing and insulation</t>
  </si>
  <si>
    <t>Fire hydrant - new including manhole, lateral piping, tracing and insulation</t>
  </si>
  <si>
    <t xml:space="preserve">Replace condensate pump station </t>
  </si>
  <si>
    <t>Other Project Specific Items</t>
  </si>
  <si>
    <t xml:space="preserve">direct buried sewer piping - 24"  force main </t>
  </si>
  <si>
    <t xml:space="preserve">direct buried sewer piping - 20"  force main </t>
  </si>
  <si>
    <t xml:space="preserve">direct buried sewer piping - 18"  force main </t>
  </si>
  <si>
    <t xml:space="preserve">direct buried sewer piping - 16"  force main </t>
  </si>
  <si>
    <t xml:space="preserve">direct buried sewer piping - 14"  force main </t>
  </si>
  <si>
    <t xml:space="preserve">direct buried sewer piping - 12"  force main </t>
  </si>
  <si>
    <t xml:space="preserve">direct buried sewer piping - 10"  force main </t>
  </si>
  <si>
    <t xml:space="preserve">direct buried sewer piping - 8"  force main </t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</si>
  <si>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</t>
    </r>
    <r>
      <rPr>
        <sz val="12"/>
        <rFont val="Arial"/>
        <family val="2"/>
      </rPr>
      <t xml:space="preserve">  - 6" force main</t>
    </r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</si>
  <si>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 </t>
    </r>
    <r>
      <rPr>
        <sz val="12"/>
        <rFont val="Arial"/>
        <family val="2"/>
      </rPr>
      <t xml:space="preserve"> - 4" force main</t>
    </r>
  </si>
  <si>
    <t>Force Main:</t>
  </si>
  <si>
    <t>direct buried sewer piping - 24" gravity</t>
  </si>
  <si>
    <t>direct buried sewer piping - 20" gravity</t>
  </si>
  <si>
    <t>direct buried sewer piping - 18" gravity</t>
  </si>
  <si>
    <t>direct buried sewer piping - 16" gravity</t>
  </si>
  <si>
    <t>direct buried sewer piping - 14" gravity</t>
  </si>
  <si>
    <t>direct buried sewer piping - 12" gravity</t>
  </si>
  <si>
    <t>direct buried sewer piping - 10" gravity</t>
  </si>
  <si>
    <t>direct buried sewer piping - 8" gravity</t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</si>
  <si>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</t>
    </r>
    <r>
      <rPr>
        <sz val="12"/>
        <rFont val="Arial"/>
        <family val="2"/>
      </rPr>
      <t xml:space="preserve">  - 6" gravity</t>
    </r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</si>
  <si>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 </t>
    </r>
    <r>
      <rPr>
        <sz val="12"/>
        <rFont val="Arial"/>
        <family val="2"/>
      </rPr>
      <t xml:space="preserve"> - 4" gravity</t>
    </r>
  </si>
  <si>
    <t>direct buried sewer piping - 3" gravity</t>
  </si>
  <si>
    <t>Gravity:</t>
  </si>
  <si>
    <t xml:space="preserve">Ductile iron piping (4" and larger), AWWA C151/A21.51, Class 53; cement lined, AWWA C104, standard; ductile iron fittings, ASTM A536; ductile iron valves; mechanical couplings for cut grooved and shouldered piping systems, AWWA C606.     </t>
  </si>
  <si>
    <r>
      <t xml:space="preserve">Direct Buried Sewer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</si>
  <si>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t>direct buried water piping - 20" diameter</t>
  </si>
  <si>
    <t>direct buried water piping - 18" diameter</t>
  </si>
  <si>
    <t>direct buried water piping - 16" diameter</t>
  </si>
  <si>
    <t>direct buried water piping - 14" diameter</t>
  </si>
  <si>
    <t>direct buried water piping - 12" diameter</t>
  </si>
  <si>
    <t>direct buried water piping - 10" diameter</t>
  </si>
  <si>
    <r>
      <t xml:space="preserve">direct buried water main  </t>
    </r>
    <r>
      <rPr>
        <sz val="12"/>
        <color indexed="12"/>
        <rFont val="Arial"/>
        <family val="2"/>
      </rPr>
      <t xml:space="preserve">(DU Water Service Table March 2008) </t>
    </r>
    <r>
      <rPr>
        <sz val="12"/>
        <rFont val="Arial"/>
        <family val="2"/>
      </rPr>
      <t xml:space="preserve"> - 8" diameter</t>
    </r>
  </si>
  <si>
    <r>
      <t xml:space="preserve">direct buried water main </t>
    </r>
    <r>
      <rPr>
        <sz val="12"/>
        <color indexed="12"/>
        <rFont val="Arial"/>
        <family val="2"/>
      </rPr>
      <t xml:space="preserve"> (DU Water Service Table March 2008) </t>
    </r>
    <r>
      <rPr>
        <sz val="12"/>
        <rFont val="Arial"/>
        <family val="2"/>
      </rPr>
      <t xml:space="preserve"> - 6" diameter</t>
    </r>
  </si>
  <si>
    <r>
      <t xml:space="preserve">direct buried water main  </t>
    </r>
    <r>
      <rPr>
        <sz val="12"/>
        <color indexed="12"/>
        <rFont val="Arial"/>
        <family val="2"/>
      </rPr>
      <t>(DU Water Service Table March 2008)</t>
    </r>
    <r>
      <rPr>
        <sz val="12"/>
        <rFont val="Arial"/>
        <family val="2"/>
      </rPr>
      <t xml:space="preserve"> - 4" diameter</t>
    </r>
  </si>
  <si>
    <r>
      <t xml:space="preserve">Direct Buried Domestic Water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</si>
  <si>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r>
      <t>Direct Buried HDS Main</t>
    </r>
    <r>
      <rPr>
        <sz val="12"/>
        <color indexed="12"/>
        <rFont val="Arial"/>
        <family val="2"/>
      </rPr>
      <t xml:space="preserve"> </t>
    </r>
    <r>
      <rPr>
        <sz val="12"/>
        <color indexed="8"/>
        <rFont val="Arial"/>
        <family val="2"/>
      </rPr>
      <t>- 12" Steam &amp; 6"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</si>
  <si>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- 8" Steam &amp; 4"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</si>
  <si>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- 6" Steam &amp; 2"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</si>
  <si>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- 4" Steam &amp; 1"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</si>
  <si>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- 2" Steam &amp; 1" Condensate</t>
    </r>
  </si>
  <si>
    <t>Class A conduit system, drainable, dryable, pressure testable.  Standard weight steel pipe for steam; schedule 10S for condensate; foamglas insulation on carrier pipe; FRP coating as protection on conduit.</t>
  </si>
  <si>
    <r>
      <t xml:space="preserve">Direct Buried Heat Distribution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</si>
  <si>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t>Precast concrete sections - 18" by 24"</t>
  </si>
  <si>
    <t>Precast concrete sections - 18" by 30"</t>
  </si>
  <si>
    <t>Precast concrete sections - 24" by 24"</t>
  </si>
  <si>
    <t>Precast concrete sections - 24" by 30"</t>
  </si>
  <si>
    <t>Precast concrete sections - 24" by 48"</t>
  </si>
  <si>
    <t>Precast concrete sections - 30" by 24"</t>
  </si>
  <si>
    <t>Precast concrete sections - 30" by 30"</t>
  </si>
  <si>
    <t>Precast concrete sections - 30" by 36"</t>
  </si>
  <si>
    <t>Precast concrete sections - 36" by 30"</t>
  </si>
  <si>
    <t>Precast concrete sections - 36" by 36"</t>
  </si>
  <si>
    <t>Precast concrete sections - 36" by 42"</t>
  </si>
  <si>
    <t>Precast concrete sections - 42" by 42"</t>
  </si>
  <si>
    <t>Precast concrete sections - 48" by 48"</t>
  </si>
  <si>
    <t>Precast concrete sections - 48" by 60"</t>
  </si>
  <si>
    <t>Precast concrete sections - 54" by 54"</t>
  </si>
  <si>
    <t>Precast concrete sections - 54" by 60"</t>
  </si>
  <si>
    <t>Precast concrete sections - 60" by 30"</t>
  </si>
  <si>
    <t>Precast concrete sections - 60" by 48"</t>
  </si>
  <si>
    <t>Precast concrete sections - 60" by 60"</t>
  </si>
  <si>
    <t>Precast concrete sections - 60" by 72"</t>
  </si>
  <si>
    <t>Precast concrete sections - 72" by 36"</t>
  </si>
  <si>
    <t>Precast concrete sections - 72" by 60"</t>
  </si>
  <si>
    <t>Precast concrete sections - 72" by 72"</t>
  </si>
  <si>
    <t>Precast concrete sections - 72" by 84"</t>
  </si>
  <si>
    <t>Precast concrete sections - 78" by 78"</t>
  </si>
  <si>
    <t>Precast concrete sections - 84" by 48"</t>
  </si>
  <si>
    <t>Precast concrete sections - 84" by 60"</t>
  </si>
  <si>
    <t>Precast concrete sections - 84" by 84"</t>
  </si>
  <si>
    <t>Precast concrete sections - 84" by 108"</t>
  </si>
  <si>
    <t xml:space="preserve">8 foot long precast concrete U-sections with precast concrete lids;  ACI 317, 5000 psi concrete,   </t>
  </si>
  <si>
    <r>
      <t xml:space="preserve">Utilidor Replacement - </t>
    </r>
    <r>
      <rPr>
        <sz val="14"/>
        <rFont val="Arial"/>
        <family val="2"/>
      </rPr>
      <t>Includes removal and recycling of existing concrete utilidor elements.  Replacement also includes mastic damp proofing, board insulation, access hatches, vents, lighting,  and sumps with submersible pumps.</t>
    </r>
  </si>
  <si>
    <r>
      <t>Replace existing access hatches with new secure (lockable) hatches.</t>
    </r>
    <r>
      <rPr>
        <b/>
        <sz val="12"/>
        <color indexed="10"/>
        <rFont val="Arial"/>
        <family val="2"/>
      </rPr>
      <t xml:space="preserve"> </t>
    </r>
  </si>
  <si>
    <t xml:space="preserve">Replace utilidor drainage system , sump pumps (where required) </t>
  </si>
  <si>
    <r>
      <t>Replace manhole convenience power and lighting system (where required).</t>
    </r>
    <r>
      <rPr>
        <b/>
        <sz val="12"/>
        <color indexed="10"/>
        <rFont val="Arial"/>
        <family val="2"/>
      </rPr>
      <t xml:space="preserve"> </t>
    </r>
  </si>
  <si>
    <t xml:space="preserve">Repair/replace utilidor ventilation system in manhole lid (where required). </t>
  </si>
  <si>
    <t xml:space="preserve">Raise elevation of manhole lid where required to eliminate seasonal flooding of utilidor system. </t>
  </si>
  <si>
    <t xml:space="preserve">Repair and recondition utilidor walls, floor and removable roof panels;  repair/replace utilidor insulation and waterproofing system. </t>
  </si>
  <si>
    <t xml:space="preserve">Utilidor Rehabilitation and Repair </t>
  </si>
  <si>
    <t>utilidor installed force main - 24" diameter</t>
  </si>
  <si>
    <t>utilidor installed force main - 20" diameter</t>
  </si>
  <si>
    <t>utilidor installed force main - 18" diameter</t>
  </si>
  <si>
    <t>utilidor installed force main - 16" diameter</t>
  </si>
  <si>
    <t>utilidor installed force main - 14" diameter</t>
  </si>
  <si>
    <t>utilidor installed force main - 12" diameter</t>
  </si>
  <si>
    <t>utilidor installed force main - 10" diameter</t>
  </si>
  <si>
    <t>utilidor installed force main - 8" diameter</t>
  </si>
  <si>
    <t>utilidor installed force main - 6" diameter</t>
  </si>
  <si>
    <t>utilidor installed force main - 4" diameter</t>
  </si>
  <si>
    <t>utilidor installed sewer piping - 24" gravity</t>
  </si>
  <si>
    <t>utilidor installed sewer piping - 20" gravity</t>
  </si>
  <si>
    <t>utilidor installed sewer piping - 18" gravity</t>
  </si>
  <si>
    <t>utilidor installed sewer piping - 16" gravity</t>
  </si>
  <si>
    <t>utilidor installed sewer piping - 14" gravity</t>
  </si>
  <si>
    <t>utilidor installed sewer piping - 12" gravity</t>
  </si>
  <si>
    <t>utilidor installed sewer piping - 10" gravity</t>
  </si>
  <si>
    <t>utilidor installed sewer piping - 8" gravity</t>
  </si>
  <si>
    <t>utilidor installed sewer piping - 6" gravity</t>
  </si>
  <si>
    <t>utilidor installed sewer piping - 4" gravity</t>
  </si>
  <si>
    <t>utilidor installed sewer piping - 3" gravity</t>
  </si>
  <si>
    <r>
      <t xml:space="preserve">Utilidor Sewer Piping System </t>
    </r>
    <r>
      <rPr>
        <sz val="14"/>
        <rFont val="Arial"/>
        <family val="2"/>
      </rPr>
      <t>- includes demolition of existing pipes and supports; installation of new pipe; installation of new support and anchor systems; reconnect or replace service laterals as required.</t>
    </r>
  </si>
  <si>
    <t>utilidor installed water piping - 20" diameter</t>
  </si>
  <si>
    <t>utilidor installed water piping - 18" diameter</t>
  </si>
  <si>
    <t>utilidor installed water piping - 16" diameter</t>
  </si>
  <si>
    <t>utilidor installed water piping - 14" diameter</t>
  </si>
  <si>
    <t>utilidor installed water piping - 12" diameter</t>
  </si>
  <si>
    <t>utilidor installed water piping - 10" diameter</t>
  </si>
  <si>
    <t>utilidor installed water piping - 8" diameter</t>
  </si>
  <si>
    <t>utilidor installed water piping - 6" diameter</t>
  </si>
  <si>
    <t>utilidor installed water piping - 4" diameter</t>
  </si>
  <si>
    <t>utilidor installed water piping - 3" diameter</t>
  </si>
  <si>
    <t>utilidor installed water piping - 2½" diameter</t>
  </si>
  <si>
    <t>utilidor installed water piping - 2" diameter</t>
  </si>
  <si>
    <t>utilidor installed water piping - 1½" diameter</t>
  </si>
  <si>
    <t xml:space="preserve">Copper tubing (3" and smaller), ASTM B88, type K; cast bronze fittings, ASTM A536; cast bronze valves; mechanical couplings for roll grooved  piping system.     </t>
  </si>
  <si>
    <r>
      <t xml:space="preserve">Utilidor Water Piping System </t>
    </r>
    <r>
      <rPr>
        <sz val="14"/>
        <rFont val="Arial"/>
        <family val="2"/>
      </rPr>
      <t>- includes demolition of existing pipes and supports; installation of new pipe; installation of new support and anchor systems; new insulation and tracing; reconnect or replace service laterals as required.</t>
    </r>
  </si>
  <si>
    <t>utilidor installed condensate piping - 12" diameter</t>
  </si>
  <si>
    <t>utilidor installed condensate piping - 10" diameter</t>
  </si>
  <si>
    <t>utilidor installed condensate piping - 8" diameter</t>
  </si>
  <si>
    <t>utilidor installed condensate piping - 6" diameter</t>
  </si>
  <si>
    <t>utilidor installed condensate piping - 4" diameter</t>
  </si>
  <si>
    <t>utilidor installed condensate piping - 3" diameter</t>
  </si>
  <si>
    <t>utilidor installed condensate piping - 2" diameter</t>
  </si>
  <si>
    <t>utilidor installed condensate piping - 1½" diameter</t>
  </si>
  <si>
    <t>utilidor installed condensate piping - 1" diameter</t>
  </si>
  <si>
    <t>utilidor installed condensate piping - ¾" diameter</t>
  </si>
  <si>
    <t>utilidor installed condensate piping - ½" diameter</t>
  </si>
  <si>
    <t>Stainless steel piping, ASTM A312, Type 316L, schedule 10S; wrought stainless steel fittings; forged stainless steel valves (2" and smaller); cast stainless steel valves (3" and larger); externally pressurized expansion joints; all welded piping system.</t>
  </si>
  <si>
    <r>
      <t xml:space="preserve">Utilidor Condensate Piping System </t>
    </r>
    <r>
      <rPr>
        <sz val="14"/>
        <rFont val="Arial"/>
        <family val="2"/>
      </rPr>
      <t>- includes demolition of existing pipes and supports; installation of new pipe; installation of new supports, expansion compensation and anchor systems; new insulation; reconnect or replace service laterals as required.</t>
    </r>
  </si>
  <si>
    <t>utilidor installed steam piping - 24" diameter</t>
  </si>
  <si>
    <t>utilidor installed steam piping - 20" diameter</t>
  </si>
  <si>
    <t>utilidor installed steam piping - 18" diameter</t>
  </si>
  <si>
    <t>utilidor installed steam piping - 16" diameter</t>
  </si>
  <si>
    <t>utilidor installed steam piping - 14" diameter</t>
  </si>
  <si>
    <t>utilidor installed steam piping - 12" diameter</t>
  </si>
  <si>
    <t>utilidor installed steam piping - 10" diameter</t>
  </si>
  <si>
    <t>utilidor installed steam piping - 8" diameter</t>
  </si>
  <si>
    <t>utilidor installed steam piping - 6" diameter</t>
  </si>
  <si>
    <t>utilidor installed steam piping - 4" diameter</t>
  </si>
  <si>
    <t>utilidor installed steam piping - 3" diameter</t>
  </si>
  <si>
    <t>utilidor installed steam piping - 2" diameter</t>
  </si>
  <si>
    <t>utilidor installed steam piping - 1½" diameter</t>
  </si>
  <si>
    <t xml:space="preserve">utilidor installed steam piping - 1" diameter </t>
  </si>
  <si>
    <r>
      <t xml:space="preserve">Carbon steel piping, ASTM A106, seamless, standard wall; forged carbon steel fittings; forged carbon steel valves (2" and smaller); cast carbon steel valves (3" and larger); </t>
    </r>
    <r>
      <rPr>
        <sz val="12"/>
        <color indexed="12"/>
        <rFont val="Arial"/>
        <family val="2"/>
      </rPr>
      <t>externally</t>
    </r>
    <r>
      <rPr>
        <sz val="12"/>
        <color indexed="12"/>
        <rFont val="Arial"/>
        <family val="2"/>
      </rPr>
      <t xml:space="preserve"> pressurized expansion joints; all welded piping system.</t>
    </r>
  </si>
  <si>
    <r>
      <t xml:space="preserve">Utilidor Steam Piping System </t>
    </r>
    <r>
      <rPr>
        <sz val="14"/>
        <rFont val="Arial"/>
        <family val="2"/>
      </rPr>
      <t>- includes demolition of existing pipes and supports; installation of new pipe; installation of new supports, expansion compensation and anchor systems; new insulation; reconnect or replace service laterals as required.</t>
    </r>
  </si>
  <si>
    <t xml:space="preserve">utilidor clean up &amp; asbestos encapsulation </t>
  </si>
  <si>
    <r>
      <t xml:space="preserve">asbestos pipe insulation removal and disposal in </t>
    </r>
    <r>
      <rPr>
        <b/>
        <sz val="12"/>
        <color indexed="10"/>
        <rFont val="Arial"/>
        <family val="2"/>
      </rPr>
      <t>POST</t>
    </r>
    <r>
      <rPr>
        <sz val="12"/>
        <color indexed="10"/>
        <rFont val="Arial"/>
        <family val="2"/>
      </rPr>
      <t xml:space="preserve"> </t>
    </r>
    <r>
      <rPr>
        <sz val="12"/>
        <rFont val="Arial"/>
        <family val="2"/>
      </rPr>
      <t>landfill</t>
    </r>
  </si>
  <si>
    <t>Asbestos Containing Material Abatement</t>
  </si>
  <si>
    <t>utilidor roof panel clean-up and reinstallation; backfill; finish grading; pavement repair; turf and landscape repair.</t>
  </si>
  <si>
    <t>isolation tenting, ventilation, lid removal  and cribbing, isolation bulkheads, repair or replacement of broken utilidor roof panels</t>
  </si>
  <si>
    <t>site preparation, overburden excavation and removal, sedimentation control</t>
  </si>
  <si>
    <t>Site Preparation &amp; Access</t>
  </si>
  <si>
    <t>FTW</t>
  </si>
  <si>
    <t>CY</t>
  </si>
  <si>
    <t>Fee's on Studies &amp; Design</t>
  </si>
  <si>
    <t>Services During Construction</t>
  </si>
  <si>
    <t>Design</t>
  </si>
  <si>
    <t>Studies &amp; Pre-Design</t>
  </si>
  <si>
    <t>Services During Construction(3%) &amp; Commissioning (2%)</t>
  </si>
  <si>
    <t>Contractors Profit</t>
  </si>
  <si>
    <t>Contractors G&amp;A</t>
  </si>
  <si>
    <t>General Conditions</t>
  </si>
  <si>
    <t>Bonds &amp; Insurance</t>
  </si>
  <si>
    <t>Contingency</t>
  </si>
  <si>
    <t>Comments</t>
  </si>
  <si>
    <t>RDL   (Repl. Design Life)</t>
  </si>
  <si>
    <t>RYN     (Repl. Year New)</t>
  </si>
  <si>
    <t>Design Life</t>
  </si>
  <si>
    <t>RCN          Total w. Engineering)</t>
  </si>
  <si>
    <t>Engineering Services $'s</t>
  </si>
  <si>
    <t>Engineering Services %</t>
  </si>
  <si>
    <t>RCN         (Total Installed)</t>
  </si>
  <si>
    <t>Contractors Mark-ups  $</t>
  </si>
  <si>
    <t>Contractors Mark-ups  %</t>
  </si>
  <si>
    <t>RCN</t>
  </si>
  <si>
    <t>Unit Cost</t>
  </si>
  <si>
    <t>Quantity</t>
  </si>
  <si>
    <t>Year Inst</t>
  </si>
  <si>
    <t>Item</t>
  </si>
  <si>
    <t>Project Cost  Estimating Worksheet</t>
  </si>
  <si>
    <r>
      <t xml:space="preserve">Fort Wainwright          </t>
    </r>
    <r>
      <rPr>
        <b/>
        <sz val="18"/>
        <color indexed="12"/>
        <rFont val="Arial"/>
        <family val="2"/>
      </rPr>
      <t>FTW336A</t>
    </r>
  </si>
  <si>
    <t>Utility Service Lateral from Existing Mains to Aircraft Parts Storage</t>
  </si>
  <si>
    <r>
      <t xml:space="preserve">Fort Wainwright          </t>
    </r>
    <r>
      <rPr>
        <b/>
        <sz val="18"/>
        <color rgb="FF0000FF"/>
        <rFont val="Arial"/>
        <family val="2"/>
      </rPr>
      <t>FTW336A</t>
    </r>
  </si>
  <si>
    <t>Service utilidor w/ HDS &amp; WDS ---- WWCS direct buried next to new utilidor</t>
  </si>
  <si>
    <t>Steam Flow Meter - 3"</t>
  </si>
  <si>
    <t>Water Flow Meter - 2"</t>
  </si>
  <si>
    <t>Install Concrete Access Vaults</t>
  </si>
  <si>
    <t>EDS</t>
  </si>
  <si>
    <t>225kva 12.4Y/7.2 kv 277/480 Volt Padmount Transformer</t>
  </si>
  <si>
    <t>ea</t>
  </si>
  <si>
    <t>13-Jaw 225 Amp Meterbase w/CK Closing Device</t>
  </si>
  <si>
    <t>CT Enclosure</t>
  </si>
  <si>
    <t>225A Service Rated NEMA 3R Circuit Breaker</t>
  </si>
  <si>
    <t>400:5 CT's</t>
  </si>
  <si>
    <t>13-Jaw FM9S Meter</t>
  </si>
  <si>
    <t xml:space="preserve">UM1-1B Pad Assembly-Concrete </t>
  </si>
  <si>
    <t>UC1X Three Phase Primary Riser</t>
  </si>
  <si>
    <t>UM6-1 200A Load Break Elbow</t>
  </si>
  <si>
    <t>1/0 15kv URD Concentric Primary Cable 133% Insulation</t>
  </si>
  <si>
    <t>FT</t>
  </si>
  <si>
    <t>UM50-P-3 3" PVC Conduit</t>
  </si>
  <si>
    <t xml:space="preserve">3" GRC Elbow </t>
  </si>
  <si>
    <t>UM6-6 Ground Rod Assembly</t>
  </si>
  <si>
    <t>250kcml Secondary Conductor</t>
  </si>
  <si>
    <t>G3.3 25kva 12.4/7.2kv 120/208 Volt Transformer</t>
  </si>
  <si>
    <t>UM6 Three Phase Secondary Riser 3/0 XHHW2</t>
  </si>
  <si>
    <t>F2.8 Double Helix Anchor</t>
  </si>
  <si>
    <t>E2.1X Single Down Guy Heavy Duty</t>
  </si>
  <si>
    <t>1/0 ACSR Primary Conductor</t>
  </si>
  <si>
    <t>C5.31X Single Deadend Neutal on X-arm</t>
  </si>
  <si>
    <t>C1.41 Single Support Neutral on X-arm</t>
  </si>
  <si>
    <t>H1.1 Ground Rod Assembly</t>
  </si>
  <si>
    <t>P-45 45' cl 2 Wood Pole</t>
  </si>
  <si>
    <t>7-Jaw 200A Meterbase</t>
  </si>
  <si>
    <t>7-Jaw 100A Meterbase</t>
  </si>
  <si>
    <t>7-Jaw 200A FM16S Meter</t>
  </si>
  <si>
    <t>100 Amp Lighting Load Control Center</t>
  </si>
  <si>
    <t>Steel Light Pole (sigle fixture) w/250 Watt HPS Light</t>
  </si>
  <si>
    <t>3/4" Lighting Branch Conduit w/#10</t>
  </si>
  <si>
    <t>Light Standard - Concrete Foundation</t>
  </si>
</sst>
</file>

<file path=xl/styles.xml><?xml version="1.0" encoding="utf-8"?>
<styleSheet xmlns="http://schemas.openxmlformats.org/spreadsheetml/2006/main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_-* #,##0\ _P_t_s_-;\-* #,##0\ _P_t_s_-;_-* &quot;-&quot;\ _P_t_s_-;_-@_-"/>
    <numFmt numFmtId="168" formatCode="_-* #,##0.00\ _P_t_s_-;\-* #,##0.00\ _P_t_s_-;_-* &quot;-&quot;??\ _P_t_s_-;_-@_-"/>
    <numFmt numFmtId="169" formatCode="_-&quot;S/.&quot;* #,##0_-;\-&quot;S/.&quot;* #,##0_-;_-&quot;S/.&quot;* &quot;-&quot;_-;_-@_-"/>
    <numFmt numFmtId="170" formatCode="_-&quot;S/.&quot;* #,##0.00_-;\-&quot;S/.&quot;* #,##0.00_-;_-&quot;S/.&quot;* &quot;-&quot;??_-;_-@_-"/>
    <numFmt numFmtId="171" formatCode="_ &quot;\&quot;* #,##0.00_ ;_ &quot;\&quot;* &quot;\&quot;&quot;\&quot;&quot;\&quot;&quot;\&quot;&quot;\&quot;&quot;\&quot;&quot;\&quot;&quot;\&quot;&quot;\&quot;&quot;\&quot;&quot;\&quot;\-#,##0.00_ ;_ &quot;\&quot;* &quot;-&quot;??_ ;_ @_ "/>
  </numFmts>
  <fonts count="3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u val="singleAccounting"/>
      <sz val="14"/>
      <color theme="1"/>
      <name val="Arial"/>
      <family val="2"/>
    </font>
    <font>
      <u val="singleAccounting"/>
      <sz val="10"/>
      <name val="Arial"/>
      <family val="2"/>
    </font>
    <font>
      <u val="singleAccounting"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2"/>
      <color indexed="12"/>
      <name val="Arial"/>
      <family val="2"/>
    </font>
    <font>
      <sz val="12"/>
      <color indexed="8"/>
      <name val="Arial"/>
      <family val="2"/>
    </font>
    <font>
      <sz val="14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8"/>
      <name val="Arial"/>
      <family val="2"/>
    </font>
    <font>
      <sz val="9"/>
      <name val="Arial"/>
      <family val="2"/>
    </font>
    <font>
      <b/>
      <u val="singleAccounting"/>
      <sz val="10"/>
      <name val="Arial"/>
      <family val="2"/>
    </font>
    <font>
      <u val="singleAccounting"/>
      <sz val="12"/>
      <name val="Arial"/>
      <family val="2"/>
    </font>
    <font>
      <b/>
      <u val="singleAccounting"/>
      <sz val="12"/>
      <color indexed="12"/>
      <name val="Arial"/>
      <family val="2"/>
    </font>
    <font>
      <sz val="12"/>
      <color indexed="10"/>
      <name val="Arial"/>
      <family val="2"/>
    </font>
    <font>
      <b/>
      <u val="singleAccounting"/>
      <sz val="10"/>
      <color theme="1"/>
      <name val="Arial"/>
      <family val="2"/>
    </font>
    <font>
      <b/>
      <u val="singleAccounting"/>
      <sz val="12"/>
      <name val="Arial"/>
      <family val="2"/>
    </font>
    <font>
      <b/>
      <sz val="18"/>
      <color indexed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4"/>
      <name val="–¾’©"/>
      <charset val="128"/>
    </font>
    <font>
      <sz val="8"/>
      <name val="Times New Roman"/>
      <family val="1"/>
    </font>
    <font>
      <b/>
      <sz val="14"/>
      <color rgb="FFC00000"/>
      <name val="Arial"/>
      <family val="2"/>
    </font>
    <font>
      <b/>
      <sz val="1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8" fontId="32" fillId="2" borderId="0" applyNumberFormat="0" applyBorder="0" applyAlignment="0" applyProtection="0"/>
    <xf numFmtId="0" fontId="11" fillId="0" borderId="10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32" fillId="5" borderId="1" applyNumberFormat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71" fontId="3" fillId="0" borderId="0"/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5" fillId="0" borderId="35" applyNumberFormat="0" applyAlignment="0"/>
    <xf numFmtId="43" fontId="1" fillId="0" borderId="0" applyFont="0" applyFill="0" applyBorder="0" applyAlignment="0" applyProtection="0"/>
  </cellStyleXfs>
  <cellXfs count="353">
    <xf numFmtId="0" fontId="0" fillId="0" borderId="0" xfId="0"/>
    <xf numFmtId="0" fontId="1" fillId="0" borderId="0" xfId="0" applyFont="1"/>
    <xf numFmtId="0" fontId="3" fillId="0" borderId="0" xfId="2"/>
    <xf numFmtId="0" fontId="3" fillId="0" borderId="0" xfId="3"/>
    <xf numFmtId="0" fontId="3" fillId="0" borderId="0" xfId="4"/>
    <xf numFmtId="0" fontId="3" fillId="0" borderId="0" xfId="5"/>
    <xf numFmtId="0" fontId="1" fillId="0" borderId="0" xfId="6" applyFont="1"/>
    <xf numFmtId="0" fontId="3" fillId="0" borderId="0" xfId="6"/>
    <xf numFmtId="0" fontId="3" fillId="0" borderId="0" xfId="7"/>
    <xf numFmtId="0" fontId="3" fillId="0" borderId="0" xfId="8"/>
    <xf numFmtId="0" fontId="3" fillId="0" borderId="0" xfId="9"/>
    <xf numFmtId="0" fontId="3" fillId="0" borderId="0" xfId="9" applyFont="1" applyFill="1" applyAlignment="1" applyProtection="1">
      <alignment horizontal="center"/>
      <protection locked="0"/>
    </xf>
    <xf numFmtId="0" fontId="3" fillId="0" borderId="0" xfId="10"/>
    <xf numFmtId="0" fontId="3" fillId="0" borderId="0" xfId="2" applyFont="1" applyFill="1" applyAlignment="1" applyProtection="1">
      <alignment wrapText="1"/>
      <protection locked="0"/>
    </xf>
    <xf numFmtId="0" fontId="3" fillId="0" borderId="0" xfId="3" applyFont="1" applyFill="1" applyProtection="1">
      <protection locked="0"/>
    </xf>
    <xf numFmtId="0" fontId="3" fillId="0" borderId="0" xfId="11" applyNumberFormat="1" applyFont="1" applyFill="1" applyAlignment="1" applyProtection="1">
      <alignment horizontal="center"/>
      <protection locked="0"/>
    </xf>
    <xf numFmtId="43" fontId="1" fillId="0" borderId="0" xfId="12" applyFont="1" applyFill="1" applyProtection="1">
      <protection locked="0"/>
    </xf>
    <xf numFmtId="43" fontId="3" fillId="0" borderId="0" xfId="12" applyFont="1" applyFill="1" applyProtection="1">
      <protection locked="0"/>
    </xf>
    <xf numFmtId="43" fontId="3" fillId="0" borderId="0" xfId="13" applyFont="1" applyFill="1" applyProtection="1">
      <protection locked="0"/>
    </xf>
    <xf numFmtId="43" fontId="3" fillId="0" borderId="0" xfId="14" applyFont="1" applyFill="1" applyProtection="1">
      <protection locked="0"/>
    </xf>
    <xf numFmtId="0" fontId="3" fillId="0" borderId="0" xfId="10" applyNumberFormat="1" applyFont="1" applyFill="1" applyProtection="1">
      <protection locked="0"/>
    </xf>
    <xf numFmtId="0" fontId="4" fillId="0" borderId="0" xfId="11" applyNumberFormat="1" applyFont="1" applyFill="1" applyAlignment="1" applyProtection="1">
      <alignment horizontal="center"/>
      <protection locked="0"/>
    </xf>
    <xf numFmtId="43" fontId="2" fillId="0" borderId="0" xfId="12" applyFont="1" applyFill="1" applyProtection="1">
      <protection locked="0"/>
    </xf>
    <xf numFmtId="43" fontId="4" fillId="0" borderId="0" xfId="12" applyFont="1" applyFill="1" applyProtection="1">
      <protection locked="0"/>
    </xf>
    <xf numFmtId="43" fontId="4" fillId="0" borderId="0" xfId="13" applyFont="1" applyFill="1" applyProtection="1">
      <protection locked="0"/>
    </xf>
    <xf numFmtId="43" fontId="4" fillId="0" borderId="0" xfId="14" applyFont="1" applyFill="1" applyProtection="1">
      <protection locked="0"/>
    </xf>
    <xf numFmtId="43" fontId="3" fillId="0" borderId="0" xfId="11" applyFont="1" applyFill="1" applyProtection="1">
      <protection locked="0"/>
    </xf>
    <xf numFmtId="1" fontId="3" fillId="0" borderId="0" xfId="15" applyNumberFormat="1" applyFont="1" applyFill="1" applyAlignment="1" applyProtection="1">
      <alignment horizontal="right"/>
      <protection locked="0"/>
    </xf>
    <xf numFmtId="164" fontId="3" fillId="0" borderId="0" xfId="15" applyNumberFormat="1" applyFont="1" applyFill="1" applyProtection="1">
      <protection locked="0"/>
    </xf>
    <xf numFmtId="1" fontId="3" fillId="0" borderId="0" xfId="15" applyNumberFormat="1" applyFont="1" applyFill="1" applyProtection="1">
      <protection locked="0"/>
    </xf>
    <xf numFmtId="0" fontId="3" fillId="0" borderId="0" xfId="4" applyFont="1" applyFill="1" applyAlignment="1" applyProtection="1">
      <alignment horizontal="center"/>
      <protection locked="0"/>
    </xf>
    <xf numFmtId="0" fontId="5" fillId="0" borderId="0" xfId="11" applyNumberFormat="1" applyFont="1" applyFill="1" applyAlignment="1" applyProtection="1">
      <alignment horizontal="center"/>
      <protection locked="0"/>
    </xf>
    <xf numFmtId="0" fontId="3" fillId="0" borderId="0" xfId="3" applyFont="1" applyFill="1" applyAlignment="1" applyProtection="1">
      <alignment wrapText="1"/>
      <protection locked="0"/>
    </xf>
    <xf numFmtId="0" fontId="3" fillId="0" borderId="0" xfId="2" applyFont="1" applyFill="1" applyBorder="1" applyAlignment="1" applyProtection="1">
      <alignment wrapText="1"/>
      <protection locked="0"/>
    </xf>
    <xf numFmtId="0" fontId="3" fillId="0" borderId="0" xfId="3" applyFont="1" applyFill="1" applyBorder="1" applyProtection="1">
      <protection locked="0"/>
    </xf>
    <xf numFmtId="0" fontId="3" fillId="0" borderId="0" xfId="4" applyFont="1" applyFill="1" applyBorder="1" applyAlignment="1" applyProtection="1">
      <alignment horizontal="center"/>
      <protection locked="0"/>
    </xf>
    <xf numFmtId="0" fontId="3" fillId="0" borderId="0" xfId="11" applyNumberFormat="1" applyFont="1" applyFill="1" applyBorder="1" applyAlignment="1" applyProtection="1">
      <alignment horizontal="center"/>
      <protection locked="0"/>
    </xf>
    <xf numFmtId="43" fontId="1" fillId="0" borderId="0" xfId="12" applyFont="1" applyFill="1" applyBorder="1" applyProtection="1">
      <protection locked="0"/>
    </xf>
    <xf numFmtId="43" fontId="3" fillId="0" borderId="0" xfId="12" applyFont="1" applyFill="1" applyBorder="1" applyProtection="1">
      <protection locked="0"/>
    </xf>
    <xf numFmtId="43" fontId="3" fillId="0" borderId="0" xfId="13" applyFont="1" applyFill="1" applyBorder="1" applyProtection="1">
      <protection locked="0"/>
    </xf>
    <xf numFmtId="43" fontId="3" fillId="0" borderId="0" xfId="14" applyFont="1" applyFill="1" applyBorder="1" applyProtection="1">
      <protection locked="0"/>
    </xf>
    <xf numFmtId="1" fontId="3" fillId="0" borderId="0" xfId="15" applyNumberFormat="1" applyFont="1" applyFill="1" applyBorder="1" applyProtection="1">
      <protection locked="0"/>
    </xf>
    <xf numFmtId="43" fontId="3" fillId="0" borderId="0" xfId="11" applyFont="1" applyFill="1" applyBorder="1" applyProtection="1">
      <protection locked="0"/>
    </xf>
    <xf numFmtId="164" fontId="3" fillId="0" borderId="0" xfId="15" applyNumberFormat="1" applyFont="1" applyFill="1" applyBorder="1" applyProtection="1">
      <protection locked="0"/>
    </xf>
    <xf numFmtId="0" fontId="3" fillId="0" borderId="0" xfId="9" applyFont="1" applyFill="1" applyBorder="1" applyAlignment="1" applyProtection="1">
      <alignment horizontal="center"/>
      <protection locked="0"/>
    </xf>
    <xf numFmtId="0" fontId="3" fillId="0" borderId="0" xfId="10" applyNumberFormat="1" applyFont="1" applyFill="1" applyBorder="1" applyProtection="1">
      <protection locked="0"/>
    </xf>
    <xf numFmtId="43" fontId="2" fillId="0" borderId="0" xfId="12" applyFont="1" applyFill="1" applyBorder="1" applyProtection="1">
      <protection locked="0"/>
    </xf>
    <xf numFmtId="43" fontId="4" fillId="0" borderId="0" xfId="12" applyFont="1" applyFill="1" applyBorder="1" applyProtection="1">
      <protection locked="0"/>
    </xf>
    <xf numFmtId="43" fontId="4" fillId="0" borderId="0" xfId="13" applyFont="1" applyFill="1" applyBorder="1" applyProtection="1">
      <protection locked="0"/>
    </xf>
    <xf numFmtId="43" fontId="4" fillId="0" borderId="0" xfId="14" applyFont="1" applyFill="1" applyBorder="1" applyProtection="1">
      <protection locked="0"/>
    </xf>
    <xf numFmtId="1" fontId="3" fillId="0" borderId="0" xfId="15" applyNumberFormat="1" applyFont="1" applyFill="1" applyBorder="1" applyAlignment="1" applyProtection="1">
      <alignment horizontal="right"/>
      <protection locked="0"/>
    </xf>
    <xf numFmtId="0" fontId="3" fillId="0" borderId="0" xfId="9" applyFont="1" applyFill="1" applyBorder="1" applyAlignment="1" applyProtection="1">
      <alignment horizontal="center" vertical="top"/>
      <protection locked="0"/>
    </xf>
    <xf numFmtId="0" fontId="3" fillId="0" borderId="0" xfId="10" applyNumberFormat="1" applyFont="1" applyFill="1" applyBorder="1" applyAlignment="1" applyProtection="1">
      <alignment vertical="top"/>
      <protection locked="0"/>
    </xf>
    <xf numFmtId="0" fontId="3" fillId="0" borderId="0" xfId="4" applyFont="1" applyFill="1" applyBorder="1" applyAlignment="1" applyProtection="1">
      <alignment horizontal="center" vertical="top"/>
      <protection locked="0"/>
    </xf>
    <xf numFmtId="0" fontId="3" fillId="0" borderId="0" xfId="11" applyNumberFormat="1" applyFont="1" applyFill="1" applyBorder="1" applyAlignment="1" applyProtection="1">
      <alignment horizontal="center" vertical="top"/>
      <protection locked="0"/>
    </xf>
    <xf numFmtId="43" fontId="1" fillId="0" borderId="0" xfId="12" applyFont="1" applyFill="1" applyBorder="1" applyAlignment="1" applyProtection="1">
      <alignment vertical="top"/>
      <protection locked="0"/>
    </xf>
    <xf numFmtId="43" fontId="3" fillId="0" borderId="0" xfId="12" applyFont="1" applyFill="1" applyBorder="1" applyAlignment="1" applyProtection="1">
      <alignment vertical="top"/>
      <protection locked="0"/>
    </xf>
    <xf numFmtId="43" fontId="3" fillId="0" borderId="0" xfId="13" applyFont="1" applyFill="1" applyBorder="1" applyAlignment="1" applyProtection="1">
      <alignment vertical="top"/>
      <protection locked="0"/>
    </xf>
    <xf numFmtId="43" fontId="3" fillId="0" borderId="0" xfId="14" applyFont="1" applyFill="1" applyBorder="1" applyAlignment="1" applyProtection="1">
      <alignment vertical="top"/>
      <protection locked="0"/>
    </xf>
    <xf numFmtId="1" fontId="3" fillId="0" borderId="0" xfId="15" applyNumberFormat="1" applyFont="1" applyFill="1" applyBorder="1" applyAlignment="1" applyProtection="1">
      <alignment wrapText="1"/>
      <protection locked="0"/>
    </xf>
    <xf numFmtId="9" fontId="3" fillId="0" borderId="0" xfId="11" applyNumberFormat="1" applyFont="1" applyFill="1" applyBorder="1" applyAlignment="1" applyProtection="1">
      <alignment vertical="top"/>
      <protection locked="0"/>
    </xf>
    <xf numFmtId="0" fontId="4" fillId="0" borderId="0" xfId="11" applyNumberFormat="1" applyFont="1" applyFill="1" applyBorder="1" applyAlignment="1" applyProtection="1">
      <alignment horizontal="center"/>
      <protection locked="0"/>
    </xf>
    <xf numFmtId="0" fontId="3" fillId="0" borderId="0" xfId="9" applyFill="1" applyBorder="1" applyAlignment="1" applyProtection="1">
      <alignment horizontal="center" wrapText="1"/>
      <protection locked="0"/>
    </xf>
    <xf numFmtId="43" fontId="3" fillId="0" borderId="0" xfId="11" applyFont="1" applyFill="1" applyBorder="1" applyAlignment="1" applyProtection="1">
      <alignment vertical="top"/>
      <protection locked="0"/>
    </xf>
    <xf numFmtId="1" fontId="3" fillId="0" borderId="0" xfId="15" applyNumberFormat="1" applyFont="1" applyFill="1" applyBorder="1" applyAlignment="1" applyProtection="1">
      <alignment vertical="top"/>
      <protection locked="0"/>
    </xf>
    <xf numFmtId="0" fontId="3" fillId="0" borderId="0" xfId="10" applyNumberFormat="1" applyFont="1" applyFill="1" applyBorder="1" applyAlignment="1" applyProtection="1">
      <alignment wrapText="1"/>
      <protection locked="0"/>
    </xf>
    <xf numFmtId="0" fontId="3" fillId="0" borderId="0" xfId="2" applyFill="1" applyBorder="1" applyAlignment="1" applyProtection="1">
      <alignment wrapText="1"/>
      <protection locked="0"/>
    </xf>
    <xf numFmtId="0" fontId="5" fillId="0" borderId="0" xfId="11" applyNumberFormat="1" applyFont="1" applyFill="1" applyBorder="1" applyAlignment="1" applyProtection="1">
      <alignment horizontal="center" vertical="top"/>
      <protection locked="0"/>
    </xf>
    <xf numFmtId="43" fontId="3" fillId="0" borderId="0" xfId="11" applyFont="1" applyFill="1" applyBorder="1" applyAlignment="1" applyProtection="1">
      <alignment horizontal="left" vertical="top"/>
      <protection locked="0"/>
    </xf>
    <xf numFmtId="164" fontId="3" fillId="0" borderId="0" xfId="15" applyNumberFormat="1" applyFont="1" applyFill="1" applyBorder="1" applyAlignment="1" applyProtection="1">
      <alignment horizontal="left" vertical="top" wrapText="1"/>
      <protection locked="0"/>
    </xf>
    <xf numFmtId="0" fontId="3" fillId="0" borderId="0" xfId="10" applyNumberFormat="1" applyFill="1" applyBorder="1" applyProtection="1">
      <protection locked="0"/>
    </xf>
    <xf numFmtId="164" fontId="3" fillId="0" borderId="0" xfId="15" applyNumberFormat="1" applyFont="1" applyFill="1" applyBorder="1" applyAlignment="1" applyProtection="1">
      <alignment horizontal="center"/>
      <protection locked="0"/>
    </xf>
    <xf numFmtId="0" fontId="3" fillId="0" borderId="0" xfId="9" applyFill="1" applyBorder="1" applyAlignment="1" applyProtection="1">
      <alignment horizontal="center"/>
      <protection locked="0"/>
    </xf>
    <xf numFmtId="0" fontId="3" fillId="0" borderId="0" xfId="10" applyNumberFormat="1" applyFill="1" applyBorder="1" applyAlignment="1" applyProtection="1">
      <alignment wrapText="1"/>
      <protection locked="0"/>
    </xf>
    <xf numFmtId="0" fontId="3" fillId="0" borderId="0" xfId="2" applyFont="1" applyFill="1" applyBorder="1" applyProtection="1">
      <protection locked="0"/>
    </xf>
    <xf numFmtId="164" fontId="3" fillId="0" borderId="0" xfId="15" applyNumberFormat="1" applyFont="1" applyFill="1" applyBorder="1" applyAlignment="1" applyProtection="1">
      <alignment horizontal="right"/>
      <protection locked="0"/>
    </xf>
    <xf numFmtId="0" fontId="4" fillId="0" borderId="0" xfId="10" applyNumberFormat="1" applyFont="1" applyFill="1" applyBorder="1" applyProtection="1">
      <protection locked="0"/>
    </xf>
    <xf numFmtId="0" fontId="3" fillId="0" borderId="0" xfId="3" applyFont="1" applyFill="1" applyBorder="1" applyAlignment="1" applyProtection="1">
      <alignment horizontal="left" vertical="top" wrapText="1"/>
      <protection locked="0"/>
    </xf>
    <xf numFmtId="43" fontId="3" fillId="0" borderId="0" xfId="11" applyFont="1" applyFill="1" applyBorder="1" applyAlignment="1" applyProtection="1">
      <alignment horizontal="left" vertical="top" wrapText="1"/>
      <protection locked="0"/>
    </xf>
    <xf numFmtId="164" fontId="3" fillId="0" borderId="0" xfId="15" applyNumberFormat="1" applyFont="1" applyFill="1" applyBorder="1" applyAlignment="1" applyProtection="1">
      <alignment horizontal="center" wrapText="1"/>
      <protection locked="0"/>
    </xf>
    <xf numFmtId="0" fontId="0" fillId="0" borderId="0" xfId="0" applyFill="1"/>
    <xf numFmtId="43" fontId="6" fillId="0" borderId="0" xfId="14" applyFont="1" applyFill="1" applyBorder="1" applyAlignment="1" applyProtection="1">
      <alignment horizontal="right" vertical="top"/>
      <protection locked="0"/>
    </xf>
    <xf numFmtId="0" fontId="6" fillId="0" borderId="0" xfId="8" applyFont="1" applyFill="1" applyAlignment="1" applyProtection="1">
      <alignment vertical="center"/>
      <protection locked="0"/>
    </xf>
    <xf numFmtId="0" fontId="3" fillId="0" borderId="0" xfId="3" applyFont="1" applyFill="1" applyBorder="1" applyAlignment="1" applyProtection="1">
      <alignment wrapText="1"/>
      <protection locked="0"/>
    </xf>
    <xf numFmtId="0" fontId="3" fillId="0" borderId="0" xfId="4" applyFont="1" applyFill="1" applyBorder="1" applyAlignment="1" applyProtection="1">
      <alignment horizontal="center" vertical="top" wrapText="1"/>
      <protection locked="0"/>
    </xf>
    <xf numFmtId="0" fontId="3" fillId="0" borderId="0" xfId="11" applyNumberFormat="1" applyFont="1" applyFill="1" applyBorder="1" applyAlignment="1" applyProtection="1">
      <alignment horizontal="center" vertical="top" wrapText="1"/>
      <protection locked="0"/>
    </xf>
    <xf numFmtId="164" fontId="7" fillId="0" borderId="0" xfId="12" applyNumberFormat="1" applyFont="1" applyFill="1" applyBorder="1" applyAlignment="1" applyProtection="1">
      <alignment vertical="top" wrapText="1"/>
      <protection locked="0"/>
    </xf>
    <xf numFmtId="43" fontId="3" fillId="0" borderId="0" xfId="12" applyFont="1" applyFill="1" applyBorder="1" applyAlignment="1" applyProtection="1">
      <alignment vertical="top" wrapText="1"/>
      <protection locked="0"/>
    </xf>
    <xf numFmtId="43" fontId="6" fillId="0" borderId="0" xfId="12" applyFont="1" applyFill="1" applyBorder="1" applyAlignment="1" applyProtection="1">
      <alignment vertical="top" wrapText="1"/>
      <protection locked="0"/>
    </xf>
    <xf numFmtId="43" fontId="3" fillId="0" borderId="0" xfId="13" applyFont="1" applyFill="1" applyBorder="1" applyAlignment="1" applyProtection="1">
      <alignment vertical="top" wrapText="1"/>
      <protection locked="0"/>
    </xf>
    <xf numFmtId="43" fontId="3" fillId="0" borderId="0" xfId="14" applyFont="1" applyFill="1" applyBorder="1" applyAlignment="1" applyProtection="1">
      <alignment vertical="top" wrapText="1"/>
      <protection locked="0"/>
    </xf>
    <xf numFmtId="1" fontId="3" fillId="0" borderId="0" xfId="15" applyNumberFormat="1" applyFont="1" applyFill="1" applyBorder="1" applyAlignment="1" applyProtection="1">
      <alignment vertical="top" wrapText="1"/>
      <protection locked="0"/>
    </xf>
    <xf numFmtId="165" fontId="8" fillId="0" borderId="0" xfId="16" applyNumberFormat="1" applyFont="1" applyFill="1" applyAlignment="1" applyProtection="1">
      <alignment horizontal="left" vertical="center"/>
      <protection locked="0"/>
    </xf>
    <xf numFmtId="43" fontId="9" fillId="0" borderId="0" xfId="12" applyFont="1" applyFill="1" applyBorder="1" applyAlignment="1" applyProtection="1">
      <alignment vertical="top" wrapText="1"/>
      <protection locked="0"/>
    </xf>
    <xf numFmtId="165" fontId="10" fillId="0" borderId="0" xfId="6" applyNumberFormat="1" applyFont="1" applyFill="1" applyBorder="1" applyAlignment="1" applyProtection="1">
      <alignment vertical="top"/>
      <protection locked="0"/>
    </xf>
    <xf numFmtId="0" fontId="3" fillId="0" borderId="0" xfId="8" applyFont="1" applyFill="1" applyProtection="1">
      <protection locked="0"/>
    </xf>
    <xf numFmtId="165" fontId="7" fillId="0" borderId="0" xfId="16" applyNumberFormat="1" applyFont="1" applyFill="1" applyAlignment="1" applyProtection="1">
      <alignment horizontal="left" vertical="center"/>
      <protection locked="0"/>
    </xf>
    <xf numFmtId="165" fontId="6" fillId="0" borderId="0" xfId="16" applyNumberFormat="1" applyFont="1" applyFill="1" applyAlignment="1" applyProtection="1">
      <alignment vertical="top"/>
      <protection locked="0"/>
    </xf>
    <xf numFmtId="0" fontId="5" fillId="0" borderId="0" xfId="11" applyNumberFormat="1" applyFont="1" applyFill="1" applyBorder="1" applyAlignment="1" applyProtection="1">
      <alignment horizontal="center" vertical="top" wrapText="1"/>
      <protection locked="0"/>
    </xf>
    <xf numFmtId="0" fontId="3" fillId="0" borderId="0" xfId="8" applyFont="1" applyFill="1" applyAlignment="1" applyProtection="1">
      <alignment wrapText="1"/>
      <protection locked="0"/>
    </xf>
    <xf numFmtId="165" fontId="6" fillId="0" borderId="0" xfId="16" applyNumberFormat="1" applyFont="1" applyFill="1" applyAlignment="1" applyProtection="1">
      <alignment horizontal="left" vertical="center"/>
      <protection locked="0"/>
    </xf>
    <xf numFmtId="0" fontId="6" fillId="0" borderId="0" xfId="8" applyFont="1" applyFill="1" applyAlignment="1" applyProtection="1">
      <alignment horizontal="left" vertical="center"/>
      <protection locked="0"/>
    </xf>
    <xf numFmtId="0" fontId="4" fillId="0" borderId="0" xfId="10" applyNumberFormat="1" applyFont="1" applyFill="1" applyBorder="1" applyAlignment="1" applyProtection="1">
      <alignment wrapText="1"/>
      <protection locked="0"/>
    </xf>
    <xf numFmtId="43" fontId="1" fillId="0" borderId="0" xfId="12" applyFont="1" applyFill="1" applyBorder="1" applyAlignment="1" applyProtection="1">
      <alignment vertical="top" wrapText="1"/>
      <protection locked="0"/>
    </xf>
    <xf numFmtId="0" fontId="7" fillId="0" borderId="0" xfId="6" applyFont="1" applyFill="1" applyAlignment="1" applyProtection="1">
      <alignment vertical="top"/>
      <protection locked="0"/>
    </xf>
    <xf numFmtId="0" fontId="6" fillId="0" borderId="0" xfId="6" applyFont="1" applyFill="1" applyAlignment="1" applyProtection="1">
      <alignment vertical="top"/>
      <protection locked="0"/>
    </xf>
    <xf numFmtId="0" fontId="3" fillId="0" borderId="0" xfId="2" applyFont="1" applyFill="1" applyBorder="1" applyAlignment="1" applyProtection="1">
      <alignment vertical="center" wrapText="1"/>
      <protection locked="0"/>
    </xf>
    <xf numFmtId="0" fontId="3" fillId="0" borderId="0" xfId="3" applyFont="1" applyFill="1" applyBorder="1" applyAlignment="1" applyProtection="1">
      <alignment vertical="center" wrapText="1"/>
      <protection locked="0"/>
    </xf>
    <xf numFmtId="0" fontId="3" fillId="0" borderId="0" xfId="4" applyFont="1" applyFill="1" applyBorder="1" applyAlignment="1" applyProtection="1">
      <alignment horizontal="center" vertical="center" wrapText="1"/>
      <protection locked="0"/>
    </xf>
    <xf numFmtId="0" fontId="3" fillId="0" borderId="0" xfId="11" applyNumberFormat="1" applyFont="1" applyFill="1" applyBorder="1" applyAlignment="1" applyProtection="1">
      <alignment horizontal="center" vertical="center" wrapText="1"/>
      <protection locked="0"/>
    </xf>
    <xf numFmtId="43" fontId="1" fillId="0" borderId="0" xfId="12" applyFont="1" applyFill="1" applyBorder="1" applyAlignment="1" applyProtection="1">
      <alignment vertical="center" wrapText="1"/>
      <protection locked="0"/>
    </xf>
    <xf numFmtId="43" fontId="3" fillId="0" borderId="0" xfId="12" applyFont="1" applyFill="1" applyBorder="1" applyAlignment="1" applyProtection="1">
      <alignment vertical="center" wrapText="1"/>
      <protection locked="0"/>
    </xf>
    <xf numFmtId="164" fontId="11" fillId="0" borderId="0" xfId="12" applyNumberFormat="1" applyFont="1" applyFill="1" applyBorder="1" applyAlignment="1" applyProtection="1">
      <alignment vertical="center" wrapText="1"/>
      <protection locked="0"/>
    </xf>
    <xf numFmtId="165" fontId="11" fillId="0" borderId="0" xfId="16" applyNumberFormat="1" applyFont="1" applyFill="1" applyBorder="1" applyAlignment="1" applyProtection="1">
      <alignment horizontal="right" vertical="center"/>
      <protection locked="0"/>
    </xf>
    <xf numFmtId="0" fontId="11" fillId="0" borderId="0" xfId="6" applyFont="1" applyFill="1" applyBorder="1" applyAlignment="1">
      <alignment vertical="center"/>
    </xf>
    <xf numFmtId="0" fontId="3" fillId="0" borderId="0" xfId="6" applyFont="1" applyFill="1" applyBorder="1" applyAlignment="1" applyProtection="1">
      <alignment vertical="center" wrapText="1"/>
      <protection locked="0"/>
    </xf>
    <xf numFmtId="43" fontId="3" fillId="0" borderId="0" xfId="13" applyFont="1" applyFill="1" applyBorder="1" applyAlignment="1" applyProtection="1">
      <alignment vertical="center" wrapText="1"/>
      <protection locked="0"/>
    </xf>
    <xf numFmtId="43" fontId="3" fillId="0" borderId="0" xfId="14" applyFont="1" applyFill="1" applyBorder="1" applyAlignment="1" applyProtection="1">
      <alignment vertical="center" wrapText="1"/>
      <protection locked="0"/>
    </xf>
    <xf numFmtId="1" fontId="3" fillId="0" borderId="0" xfId="15" applyNumberFormat="1" applyFont="1" applyFill="1" applyBorder="1" applyAlignment="1" applyProtection="1">
      <alignment vertical="center" wrapText="1"/>
      <protection locked="0"/>
    </xf>
    <xf numFmtId="43" fontId="3" fillId="0" borderId="0" xfId="11" applyFont="1" applyFill="1" applyBorder="1" applyAlignment="1" applyProtection="1">
      <alignment horizontal="left" vertical="center" wrapText="1"/>
      <protection locked="0"/>
    </xf>
    <xf numFmtId="164" fontId="3" fillId="0" borderId="0" xfId="15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9" applyFill="1" applyBorder="1" applyAlignment="1" applyProtection="1">
      <alignment horizontal="center" vertical="center" wrapText="1"/>
      <protection locked="0"/>
    </xf>
    <xf numFmtId="0" fontId="3" fillId="0" borderId="0" xfId="10" applyNumberFormat="1" applyFont="1" applyFill="1" applyBorder="1" applyAlignment="1" applyProtection="1">
      <alignment vertical="center" wrapText="1"/>
      <protection locked="0"/>
    </xf>
    <xf numFmtId="165" fontId="11" fillId="2" borderId="1" xfId="1" applyNumberFormat="1" applyFont="1" applyFill="1" applyBorder="1" applyAlignment="1" applyProtection="1">
      <alignment vertical="center" wrapText="1"/>
      <protection locked="0"/>
    </xf>
    <xf numFmtId="165" fontId="11" fillId="0" borderId="1" xfId="16" applyNumberFormat="1" applyFont="1" applyFill="1" applyBorder="1" applyAlignment="1" applyProtection="1">
      <alignment horizontal="right" vertical="center"/>
      <protection locked="0"/>
    </xf>
    <xf numFmtId="0" fontId="11" fillId="0" borderId="1" xfId="6" applyFont="1" applyFill="1" applyBorder="1" applyAlignment="1">
      <alignment vertical="center"/>
    </xf>
    <xf numFmtId="0" fontId="3" fillId="0" borderId="1" xfId="6" applyFont="1" applyFill="1" applyBorder="1" applyAlignment="1" applyProtection="1">
      <alignment vertical="center" wrapText="1"/>
      <protection locked="0"/>
    </xf>
    <xf numFmtId="0" fontId="0" fillId="0" borderId="2" xfId="0" applyBorder="1"/>
    <xf numFmtId="43" fontId="3" fillId="0" borderId="2" xfId="13" applyFont="1" applyFill="1" applyBorder="1" applyAlignment="1" applyProtection="1">
      <alignment vertical="center" wrapText="1"/>
      <protection locked="0"/>
    </xf>
    <xf numFmtId="43" fontId="3" fillId="0" borderId="3" xfId="14" applyFont="1" applyFill="1" applyBorder="1" applyAlignment="1" applyProtection="1">
      <alignment vertical="center" wrapText="1"/>
      <protection locked="0"/>
    </xf>
    <xf numFmtId="0" fontId="3" fillId="0" borderId="4" xfId="2" applyFill="1" applyBorder="1" applyAlignment="1" applyProtection="1">
      <alignment vertical="center" wrapText="1"/>
      <protection locked="0"/>
    </xf>
    <xf numFmtId="0" fontId="12" fillId="0" borderId="0" xfId="3" applyFont="1" applyFill="1" applyBorder="1" applyAlignment="1" applyProtection="1">
      <alignment vertical="center" wrapText="1"/>
      <protection locked="0"/>
    </xf>
    <xf numFmtId="43" fontId="3" fillId="0" borderId="0" xfId="11" applyFont="1" applyFill="1" applyBorder="1" applyAlignment="1" applyProtection="1">
      <alignment vertical="center" wrapText="1"/>
    </xf>
    <xf numFmtId="165" fontId="13" fillId="0" borderId="0" xfId="16" applyNumberFormat="1" applyFont="1" applyFill="1" applyBorder="1" applyAlignment="1" applyProtection="1">
      <alignment vertical="center" wrapText="1"/>
      <protection locked="0"/>
    </xf>
    <xf numFmtId="165" fontId="4" fillId="2" borderId="0" xfId="16" applyNumberFormat="1" applyFont="1" applyFill="1" applyBorder="1" applyAlignment="1" applyProtection="1">
      <alignment vertical="center" wrapText="1"/>
      <protection locked="0"/>
    </xf>
    <xf numFmtId="165" fontId="11" fillId="2" borderId="0" xfId="16" applyNumberFormat="1" applyFont="1" applyFill="1" applyBorder="1" applyAlignment="1" applyProtection="1">
      <alignment vertical="center" wrapText="1"/>
      <protection locked="0"/>
    </xf>
    <xf numFmtId="0" fontId="3" fillId="2" borderId="0" xfId="6" applyFont="1" applyFill="1" applyBorder="1" applyAlignment="1" applyProtection="1">
      <alignment vertical="center" wrapText="1"/>
      <protection locked="0"/>
    </xf>
    <xf numFmtId="165" fontId="11" fillId="2" borderId="5" xfId="16" applyNumberFormat="1" applyFont="1" applyFill="1" applyBorder="1" applyAlignment="1" applyProtection="1">
      <alignment vertical="center" wrapText="1"/>
      <protection locked="0"/>
    </xf>
    <xf numFmtId="165" fontId="11" fillId="0" borderId="6" xfId="16" applyNumberFormat="1" applyFont="1" applyFill="1" applyBorder="1" applyAlignment="1" applyProtection="1">
      <alignment horizontal="right" vertical="center"/>
      <protection locked="0"/>
    </xf>
    <xf numFmtId="0" fontId="3" fillId="0" borderId="7" xfId="6" applyFill="1" applyBorder="1" applyAlignment="1">
      <alignment vertical="center"/>
    </xf>
    <xf numFmtId="0" fontId="3" fillId="0" borderId="7" xfId="6" applyFont="1" applyFill="1" applyBorder="1" applyAlignment="1" applyProtection="1">
      <alignment vertical="center" wrapText="1"/>
      <protection locked="0"/>
    </xf>
    <xf numFmtId="0" fontId="0" fillId="0" borderId="7" xfId="0" applyBorder="1"/>
    <xf numFmtId="165" fontId="4" fillId="0" borderId="7" xfId="17" applyNumberFormat="1" applyFont="1" applyFill="1" applyBorder="1" applyAlignment="1" applyProtection="1">
      <alignment vertical="center" wrapText="1"/>
      <protection locked="0"/>
    </xf>
    <xf numFmtId="165" fontId="4" fillId="0" borderId="8" xfId="18" applyNumberFormat="1" applyFont="1" applyFill="1" applyBorder="1" applyAlignment="1" applyProtection="1">
      <alignment vertical="center" wrapText="1"/>
      <protection locked="0"/>
    </xf>
    <xf numFmtId="165" fontId="4" fillId="0" borderId="0" xfId="18" applyNumberFormat="1" applyFont="1" applyFill="1" applyBorder="1" applyAlignment="1" applyProtection="1">
      <alignment vertical="center" wrapText="1"/>
      <protection locked="0"/>
    </xf>
    <xf numFmtId="1" fontId="3" fillId="0" borderId="0" xfId="11" applyNumberFormat="1" applyFont="1" applyFill="1" applyBorder="1" applyAlignment="1" applyProtection="1">
      <alignment vertical="center" wrapText="1"/>
    </xf>
    <xf numFmtId="43" fontId="3" fillId="0" borderId="0" xfId="11" applyFont="1" applyFill="1" applyBorder="1" applyAlignment="1" applyProtection="1">
      <alignment horizontal="left" vertical="center" wrapText="1"/>
    </xf>
    <xf numFmtId="164" fontId="3" fillId="0" borderId="0" xfId="15" applyNumberFormat="1" applyFont="1" applyFill="1" applyBorder="1" applyAlignment="1" applyProtection="1">
      <alignment horizontal="center" vertical="center" wrapText="1"/>
    </xf>
    <xf numFmtId="0" fontId="3" fillId="0" borderId="0" xfId="9" applyFont="1" applyFill="1" applyBorder="1" applyAlignment="1" applyProtection="1">
      <alignment vertical="center" wrapText="1"/>
    </xf>
    <xf numFmtId="0" fontId="11" fillId="0" borderId="0" xfId="10" applyNumberFormat="1" applyFont="1" applyFill="1" applyBorder="1" applyAlignment="1" applyProtection="1">
      <alignment vertical="center" wrapText="1"/>
      <protection locked="0"/>
    </xf>
    <xf numFmtId="1" fontId="12" fillId="0" borderId="0" xfId="3" applyNumberFormat="1" applyFont="1" applyFill="1" applyBorder="1" applyAlignment="1" applyProtection="1">
      <alignment horizontal="center" vertical="center" wrapText="1"/>
      <protection locked="0"/>
    </xf>
    <xf numFmtId="165" fontId="4" fillId="3" borderId="9" xfId="17" applyNumberFormat="1" applyFont="1" applyFill="1" applyBorder="1" applyAlignment="1" applyProtection="1">
      <alignment vertical="center" wrapText="1"/>
      <protection locked="0"/>
    </xf>
    <xf numFmtId="165" fontId="4" fillId="2" borderId="10" xfId="16" applyNumberFormat="1" applyFont="1" applyFill="1" applyBorder="1" applyAlignment="1" applyProtection="1">
      <alignment vertical="center" wrapText="1"/>
      <protection locked="0"/>
    </xf>
    <xf numFmtId="165" fontId="4" fillId="0" borderId="10" xfId="17" applyNumberFormat="1" applyFont="1" applyFill="1" applyBorder="1" applyAlignment="1" applyProtection="1">
      <alignment vertical="center" wrapText="1"/>
      <protection locked="0"/>
    </xf>
    <xf numFmtId="165" fontId="4" fillId="0" borderId="11" xfId="16" applyNumberFormat="1" applyFont="1" applyFill="1" applyBorder="1" applyAlignment="1" applyProtection="1">
      <alignment horizontal="right" vertical="center"/>
      <protection locked="0"/>
    </xf>
    <xf numFmtId="0" fontId="3" fillId="0" borderId="12" xfId="6" applyFont="1" applyFill="1" applyBorder="1" applyAlignment="1" applyProtection="1">
      <alignment vertical="center" wrapText="1"/>
      <protection locked="0"/>
    </xf>
    <xf numFmtId="165" fontId="4" fillId="3" borderId="10" xfId="17" applyNumberFormat="1" applyFont="1" applyFill="1" applyBorder="1" applyAlignment="1" applyProtection="1">
      <alignment vertical="center" wrapText="1"/>
      <protection locked="0"/>
    </xf>
    <xf numFmtId="1" fontId="3" fillId="0" borderId="10" xfId="11" applyNumberFormat="1" applyFont="1" applyFill="1" applyBorder="1" applyAlignment="1" applyProtection="1">
      <alignment vertical="center" wrapText="1"/>
    </xf>
    <xf numFmtId="43" fontId="3" fillId="0" borderId="10" xfId="11" applyFont="1" applyFill="1" applyBorder="1" applyAlignment="1" applyProtection="1">
      <alignment horizontal="left" vertical="center" wrapText="1"/>
    </xf>
    <xf numFmtId="164" fontId="3" fillId="0" borderId="10" xfId="15" applyNumberFormat="1" applyFont="1" applyFill="1" applyBorder="1" applyAlignment="1" applyProtection="1">
      <alignment horizontal="center" vertical="center" wrapText="1"/>
    </xf>
    <xf numFmtId="0" fontId="3" fillId="0" borderId="10" xfId="9" applyFont="1" applyFill="1" applyBorder="1" applyAlignment="1" applyProtection="1">
      <alignment vertical="center" wrapText="1"/>
    </xf>
    <xf numFmtId="0" fontId="14" fillId="3" borderId="13" xfId="10" applyNumberFormat="1" applyFont="1" applyFill="1" applyBorder="1" applyAlignment="1" applyProtection="1">
      <alignment vertical="center" wrapText="1"/>
      <protection locked="0"/>
    </xf>
    <xf numFmtId="0" fontId="3" fillId="0" borderId="4" xfId="2" applyFill="1" applyBorder="1" applyAlignment="1" applyProtection="1">
      <alignment vertical="top" wrapText="1"/>
      <protection locked="0"/>
    </xf>
    <xf numFmtId="0" fontId="15" fillId="0" borderId="14" xfId="3" applyFont="1" applyFill="1" applyBorder="1" applyAlignment="1" applyProtection="1">
      <alignment horizontal="center" vertical="center"/>
      <protection locked="0"/>
    </xf>
    <xf numFmtId="0" fontId="15" fillId="0" borderId="15" xfId="4" applyFont="1" applyFill="1" applyBorder="1" applyAlignment="1" applyProtection="1">
      <alignment horizontal="center" vertical="center"/>
      <protection locked="0"/>
    </xf>
    <xf numFmtId="0" fontId="15" fillId="0" borderId="15" xfId="11" applyNumberFormat="1" applyFont="1" applyFill="1" applyBorder="1" applyAlignment="1" applyProtection="1">
      <alignment horizontal="center" vertical="center"/>
    </xf>
    <xf numFmtId="165" fontId="16" fillId="0" borderId="15" xfId="16" applyNumberFormat="1" applyFont="1" applyFill="1" applyBorder="1" applyAlignment="1" applyProtection="1">
      <alignment horizontal="center" vertical="center"/>
    </xf>
    <xf numFmtId="165" fontId="12" fillId="0" borderId="1" xfId="16" applyNumberFormat="1" applyFont="1" applyFill="1" applyBorder="1" applyAlignment="1" applyProtection="1">
      <alignment horizontal="center" vertical="center"/>
    </xf>
    <xf numFmtId="9" fontId="12" fillId="0" borderId="16" xfId="19" applyFont="1" applyFill="1" applyBorder="1" applyAlignment="1" applyProtection="1">
      <alignment horizontal="center" vertical="center" wrapText="1"/>
      <protection locked="0"/>
    </xf>
    <xf numFmtId="9" fontId="12" fillId="0" borderId="16" xfId="19" applyNumberFormat="1" applyFont="1" applyFill="1" applyBorder="1" applyAlignment="1" applyProtection="1">
      <alignment horizontal="center" vertical="center" wrapText="1"/>
      <protection locked="0"/>
    </xf>
    <xf numFmtId="165" fontId="12" fillId="0" borderId="1" xfId="20" applyNumberFormat="1" applyFont="1" applyFill="1" applyBorder="1" applyAlignment="1" applyProtection="1">
      <alignment horizontal="center" vertical="center"/>
    </xf>
    <xf numFmtId="165" fontId="12" fillId="0" borderId="1" xfId="21" applyNumberFormat="1" applyFont="1" applyFill="1" applyBorder="1" applyAlignment="1" applyProtection="1">
      <alignment horizontal="center" vertical="center"/>
    </xf>
    <xf numFmtId="9" fontId="12" fillId="0" borderId="16" xfId="22" applyFont="1" applyFill="1" applyBorder="1" applyAlignment="1" applyProtection="1">
      <alignment horizontal="center" vertical="center" wrapText="1"/>
      <protection locked="0"/>
    </xf>
    <xf numFmtId="166" fontId="12" fillId="0" borderId="16" xfId="22" applyNumberFormat="1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horizontal="center" vertical="center"/>
    </xf>
    <xf numFmtId="165" fontId="15" fillId="4" borderId="17" xfId="23" applyNumberFormat="1" applyFont="1" applyFill="1" applyBorder="1" applyAlignment="1" applyProtection="1">
      <alignment horizontal="center" vertical="center" wrapText="1"/>
    </xf>
    <xf numFmtId="43" fontId="12" fillId="4" borderId="16" xfId="11" applyFont="1" applyFill="1" applyBorder="1" applyAlignment="1" applyProtection="1">
      <alignment horizontal="center" vertical="center" wrapText="1"/>
    </xf>
    <xf numFmtId="164" fontId="15" fillId="4" borderId="16" xfId="15" applyNumberFormat="1" applyFont="1" applyFill="1" applyBorder="1" applyAlignment="1" applyProtection="1">
      <alignment horizontal="center" vertical="center" wrapText="1"/>
    </xf>
    <xf numFmtId="0" fontId="15" fillId="4" borderId="18" xfId="9" applyFont="1" applyFill="1" applyBorder="1" applyAlignment="1" applyProtection="1">
      <alignment horizontal="center" vertical="center" wrapText="1"/>
    </xf>
    <xf numFmtId="0" fontId="12" fillId="0" borderId="19" xfId="10" applyNumberFormat="1" applyFont="1" applyFill="1" applyBorder="1" applyAlignment="1" applyProtection="1">
      <alignment horizontal="left" vertical="center" wrapText="1"/>
      <protection locked="0"/>
    </xf>
    <xf numFmtId="0" fontId="15" fillId="0" borderId="20" xfId="3" applyFont="1" applyFill="1" applyBorder="1" applyAlignment="1" applyProtection="1">
      <alignment horizontal="center" vertical="center"/>
      <protection locked="0"/>
    </xf>
    <xf numFmtId="0" fontId="15" fillId="0" borderId="1" xfId="4" applyFont="1" applyFill="1" applyBorder="1" applyAlignment="1" applyProtection="1">
      <alignment horizontal="center" vertical="center"/>
      <protection locked="0"/>
    </xf>
    <xf numFmtId="0" fontId="15" fillId="0" borderId="1" xfId="11" applyNumberFormat="1" applyFont="1" applyFill="1" applyBorder="1" applyAlignment="1" applyProtection="1">
      <alignment horizontal="center" vertical="center"/>
    </xf>
    <xf numFmtId="165" fontId="16" fillId="0" borderId="1" xfId="16" applyNumberFormat="1" applyFont="1" applyFill="1" applyBorder="1" applyAlignment="1" applyProtection="1">
      <alignment horizontal="center" vertical="center"/>
    </xf>
    <xf numFmtId="9" fontId="12" fillId="0" borderId="1" xfId="19" applyFont="1" applyFill="1" applyBorder="1" applyAlignment="1" applyProtection="1">
      <alignment horizontal="center" vertical="center" wrapText="1"/>
      <protection locked="0"/>
    </xf>
    <xf numFmtId="9" fontId="12" fillId="0" borderId="1" xfId="19" applyNumberFormat="1" applyFont="1" applyFill="1" applyBorder="1" applyAlignment="1" applyProtection="1">
      <alignment horizontal="center" vertical="center" wrapText="1"/>
      <protection locked="0"/>
    </xf>
    <xf numFmtId="9" fontId="12" fillId="0" borderId="1" xfId="22" applyFont="1" applyFill="1" applyBorder="1" applyAlignment="1" applyProtection="1">
      <alignment horizontal="center" vertical="center" wrapText="1"/>
      <protection locked="0"/>
    </xf>
    <xf numFmtId="166" fontId="12" fillId="0" borderId="1" xfId="22" applyNumberFormat="1" applyFont="1" applyFill="1" applyBorder="1" applyAlignment="1" applyProtection="1">
      <alignment horizontal="center" vertical="center" wrapText="1"/>
      <protection locked="0"/>
    </xf>
    <xf numFmtId="165" fontId="15" fillId="4" borderId="20" xfId="23" applyNumberFormat="1" applyFont="1" applyFill="1" applyBorder="1" applyAlignment="1" applyProtection="1">
      <alignment horizontal="center" vertical="center" wrapText="1"/>
    </xf>
    <xf numFmtId="43" fontId="12" fillId="4" borderId="1" xfId="11" applyFont="1" applyFill="1" applyBorder="1" applyAlignment="1" applyProtection="1">
      <alignment horizontal="center" vertical="center" wrapText="1"/>
    </xf>
    <xf numFmtId="164" fontId="15" fillId="4" borderId="1" xfId="15" applyNumberFormat="1" applyFont="1" applyFill="1" applyBorder="1" applyAlignment="1" applyProtection="1">
      <alignment horizontal="center" vertical="center" wrapText="1"/>
    </xf>
    <xf numFmtId="0" fontId="15" fillId="4" borderId="21" xfId="9" applyFont="1" applyFill="1" applyBorder="1" applyAlignment="1" applyProtection="1">
      <alignment horizontal="center" vertical="center" wrapText="1"/>
    </xf>
    <xf numFmtId="0" fontId="12" fillId="0" borderId="22" xfId="10" applyNumberFormat="1" applyFont="1" applyFill="1" applyBorder="1" applyAlignment="1" applyProtection="1">
      <alignment horizontal="left" vertical="center" wrapText="1"/>
      <protection locked="0"/>
    </xf>
    <xf numFmtId="0" fontId="3" fillId="0" borderId="20" xfId="2" applyFill="1" applyBorder="1" applyAlignment="1" applyProtection="1">
      <alignment vertical="top" wrapText="1"/>
      <protection locked="0"/>
    </xf>
    <xf numFmtId="0" fontId="15" fillId="2" borderId="20" xfId="3" applyFont="1" applyFill="1" applyBorder="1" applyAlignment="1" applyProtection="1">
      <alignment vertical="top"/>
      <protection locked="0"/>
    </xf>
    <xf numFmtId="0" fontId="15" fillId="2" borderId="20" xfId="3" applyFont="1" applyFill="1" applyBorder="1" applyAlignment="1" applyProtection="1">
      <alignment horizontal="center" vertical="center"/>
      <protection locked="0"/>
    </xf>
    <xf numFmtId="0" fontId="15" fillId="2" borderId="1" xfId="4" applyFont="1" applyFill="1" applyBorder="1" applyAlignment="1" applyProtection="1">
      <alignment horizontal="center" vertical="center"/>
      <protection locked="0"/>
    </xf>
    <xf numFmtId="9" fontId="12" fillId="2" borderId="1" xfId="19" applyFont="1" applyFill="1" applyBorder="1" applyAlignment="1" applyProtection="1">
      <alignment horizontal="center" vertical="center" wrapText="1"/>
      <protection locked="0"/>
    </xf>
    <xf numFmtId="9" fontId="16" fillId="2" borderId="1" xfId="19" applyFont="1" applyFill="1" applyBorder="1" applyAlignment="1" applyProtection="1">
      <alignment horizontal="center" vertical="center" wrapText="1"/>
      <protection locked="0"/>
    </xf>
    <xf numFmtId="9" fontId="12" fillId="2" borderId="1" xfId="19" applyNumberFormat="1" applyFont="1" applyFill="1" applyBorder="1" applyAlignment="1" applyProtection="1">
      <alignment horizontal="center" vertical="center" wrapText="1"/>
      <protection locked="0"/>
    </xf>
    <xf numFmtId="9" fontId="12" fillId="2" borderId="1" xfId="22" applyFont="1" applyFill="1" applyBorder="1" applyAlignment="1" applyProtection="1">
      <alignment horizontal="center" vertical="center" wrapText="1"/>
      <protection locked="0"/>
    </xf>
    <xf numFmtId="166" fontId="12" fillId="2" borderId="1" xfId="22" applyNumberFormat="1" applyFont="1" applyFill="1" applyBorder="1" applyAlignment="1" applyProtection="1">
      <alignment horizontal="center" vertical="center" wrapText="1"/>
      <protection locked="0"/>
    </xf>
    <xf numFmtId="44" fontId="15" fillId="2" borderId="20" xfId="23" applyFont="1" applyFill="1" applyBorder="1" applyAlignment="1" applyProtection="1">
      <alignment horizontal="center" vertical="center" wrapText="1"/>
    </xf>
    <xf numFmtId="43" fontId="12" fillId="2" borderId="1" xfId="11" applyFont="1" applyFill="1" applyBorder="1" applyAlignment="1" applyProtection="1">
      <alignment horizontal="center" vertical="center" wrapText="1"/>
    </xf>
    <xf numFmtId="164" fontId="15" fillId="2" borderId="1" xfId="15" applyNumberFormat="1" applyFont="1" applyFill="1" applyBorder="1" applyAlignment="1" applyProtection="1">
      <alignment horizontal="center" vertical="center" wrapText="1"/>
    </xf>
    <xf numFmtId="0" fontId="15" fillId="2" borderId="21" xfId="9" applyFont="1" applyFill="1" applyBorder="1" applyAlignment="1" applyProtection="1">
      <alignment horizontal="center" vertical="center" wrapText="1"/>
    </xf>
    <xf numFmtId="0" fontId="17" fillId="2" borderId="22" xfId="10" applyNumberFormat="1" applyFont="1" applyFill="1" applyBorder="1" applyAlignment="1" applyProtection="1">
      <alignment horizontal="left" vertical="center" wrapText="1"/>
      <protection locked="0"/>
    </xf>
    <xf numFmtId="164" fontId="12" fillId="4" borderId="1" xfId="15" applyNumberFormat="1" applyFont="1" applyFill="1" applyBorder="1" applyAlignment="1" applyProtection="1">
      <alignment horizontal="center" vertical="center" wrapText="1"/>
      <protection locked="0"/>
    </xf>
    <xf numFmtId="0" fontId="12" fillId="0" borderId="22" xfId="11" applyNumberFormat="1" applyFont="1" applyFill="1" applyBorder="1" applyAlignment="1" applyProtection="1">
      <alignment horizontal="justify" wrapText="1"/>
      <protection locked="0"/>
    </xf>
    <xf numFmtId="165" fontId="15" fillId="2" borderId="20" xfId="23" applyNumberFormat="1" applyFont="1" applyFill="1" applyBorder="1" applyAlignment="1" applyProtection="1">
      <alignment horizontal="center" vertical="center" wrapText="1"/>
    </xf>
    <xf numFmtId="164" fontId="12" fillId="2" borderId="1" xfId="15" applyNumberFormat="1" applyFont="1" applyFill="1" applyBorder="1" applyAlignment="1" applyProtection="1">
      <alignment horizontal="center" vertical="center" wrapText="1"/>
      <protection locked="0"/>
    </xf>
    <xf numFmtId="0" fontId="15" fillId="0" borderId="20" xfId="3" applyFont="1" applyFill="1" applyBorder="1" applyAlignment="1" applyProtection="1">
      <alignment vertical="top"/>
      <protection locked="0"/>
    </xf>
    <xf numFmtId="9" fontId="16" fillId="0" borderId="1" xfId="19" applyFont="1" applyFill="1" applyBorder="1" applyAlignment="1" applyProtection="1">
      <alignment horizontal="center" vertical="center" wrapText="1"/>
      <protection locked="0"/>
    </xf>
    <xf numFmtId="165" fontId="15" fillId="0" borderId="20" xfId="23" applyNumberFormat="1" applyFont="1" applyFill="1" applyBorder="1" applyAlignment="1" applyProtection="1">
      <alignment horizontal="center" vertical="center" wrapText="1"/>
    </xf>
    <xf numFmtId="164" fontId="12" fillId="0" borderId="1" xfId="15" applyNumberFormat="1" applyFont="1" applyFill="1" applyBorder="1" applyAlignment="1" applyProtection="1">
      <alignment horizontal="center" vertical="center" wrapText="1"/>
      <protection locked="0"/>
    </xf>
    <xf numFmtId="164" fontId="15" fillId="0" borderId="1" xfId="15" applyNumberFormat="1" applyFont="1" applyFill="1" applyBorder="1" applyAlignment="1" applyProtection="1">
      <alignment horizontal="center" vertical="center" wrapText="1"/>
    </xf>
    <xf numFmtId="0" fontId="15" fillId="0" borderId="21" xfId="9" applyFont="1" applyFill="1" applyBorder="1" applyAlignment="1" applyProtection="1">
      <alignment horizontal="center" vertical="center" wrapText="1"/>
    </xf>
    <xf numFmtId="0" fontId="18" fillId="0" borderId="22" xfId="11" applyNumberFormat="1" applyFont="1" applyFill="1" applyBorder="1" applyAlignment="1" applyProtection="1">
      <alignment horizontal="justify" vertical="center" wrapText="1"/>
      <protection locked="0"/>
    </xf>
    <xf numFmtId="0" fontId="15" fillId="2" borderId="1" xfId="11" applyNumberFormat="1" applyFont="1" applyFill="1" applyBorder="1" applyAlignment="1" applyProtection="1">
      <alignment horizontal="center" vertical="center"/>
    </xf>
    <xf numFmtId="0" fontId="17" fillId="2" borderId="22" xfId="10" applyNumberFormat="1" applyFont="1" applyFill="1" applyBorder="1" applyAlignment="1" applyProtection="1">
      <alignment horizontal="justify" vertical="top" wrapText="1"/>
      <protection locked="0"/>
    </xf>
    <xf numFmtId="0" fontId="12" fillId="0" borderId="22" xfId="10" applyNumberFormat="1" applyFont="1" applyFill="1" applyBorder="1" applyAlignment="1" applyProtection="1">
      <alignment horizontal="justify" vertical="center" wrapText="1"/>
      <protection locked="0"/>
    </xf>
    <xf numFmtId="0" fontId="12" fillId="0" borderId="22" xfId="11" applyNumberFormat="1" applyFont="1" applyFill="1" applyBorder="1" applyAlignment="1" applyProtection="1">
      <alignment horizontal="left" vertical="center" wrapText="1"/>
      <protection locked="0"/>
    </xf>
    <xf numFmtId="164" fontId="12" fillId="0" borderId="20" xfId="15" applyNumberFormat="1" applyFont="1" applyFill="1" applyBorder="1" applyAlignment="1" applyProtection="1">
      <alignment vertical="center"/>
    </xf>
    <xf numFmtId="164" fontId="12" fillId="0" borderId="1" xfId="15" applyNumberFormat="1" applyFont="1" applyFill="1" applyBorder="1" applyAlignment="1" applyProtection="1">
      <alignment vertical="center"/>
    </xf>
    <xf numFmtId="164" fontId="12" fillId="0" borderId="21" xfId="15" applyNumberFormat="1" applyFont="1" applyFill="1" applyBorder="1" applyAlignment="1" applyProtection="1">
      <alignment vertical="center"/>
    </xf>
    <xf numFmtId="0" fontId="20" fillId="0" borderId="22" xfId="11" applyNumberFormat="1" applyFont="1" applyFill="1" applyBorder="1" applyAlignment="1" applyProtection="1">
      <alignment horizontal="justify" vertical="justify" wrapText="1"/>
      <protection locked="0"/>
    </xf>
    <xf numFmtId="164" fontId="12" fillId="2" borderId="20" xfId="15" applyNumberFormat="1" applyFont="1" applyFill="1" applyBorder="1" applyAlignment="1" applyProtection="1">
      <alignment vertical="center"/>
    </xf>
    <xf numFmtId="164" fontId="12" fillId="2" borderId="1" xfId="15" applyNumberFormat="1" applyFont="1" applyFill="1" applyBorder="1" applyAlignment="1" applyProtection="1">
      <alignment vertical="center"/>
    </xf>
    <xf numFmtId="164" fontId="12" fillId="2" borderId="21" xfId="15" applyNumberFormat="1" applyFont="1" applyFill="1" applyBorder="1" applyAlignment="1" applyProtection="1">
      <alignment vertical="center"/>
    </xf>
    <xf numFmtId="0" fontId="17" fillId="2" borderId="22" xfId="11" applyNumberFormat="1" applyFont="1" applyFill="1" applyBorder="1" applyAlignment="1" applyProtection="1">
      <alignment horizontal="justify" vertical="center" wrapText="1"/>
      <protection locked="0"/>
    </xf>
    <xf numFmtId="165" fontId="15" fillId="4" borderId="20" xfId="23" applyNumberFormat="1" applyFont="1" applyFill="1" applyBorder="1" applyAlignment="1" applyProtection="1">
      <alignment vertical="center" wrapText="1"/>
    </xf>
    <xf numFmtId="44" fontId="22" fillId="2" borderId="20" xfId="23" applyFont="1" applyFill="1" applyBorder="1" applyAlignment="1" applyProtection="1">
      <alignment horizontal="left" vertical="center" wrapText="1"/>
    </xf>
    <xf numFmtId="43" fontId="12" fillId="2" borderId="1" xfId="11" applyFont="1" applyFill="1" applyBorder="1" applyAlignment="1" applyProtection="1">
      <alignment horizontal="left" vertical="center" wrapText="1"/>
    </xf>
    <xf numFmtId="0" fontId="15" fillId="2" borderId="1" xfId="9" applyFont="1" applyFill="1" applyBorder="1" applyAlignment="1" applyProtection="1">
      <alignment horizontal="left" vertical="center" wrapText="1"/>
    </xf>
    <xf numFmtId="0" fontId="15" fillId="2" borderId="22" xfId="9" applyFont="1" applyFill="1" applyBorder="1" applyAlignment="1" applyProtection="1">
      <alignment horizontal="left" vertical="center" wrapText="1"/>
    </xf>
    <xf numFmtId="0" fontId="17" fillId="2" borderId="22" xfId="11" applyNumberFormat="1" applyFont="1" applyFill="1" applyBorder="1" applyAlignment="1" applyProtection="1">
      <alignment horizontal="left" vertical="center" wrapText="1"/>
      <protection locked="0"/>
    </xf>
    <xf numFmtId="0" fontId="12" fillId="0" borderId="22" xfId="11" applyNumberFormat="1" applyFont="1" applyFill="1" applyBorder="1" applyAlignment="1" applyProtection="1">
      <alignment horizontal="justify" vertical="center" wrapText="1"/>
      <protection locked="0"/>
    </xf>
    <xf numFmtId="164" fontId="15" fillId="4" borderId="1" xfId="15" applyNumberFormat="1" applyFont="1" applyFill="1" applyBorder="1" applyAlignment="1" applyProtection="1">
      <alignment horizontal="center" vertical="center" wrapText="1"/>
      <protection locked="0"/>
    </xf>
    <xf numFmtId="0" fontId="15" fillId="2" borderId="21" xfId="9" applyFont="1" applyFill="1" applyBorder="1" applyAlignment="1" applyProtection="1">
      <alignment horizontal="left" vertical="center" wrapText="1"/>
    </xf>
    <xf numFmtId="44" fontId="22" fillId="0" borderId="20" xfId="23" applyFont="1" applyFill="1" applyBorder="1" applyAlignment="1" applyProtection="1">
      <alignment vertical="center" wrapText="1"/>
    </xf>
    <xf numFmtId="43" fontId="12" fillId="0" borderId="1" xfId="11" applyFont="1" applyFill="1" applyBorder="1" applyAlignment="1" applyProtection="1">
      <alignment horizontal="center" vertical="center" wrapText="1"/>
    </xf>
    <xf numFmtId="0" fontId="23" fillId="0" borderId="16" xfId="9" applyFont="1" applyBorder="1" applyAlignment="1">
      <alignment vertical="center"/>
    </xf>
    <xf numFmtId="44" fontId="22" fillId="2" borderId="20" xfId="23" applyFont="1" applyFill="1" applyBorder="1" applyAlignment="1" applyProtection="1">
      <alignment vertical="center" wrapText="1"/>
    </xf>
    <xf numFmtId="0" fontId="3" fillId="0" borderId="20" xfId="2" applyFill="1" applyBorder="1" applyAlignment="1" applyProtection="1">
      <alignment vertical="center" wrapText="1"/>
      <protection locked="0"/>
    </xf>
    <xf numFmtId="44" fontId="15" fillId="0" borderId="20" xfId="23" applyFont="1" applyFill="1" applyBorder="1" applyAlignment="1" applyProtection="1">
      <alignment vertical="center" wrapText="1"/>
    </xf>
    <xf numFmtId="0" fontId="15" fillId="2" borderId="20" xfId="3" applyFont="1" applyFill="1" applyBorder="1" applyAlignment="1" applyProtection="1">
      <alignment vertical="center"/>
      <protection locked="0"/>
    </xf>
    <xf numFmtId="0" fontId="17" fillId="2" borderId="22" xfId="10" applyNumberFormat="1" applyFont="1" applyFill="1" applyBorder="1" applyAlignment="1" applyProtection="1">
      <alignment horizontal="justify" vertical="center" wrapText="1"/>
      <protection locked="0"/>
    </xf>
    <xf numFmtId="0" fontId="15" fillId="0" borderId="20" xfId="3" applyFont="1" applyFill="1" applyBorder="1" applyAlignment="1" applyProtection="1">
      <alignment vertical="center"/>
      <protection locked="0"/>
    </xf>
    <xf numFmtId="43" fontId="24" fillId="0" borderId="23" xfId="11" applyFont="1" applyFill="1" applyBorder="1" applyAlignment="1" applyProtection="1">
      <alignment horizontal="center" vertical="center" wrapText="1"/>
      <protection locked="0"/>
    </xf>
    <xf numFmtId="165" fontId="15" fillId="4" borderId="20" xfId="23" applyNumberFormat="1" applyFont="1" applyFill="1" applyBorder="1" applyAlignment="1" applyProtection="1">
      <alignment horizontal="left" vertical="center" wrapText="1"/>
    </xf>
    <xf numFmtId="0" fontId="3" fillId="0" borderId="0" xfId="8" applyFill="1" applyAlignment="1" applyProtection="1">
      <alignment horizontal="center" vertical="center" wrapText="1"/>
      <protection locked="0"/>
    </xf>
    <xf numFmtId="1" fontId="25" fillId="0" borderId="20" xfId="15" applyNumberFormat="1" applyFont="1" applyFill="1" applyBorder="1" applyAlignment="1" applyProtection="1">
      <alignment horizontal="center" vertical="center" wrapText="1"/>
      <protection locked="0"/>
    </xf>
    <xf numFmtId="164" fontId="15" fillId="0" borderId="1" xfId="15" applyNumberFormat="1" applyFont="1" applyFill="1" applyBorder="1" applyAlignment="1" applyProtection="1">
      <alignment horizontal="center" vertical="center" wrapText="1"/>
      <protection locked="0"/>
    </xf>
    <xf numFmtId="43" fontId="26" fillId="0" borderId="21" xfId="11" applyFont="1" applyFill="1" applyBorder="1" applyAlignment="1" applyProtection="1">
      <alignment horizontal="center" vertical="center" wrapText="1"/>
      <protection locked="0"/>
    </xf>
    <xf numFmtId="1" fontId="25" fillId="2" borderId="20" xfId="15" applyNumberFormat="1" applyFont="1" applyFill="1" applyBorder="1" applyAlignment="1" applyProtection="1">
      <alignment horizontal="center" vertical="center" wrapText="1"/>
      <protection locked="0"/>
    </xf>
    <xf numFmtId="164" fontId="15" fillId="2" borderId="1" xfId="15" applyNumberFormat="1" applyFont="1" applyFill="1" applyBorder="1" applyAlignment="1" applyProtection="1">
      <alignment horizontal="center" vertical="center" wrapText="1"/>
      <protection locked="0"/>
    </xf>
    <xf numFmtId="43" fontId="26" fillId="2" borderId="21" xfId="11" applyFont="1" applyFill="1" applyBorder="1" applyAlignment="1" applyProtection="1">
      <alignment horizontal="center" vertical="center" wrapText="1"/>
      <protection locked="0"/>
    </xf>
    <xf numFmtId="43" fontId="24" fillId="0" borderId="23" xfId="11" applyFont="1" applyFill="1" applyBorder="1" applyAlignment="1" applyProtection="1">
      <alignment horizontal="center" wrapText="1"/>
      <protection locked="0"/>
    </xf>
    <xf numFmtId="9" fontId="12" fillId="2" borderId="21" xfId="22" applyFont="1" applyFill="1" applyBorder="1" applyAlignment="1" applyProtection="1">
      <alignment horizontal="center" vertical="center" wrapText="1"/>
      <protection locked="0"/>
    </xf>
    <xf numFmtId="164" fontId="0" fillId="0" borderId="21" xfId="0" applyNumberFormat="1" applyBorder="1" applyAlignment="1">
      <alignment horizontal="center" vertical="center"/>
    </xf>
    <xf numFmtId="43" fontId="24" fillId="2" borderId="20" xfId="11" applyFont="1" applyFill="1" applyBorder="1" applyAlignment="1" applyProtection="1">
      <alignment horizontal="center" wrapText="1"/>
      <protection locked="0"/>
    </xf>
    <xf numFmtId="43" fontId="9" fillId="2" borderId="1" xfId="11" applyFont="1" applyFill="1" applyBorder="1" applyAlignment="1" applyProtection="1">
      <alignment horizontal="center" wrapText="1"/>
      <protection locked="0"/>
    </xf>
    <xf numFmtId="0" fontId="24" fillId="2" borderId="1" xfId="11" applyNumberFormat="1" applyFont="1" applyFill="1" applyBorder="1" applyAlignment="1" applyProtection="1">
      <alignment horizontal="center" wrapText="1"/>
      <protection locked="0"/>
    </xf>
    <xf numFmtId="43" fontId="28" fillId="2" borderId="1" xfId="12" applyFont="1" applyFill="1" applyBorder="1" applyAlignment="1" applyProtection="1">
      <alignment horizontal="center" wrapText="1"/>
      <protection locked="0"/>
    </xf>
    <xf numFmtId="43" fontId="24" fillId="2" borderId="1" xfId="12" applyFont="1" applyFill="1" applyBorder="1" applyAlignment="1" applyProtection="1">
      <alignment horizontal="center" wrapText="1"/>
      <protection locked="0"/>
    </xf>
    <xf numFmtId="9" fontId="22" fillId="2" borderId="1" xfId="19" applyFont="1" applyFill="1" applyBorder="1" applyAlignment="1" applyProtection="1">
      <alignment horizontal="center" wrapText="1"/>
      <protection locked="0"/>
    </xf>
    <xf numFmtId="9" fontId="22" fillId="2" borderId="1" xfId="19" applyNumberFormat="1" applyFont="1" applyFill="1" applyBorder="1" applyAlignment="1" applyProtection="1">
      <alignment horizontal="center" wrapText="1"/>
      <protection locked="0"/>
    </xf>
    <xf numFmtId="9" fontId="29" fillId="2" borderId="1" xfId="24" applyFont="1" applyFill="1" applyBorder="1" applyAlignment="1" applyProtection="1">
      <alignment horizontal="center" wrapText="1"/>
      <protection locked="0"/>
    </xf>
    <xf numFmtId="9" fontId="22" fillId="2" borderId="1" xfId="25" applyFont="1" applyFill="1" applyBorder="1" applyAlignment="1" applyProtection="1">
      <alignment horizontal="center" wrapText="1"/>
      <protection locked="0"/>
    </xf>
    <xf numFmtId="9" fontId="22" fillId="2" borderId="16" xfId="22" applyFont="1" applyFill="1" applyBorder="1" applyAlignment="1" applyProtection="1">
      <alignment horizontal="center" wrapText="1"/>
      <protection locked="0"/>
    </xf>
    <xf numFmtId="166" fontId="22" fillId="2" borderId="16" xfId="22" applyNumberFormat="1" applyFont="1" applyFill="1" applyBorder="1" applyAlignment="1" applyProtection="1">
      <alignment horizontal="center" wrapText="1"/>
      <protection locked="0"/>
    </xf>
    <xf numFmtId="164" fontId="25" fillId="2" borderId="21" xfId="26" applyNumberFormat="1" applyFont="1" applyFill="1" applyBorder="1" applyAlignment="1" applyProtection="1">
      <alignment horizontal="center" vertical="top" wrapText="1"/>
      <protection locked="0"/>
    </xf>
    <xf numFmtId="1" fontId="25" fillId="2" borderId="20" xfId="15" applyNumberFormat="1" applyFont="1" applyFill="1" applyBorder="1" applyAlignment="1" applyProtection="1">
      <alignment horizontal="center" wrapText="1"/>
      <protection locked="0"/>
    </xf>
    <xf numFmtId="164" fontId="12" fillId="2" borderId="1" xfId="15" applyNumberFormat="1" applyFont="1" applyFill="1" applyBorder="1" applyAlignment="1" applyProtection="1">
      <alignment horizontal="center" wrapText="1"/>
      <protection locked="0"/>
    </xf>
    <xf numFmtId="164" fontId="11" fillId="2" borderId="1" xfId="15" applyNumberFormat="1" applyFont="1" applyFill="1" applyBorder="1" applyAlignment="1" applyProtection="1">
      <alignment horizontal="center" wrapText="1"/>
      <protection locked="0"/>
    </xf>
    <xf numFmtId="43" fontId="29" fillId="2" borderId="21" xfId="11" applyFont="1" applyFill="1" applyBorder="1" applyAlignment="1" applyProtection="1">
      <alignment horizontal="center" wrapText="1"/>
      <protection locked="0"/>
    </xf>
    <xf numFmtId="0" fontId="17" fillId="2" borderId="22" xfId="11" applyNumberFormat="1" applyFont="1" applyFill="1" applyBorder="1" applyAlignment="1" applyProtection="1">
      <alignment horizontal="justify" vertical="top" wrapText="1"/>
      <protection locked="0"/>
    </xf>
    <xf numFmtId="43" fontId="24" fillId="2" borderId="24" xfId="11" applyFont="1" applyFill="1" applyBorder="1" applyAlignment="1" applyProtection="1">
      <alignment horizontal="center" wrapText="1"/>
      <protection locked="0"/>
    </xf>
    <xf numFmtId="43" fontId="9" fillId="2" borderId="25" xfId="11" applyFont="1" applyFill="1" applyBorder="1" applyAlignment="1" applyProtection="1">
      <alignment horizontal="center" wrapText="1"/>
      <protection locked="0"/>
    </xf>
    <xf numFmtId="0" fontId="24" fillId="2" borderId="16" xfId="11" applyNumberFormat="1" applyFont="1" applyFill="1" applyBorder="1" applyAlignment="1" applyProtection="1">
      <alignment horizontal="center" wrapText="1"/>
      <protection locked="0"/>
    </xf>
    <xf numFmtId="43" fontId="28" fillId="2" borderId="0" xfId="12" applyFont="1" applyFill="1" applyBorder="1" applyAlignment="1" applyProtection="1">
      <alignment horizontal="center" wrapText="1"/>
      <protection locked="0"/>
    </xf>
    <xf numFmtId="43" fontId="24" fillId="2" borderId="0" xfId="12" applyFont="1" applyFill="1" applyBorder="1" applyAlignment="1" applyProtection="1">
      <alignment horizontal="center" wrapText="1"/>
      <protection locked="0"/>
    </xf>
    <xf numFmtId="9" fontId="22" fillId="2" borderId="0" xfId="19" applyFont="1" applyFill="1" applyBorder="1" applyAlignment="1" applyProtection="1">
      <alignment horizontal="center" wrapText="1"/>
      <protection locked="0"/>
    </xf>
    <xf numFmtId="9" fontId="22" fillId="2" borderId="0" xfId="19" applyNumberFormat="1" applyFont="1" applyFill="1" applyBorder="1" applyAlignment="1" applyProtection="1">
      <alignment horizontal="center" wrapText="1"/>
      <protection locked="0"/>
    </xf>
    <xf numFmtId="9" fontId="29" fillId="2" borderId="0" xfId="24" applyFont="1" applyFill="1" applyBorder="1" applyAlignment="1" applyProtection="1">
      <alignment horizontal="center" wrapText="1"/>
      <protection locked="0"/>
    </xf>
    <xf numFmtId="9" fontId="22" fillId="2" borderId="0" xfId="25" applyFont="1" applyFill="1" applyBorder="1" applyAlignment="1" applyProtection="1">
      <alignment horizontal="center" wrapText="1"/>
      <protection locked="0"/>
    </xf>
    <xf numFmtId="9" fontId="22" fillId="2" borderId="0" xfId="22" applyFont="1" applyFill="1" applyBorder="1" applyAlignment="1" applyProtection="1">
      <alignment horizontal="center" wrapText="1"/>
      <protection locked="0"/>
    </xf>
    <xf numFmtId="166" fontId="22" fillId="2" borderId="0" xfId="22" applyNumberFormat="1" applyFont="1" applyFill="1" applyBorder="1" applyAlignment="1" applyProtection="1">
      <alignment horizontal="center" wrapText="1"/>
      <protection locked="0"/>
    </xf>
    <xf numFmtId="43" fontId="25" fillId="2" borderId="26" xfId="26" applyFont="1" applyFill="1" applyBorder="1" applyAlignment="1" applyProtection="1">
      <alignment horizontal="center" vertical="top" wrapText="1"/>
      <protection locked="0"/>
    </xf>
    <xf numFmtId="1" fontId="9" fillId="2" borderId="24" xfId="15" applyNumberFormat="1" applyFont="1" applyFill="1" applyBorder="1" applyAlignment="1" applyProtection="1">
      <alignment horizontal="center" wrapText="1"/>
      <protection locked="0"/>
    </xf>
    <xf numFmtId="164" fontId="3" fillId="2" borderId="25" xfId="15" applyNumberFormat="1" applyFont="1" applyFill="1" applyBorder="1" applyAlignment="1" applyProtection="1">
      <alignment horizontal="center" wrapText="1"/>
      <protection locked="0"/>
    </xf>
    <xf numFmtId="164" fontId="11" fillId="2" borderId="25" xfId="15" applyNumberFormat="1" applyFont="1" applyFill="1" applyBorder="1" applyAlignment="1" applyProtection="1">
      <alignment horizontal="center" wrapText="1"/>
      <protection locked="0"/>
    </xf>
    <xf numFmtId="43" fontId="24" fillId="2" borderId="27" xfId="11" applyFont="1" applyFill="1" applyBorder="1" applyAlignment="1" applyProtection="1">
      <alignment horizontal="center" wrapText="1"/>
      <protection locked="0"/>
    </xf>
    <xf numFmtId="0" fontId="14" fillId="2" borderId="28" xfId="11" applyNumberFormat="1" applyFont="1" applyFill="1" applyBorder="1" applyAlignment="1" applyProtection="1">
      <alignment horizontal="left" vertical="top" wrapText="1"/>
      <protection locked="0"/>
    </xf>
    <xf numFmtId="43" fontId="24" fillId="0" borderId="20" xfId="11" applyFont="1" applyFill="1" applyBorder="1" applyAlignment="1" applyProtection="1">
      <alignment horizontal="center" wrapText="1"/>
      <protection locked="0"/>
    </xf>
    <xf numFmtId="43" fontId="4" fillId="0" borderId="1" xfId="11" applyFont="1" applyFill="1" applyBorder="1" applyAlignment="1" applyProtection="1">
      <alignment horizontal="center" wrapText="1"/>
      <protection locked="0"/>
    </xf>
    <xf numFmtId="0" fontId="24" fillId="0" borderId="1" xfId="11" applyNumberFormat="1" applyFont="1" applyFill="1" applyBorder="1" applyAlignment="1" applyProtection="1">
      <alignment horizontal="center" wrapText="1"/>
      <protection locked="0"/>
    </xf>
    <xf numFmtId="43" fontId="28" fillId="0" borderId="1" xfId="12" applyFont="1" applyFill="1" applyBorder="1" applyAlignment="1" applyProtection="1">
      <alignment horizontal="center" wrapText="1"/>
      <protection locked="0"/>
    </xf>
    <xf numFmtId="43" fontId="4" fillId="0" borderId="1" xfId="12" applyFont="1" applyFill="1" applyBorder="1" applyAlignment="1" applyProtection="1">
      <alignment horizontal="center" wrapText="1"/>
      <protection locked="0"/>
    </xf>
    <xf numFmtId="43" fontId="4" fillId="0" borderId="1" xfId="12" applyFont="1" applyFill="1" applyBorder="1" applyAlignment="1" applyProtection="1">
      <alignment horizontal="center" textRotation="90" wrapText="1"/>
      <protection locked="0"/>
    </xf>
    <xf numFmtId="43" fontId="24" fillId="0" borderId="1" xfId="27" applyFont="1" applyFill="1" applyBorder="1" applyAlignment="1" applyProtection="1">
      <alignment horizontal="center" wrapText="1"/>
      <protection locked="0"/>
    </xf>
    <xf numFmtId="43" fontId="4" fillId="0" borderId="1" xfId="13" applyFont="1" applyFill="1" applyBorder="1" applyAlignment="1" applyProtection="1">
      <alignment horizontal="center" wrapText="1"/>
      <protection locked="0"/>
    </xf>
    <xf numFmtId="43" fontId="4" fillId="0" borderId="1" xfId="14" applyFont="1" applyFill="1" applyBorder="1" applyAlignment="1" applyProtection="1">
      <alignment horizontal="center" textRotation="90" wrapText="1"/>
      <protection locked="0"/>
    </xf>
    <xf numFmtId="43" fontId="25" fillId="0" borderId="29" xfId="26" applyFont="1" applyFill="1" applyBorder="1" applyAlignment="1" applyProtection="1">
      <alignment horizontal="center" vertical="top" wrapText="1"/>
      <protection locked="0"/>
    </xf>
    <xf numFmtId="1" fontId="9" fillId="0" borderId="20" xfId="15" applyNumberFormat="1" applyFont="1" applyFill="1" applyBorder="1" applyAlignment="1" applyProtection="1">
      <alignment horizontal="center" wrapText="1"/>
      <protection locked="0"/>
    </xf>
    <xf numFmtId="164" fontId="3" fillId="0" borderId="1" xfId="15" applyNumberFormat="1" applyFont="1" applyFill="1" applyBorder="1" applyAlignment="1" applyProtection="1">
      <alignment horizontal="center" wrapText="1"/>
      <protection locked="0"/>
    </xf>
    <xf numFmtId="164" fontId="11" fillId="0" borderId="1" xfId="15" applyNumberFormat="1" applyFont="1" applyFill="1" applyBorder="1" applyAlignment="1" applyProtection="1">
      <alignment horizontal="center" wrapText="1"/>
      <protection locked="0"/>
    </xf>
    <xf numFmtId="43" fontId="24" fillId="0" borderId="21" xfId="11" applyFont="1" applyFill="1" applyBorder="1" applyAlignment="1" applyProtection="1">
      <alignment horizontal="center" wrapText="1"/>
      <protection locked="0"/>
    </xf>
    <xf numFmtId="0" fontId="24" fillId="0" borderId="30" xfId="11" applyNumberFormat="1" applyFont="1" applyFill="1" applyBorder="1" applyAlignment="1" applyProtection="1">
      <alignment horizontal="center" wrapText="1"/>
      <protection locked="0"/>
    </xf>
    <xf numFmtId="43" fontId="4" fillId="0" borderId="31" xfId="11" applyFont="1" applyFill="1" applyBorder="1" applyAlignment="1" applyProtection="1">
      <alignment horizontal="center" wrapText="1"/>
      <protection locked="0"/>
    </xf>
    <xf numFmtId="43" fontId="4" fillId="0" borderId="32" xfId="11" applyFont="1" applyFill="1" applyBorder="1" applyAlignment="1" applyProtection="1">
      <alignment horizontal="center" wrapText="1"/>
      <protection locked="0"/>
    </xf>
    <xf numFmtId="0" fontId="4" fillId="0" borderId="32" xfId="11" applyNumberFormat="1" applyFont="1" applyFill="1" applyBorder="1" applyAlignment="1" applyProtection="1">
      <alignment horizontal="center" wrapText="1"/>
      <protection locked="0"/>
    </xf>
    <xf numFmtId="43" fontId="2" fillId="0" borderId="7" xfId="12" applyFont="1" applyFill="1" applyBorder="1" applyAlignment="1" applyProtection="1">
      <alignment horizontal="center" wrapText="1"/>
      <protection locked="0"/>
    </xf>
    <xf numFmtId="43" fontId="4" fillId="0" borderId="7" xfId="27" applyFont="1" applyFill="1" applyBorder="1" applyAlignment="1" applyProtection="1">
      <alignment horizontal="center" wrapText="1"/>
      <protection locked="0"/>
    </xf>
    <xf numFmtId="43" fontId="11" fillId="0" borderId="6" xfId="26" applyFont="1" applyFill="1" applyBorder="1" applyAlignment="1" applyProtection="1">
      <alignment horizontal="center" wrapText="1"/>
      <protection locked="0"/>
    </xf>
    <xf numFmtId="1" fontId="4" fillId="0" borderId="31" xfId="15" applyNumberFormat="1" applyFont="1" applyFill="1" applyBorder="1" applyAlignment="1" applyProtection="1">
      <alignment horizontal="center" wrapText="1"/>
      <protection locked="0"/>
    </xf>
    <xf numFmtId="43" fontId="4" fillId="0" borderId="33" xfId="11" applyFont="1" applyFill="1" applyBorder="1" applyAlignment="1" applyProtection="1">
      <alignment horizontal="center" wrapText="1"/>
      <protection locked="0"/>
    </xf>
    <xf numFmtId="0" fontId="4" fillId="0" borderId="34" xfId="11" applyNumberFormat="1" applyFont="1" applyFill="1" applyBorder="1" applyAlignment="1" applyProtection="1">
      <alignment horizontal="center" wrapText="1"/>
      <protection locked="0"/>
    </xf>
    <xf numFmtId="0" fontId="3" fillId="0" borderId="0" xfId="2" applyFill="1" applyAlignment="1" applyProtection="1">
      <alignment horizontal="left" vertical="center" wrapText="1"/>
      <protection locked="0"/>
    </xf>
    <xf numFmtId="0" fontId="3" fillId="0" borderId="0" xfId="3" applyFill="1" applyAlignment="1" applyProtection="1">
      <alignment horizontal="left" vertical="center"/>
      <protection locked="0"/>
    </xf>
    <xf numFmtId="43" fontId="3" fillId="0" borderId="0" xfId="11" applyFont="1" applyFill="1" applyAlignment="1" applyProtection="1">
      <alignment horizontal="left" vertical="center"/>
      <protection locked="0"/>
    </xf>
    <xf numFmtId="0" fontId="3" fillId="0" borderId="0" xfId="11" applyNumberFormat="1" applyFill="1" applyAlignment="1" applyProtection="1">
      <alignment horizontal="left" vertical="center"/>
      <protection locked="0"/>
    </xf>
    <xf numFmtId="43" fontId="1" fillId="0" borderId="0" xfId="12" applyFont="1" applyFill="1" applyAlignment="1" applyProtection="1">
      <alignment horizontal="left" vertical="center"/>
      <protection locked="0"/>
    </xf>
    <xf numFmtId="43" fontId="3" fillId="0" borderId="0" xfId="12" applyFill="1" applyAlignment="1" applyProtection="1">
      <alignment horizontal="left" vertical="center"/>
      <protection locked="0"/>
    </xf>
    <xf numFmtId="1" fontId="3" fillId="4" borderId="0" xfId="14" applyNumberFormat="1" applyFont="1" applyFill="1" applyAlignment="1" applyProtection="1">
      <alignment horizontal="left" vertical="center"/>
      <protection locked="0"/>
    </xf>
    <xf numFmtId="1" fontId="3" fillId="4" borderId="0" xfId="26" applyNumberFormat="1" applyFont="1" applyFill="1" applyAlignment="1" applyProtection="1">
      <alignment horizontal="left" vertical="center"/>
      <protection locked="0"/>
    </xf>
    <xf numFmtId="1" fontId="3" fillId="4" borderId="0" xfId="15" applyNumberFormat="1" applyFont="1" applyFill="1" applyAlignment="1" applyProtection="1">
      <alignment horizontal="left" vertical="center"/>
      <protection locked="0"/>
    </xf>
    <xf numFmtId="43" fontId="3" fillId="4" borderId="0" xfId="11" applyFont="1" applyFill="1" applyAlignment="1" applyProtection="1">
      <alignment horizontal="left" vertical="center"/>
      <protection locked="0"/>
    </xf>
    <xf numFmtId="164" fontId="3" fillId="4" borderId="0" xfId="15" applyNumberFormat="1" applyFont="1" applyFill="1" applyAlignment="1" applyProtection="1">
      <alignment horizontal="left" vertical="center"/>
      <protection locked="0"/>
    </xf>
    <xf numFmtId="0" fontId="30" fillId="4" borderId="0" xfId="9" applyFont="1" applyFill="1" applyAlignment="1" applyProtection="1">
      <alignment horizontal="left" vertical="center"/>
      <protection locked="0"/>
    </xf>
    <xf numFmtId="0" fontId="31" fillId="4" borderId="0" xfId="10" applyNumberFormat="1" applyFont="1" applyFill="1" applyAlignment="1" applyProtection="1">
      <alignment horizontal="left" vertical="center"/>
      <protection locked="0"/>
    </xf>
    <xf numFmtId="43" fontId="3" fillId="0" borderId="0" xfId="27" applyFill="1" applyAlignment="1" applyProtection="1">
      <alignment horizontal="left" vertical="center"/>
      <protection locked="0"/>
    </xf>
    <xf numFmtId="43" fontId="3" fillId="0" borderId="0" xfId="13" applyFill="1" applyAlignment="1" applyProtection="1">
      <alignment horizontal="left" vertical="center"/>
      <protection locked="0"/>
    </xf>
    <xf numFmtId="43" fontId="3" fillId="0" borderId="0" xfId="14" applyFill="1" applyAlignment="1" applyProtection="1">
      <alignment horizontal="left" vertical="center"/>
      <protection locked="0"/>
    </xf>
    <xf numFmtId="43" fontId="3" fillId="0" borderId="0" xfId="26" applyFont="1" applyFill="1" applyAlignment="1" applyProtection="1">
      <alignment horizontal="left" vertical="center"/>
      <protection locked="0"/>
    </xf>
    <xf numFmtId="1" fontId="3" fillId="0" borderId="0" xfId="15" applyNumberFormat="1" applyFont="1" applyFill="1" applyAlignment="1" applyProtection="1">
      <alignment horizontal="left" vertical="center"/>
      <protection locked="0"/>
    </xf>
    <xf numFmtId="164" fontId="3" fillId="0" borderId="0" xfId="15" applyNumberFormat="1" applyFont="1" applyFill="1" applyAlignment="1" applyProtection="1">
      <alignment horizontal="left" vertical="center"/>
      <protection locked="0"/>
    </xf>
    <xf numFmtId="0" fontId="3" fillId="0" borderId="0" xfId="9" applyFill="1" applyAlignment="1" applyProtection="1">
      <alignment horizontal="left" vertical="center"/>
      <protection locked="0"/>
    </xf>
    <xf numFmtId="0" fontId="31" fillId="0" borderId="0" xfId="10" applyNumberFormat="1" applyFont="1" applyFill="1" applyBorder="1" applyAlignment="1" applyProtection="1">
      <alignment horizontal="left" vertical="center"/>
      <protection locked="0"/>
    </xf>
    <xf numFmtId="43" fontId="36" fillId="0" borderId="0" xfId="12" applyFont="1" applyFill="1" applyBorder="1" applyAlignment="1" applyProtection="1">
      <alignment vertical="center" wrapText="1"/>
      <protection locked="0"/>
    </xf>
    <xf numFmtId="0" fontId="14" fillId="0" borderId="28" xfId="11" applyNumberFormat="1" applyFont="1" applyFill="1" applyBorder="1" applyAlignment="1" applyProtection="1">
      <alignment horizontal="left" vertical="center" wrapText="1"/>
      <protection locked="0"/>
    </xf>
    <xf numFmtId="164" fontId="16" fillId="0" borderId="0" xfId="0" applyNumberFormat="1" applyFont="1" applyAlignment="1">
      <alignment horizontal="center" vertical="center"/>
    </xf>
    <xf numFmtId="0" fontId="6" fillId="0" borderId="0" xfId="8" applyFont="1" applyFill="1" applyAlignment="1" applyProtection="1">
      <alignment vertical="center" wrapText="1"/>
      <protection locked="0"/>
    </xf>
    <xf numFmtId="0" fontId="3" fillId="0" borderId="0" xfId="8" applyFill="1" applyAlignment="1">
      <alignment wrapText="1"/>
    </xf>
    <xf numFmtId="164" fontId="4" fillId="0" borderId="32" xfId="15" applyNumberFormat="1" applyFont="1" applyFill="1" applyBorder="1" applyAlignment="1" applyProtection="1">
      <alignment horizontal="center" wrapText="1"/>
      <protection locked="0"/>
    </xf>
    <xf numFmtId="43" fontId="4" fillId="0" borderId="7" xfId="14" applyFont="1" applyFill="1" applyBorder="1" applyAlignment="1" applyProtection="1">
      <alignment horizontal="center" wrapText="1"/>
      <protection locked="0"/>
    </xf>
    <xf numFmtId="43" fontId="4" fillId="0" borderId="7" xfId="13" applyFont="1" applyFill="1" applyBorder="1" applyAlignment="1" applyProtection="1">
      <alignment horizontal="center" wrapText="1"/>
      <protection locked="0"/>
    </xf>
    <xf numFmtId="43" fontId="4" fillId="0" borderId="7" xfId="12" applyFont="1" applyFill="1" applyBorder="1" applyAlignment="1" applyProtection="1">
      <alignment horizontal="center" wrapText="1"/>
      <protection locked="0"/>
    </xf>
    <xf numFmtId="43" fontId="17" fillId="2" borderId="36" xfId="11" applyFont="1" applyFill="1" applyBorder="1" applyAlignment="1" applyProtection="1">
      <alignment horizontal="left" wrapText="1"/>
      <protection locked="0"/>
    </xf>
    <xf numFmtId="0" fontId="12" fillId="0" borderId="2" xfId="0" applyFont="1" applyFill="1" applyBorder="1" applyAlignment="1" applyProtection="1">
      <alignment vertical="center"/>
      <protection locked="0"/>
    </xf>
    <xf numFmtId="164" fontId="22" fillId="4" borderId="1" xfId="41" applyNumberFormat="1" applyFont="1" applyFill="1" applyBorder="1" applyAlignment="1" applyProtection="1">
      <alignment vertical="center"/>
    </xf>
    <xf numFmtId="43" fontId="12" fillId="4" borderId="1" xfId="11" applyFont="1" applyFill="1" applyBorder="1" applyAlignment="1" applyProtection="1">
      <alignment vertical="center"/>
    </xf>
    <xf numFmtId="44" fontId="22" fillId="4" borderId="20" xfId="1" applyFont="1" applyFill="1" applyBorder="1" applyAlignment="1" applyProtection="1">
      <alignment vertical="center"/>
    </xf>
  </cellXfs>
  <cellStyles count="42">
    <cellStyle name="Comma" xfId="41" builtinId="3"/>
    <cellStyle name="Comma 10" xfId="27"/>
    <cellStyle name="Comma 13" xfId="12"/>
    <cellStyle name="Comma 3" xfId="15"/>
    <cellStyle name="Comma 6" xfId="26"/>
    <cellStyle name="Comma 7" xfId="14"/>
    <cellStyle name="Comma 8" xfId="13"/>
    <cellStyle name="Comma_Cost ATTs 2 and 5_Fort Irwin RCNLD 07_30_02" xfId="11"/>
    <cellStyle name="Currency" xfId="1" builtinId="4"/>
    <cellStyle name="Currency 11" xfId="20"/>
    <cellStyle name="Currency 12" xfId="21"/>
    <cellStyle name="Currency 13" xfId="16"/>
    <cellStyle name="Currency 3" xfId="23"/>
    <cellStyle name="Currency 7" xfId="18"/>
    <cellStyle name="Currency 8" xfId="17"/>
    <cellStyle name="Grey" xfId="28"/>
    <cellStyle name="Header1" xfId="29"/>
    <cellStyle name="Header2" xfId="30"/>
    <cellStyle name="Input [yellow]" xfId="31"/>
    <cellStyle name="Millares [0]_laroux" xfId="32"/>
    <cellStyle name="Millares_laroux" xfId="33"/>
    <cellStyle name="Moneda [0]_laroux" xfId="34"/>
    <cellStyle name="Moneda_laroux" xfId="35"/>
    <cellStyle name="Normal" xfId="0" builtinId="0"/>
    <cellStyle name="Normal - Style1" xfId="36"/>
    <cellStyle name="Normal 13" xfId="6"/>
    <cellStyle name="Normal 14" xfId="5"/>
    <cellStyle name="Normal 15" xfId="4"/>
    <cellStyle name="Normal 2" xfId="10"/>
    <cellStyle name="Normal 20" xfId="3"/>
    <cellStyle name="Normal 21" xfId="2"/>
    <cellStyle name="Normal 3" xfId="9"/>
    <cellStyle name="Normal 7" xfId="8"/>
    <cellStyle name="Normal 8" xfId="7"/>
    <cellStyle name="Œ…‹æØ‚è [0.00]_PRODUCT DETAIL Q1" xfId="37"/>
    <cellStyle name="Œ…‹æØ‚è_PRODUCT DETAIL Q1" xfId="38"/>
    <cellStyle name="Percent [2]" xfId="39"/>
    <cellStyle name="Percent 10" xfId="24"/>
    <cellStyle name="Percent 13" xfId="19"/>
    <cellStyle name="Percent 7" xfId="22"/>
    <cellStyle name="Percent 8" xfId="25"/>
    <cellStyle name="producto" xfId="4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511"/>
  <sheetViews>
    <sheetView tabSelected="1" view="pageBreakPreview" zoomScale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Z207" sqref="Z207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8.28515625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195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44" t="s">
        <v>189</v>
      </c>
      <c r="D3" s="344"/>
      <c r="E3" s="315" t="s">
        <v>188</v>
      </c>
      <c r="F3" s="314" t="s">
        <v>187</v>
      </c>
      <c r="G3" s="345" t="s">
        <v>186</v>
      </c>
      <c r="H3" s="345"/>
      <c r="I3" s="345"/>
      <c r="J3" s="345"/>
      <c r="K3" s="345"/>
      <c r="L3" s="346" t="s">
        <v>185</v>
      </c>
      <c r="M3" s="346"/>
      <c r="N3" s="346"/>
      <c r="O3" s="346"/>
      <c r="P3" s="346"/>
      <c r="Q3" s="313" t="s">
        <v>184</v>
      </c>
      <c r="R3" s="347" t="s">
        <v>183</v>
      </c>
      <c r="S3" s="347"/>
      <c r="T3" s="347"/>
      <c r="U3" s="347"/>
      <c r="V3" s="347" t="s">
        <v>182</v>
      </c>
      <c r="W3" s="347"/>
      <c r="X3" s="347"/>
      <c r="Y3" s="34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1.25">
      <c r="A4" s="340" t="s">
        <v>196</v>
      </c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/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200</v>
      </c>
      <c r="D7" s="207" t="s">
        <v>3</v>
      </c>
      <c r="E7" s="230">
        <v>50</v>
      </c>
      <c r="F7" s="259">
        <f>E7*C7</f>
        <v>10000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500</v>
      </c>
      <c r="M7" s="171">
        <f>(F7+L7)*H7</f>
        <v>210</v>
      </c>
      <c r="N7" s="171">
        <f>(F7+L7+M7)*I7</f>
        <v>535.5</v>
      </c>
      <c r="O7" s="171">
        <f>(F7+L7+M7+N7)*J7</f>
        <v>1371.951</v>
      </c>
      <c r="P7" s="171">
        <f>(F7+L7+M7+N7+O7)*K7</f>
        <v>1261.7451000000001</v>
      </c>
      <c r="Q7" s="170">
        <f>F7+SUM(L7:P7)</f>
        <v>13879.196100000001</v>
      </c>
      <c r="R7" s="185"/>
      <c r="S7" s="185"/>
      <c r="T7" s="185">
        <v>0.05</v>
      </c>
      <c r="U7" s="184">
        <v>0.1</v>
      </c>
      <c r="V7" s="167">
        <f>Q7*R7</f>
        <v>0</v>
      </c>
      <c r="W7" s="167">
        <f>Q7*S7</f>
        <v>0</v>
      </c>
      <c r="X7" s="167">
        <f>Q7*T7</f>
        <v>693.95980500000007</v>
      </c>
      <c r="Y7" s="167">
        <f>U7*(V7+W7)</f>
        <v>0</v>
      </c>
      <c r="Z7" s="183">
        <f>Q7+SUM(V7:Y7)</f>
        <v>14573.155905000001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200</v>
      </c>
      <c r="D8" s="207" t="s">
        <v>3</v>
      </c>
      <c r="E8" s="230">
        <v>25</v>
      </c>
      <c r="F8" s="259">
        <f>E8*C8</f>
        <v>5000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250</v>
      </c>
      <c r="M8" s="171">
        <f>(F8+L8)*H8</f>
        <v>105</v>
      </c>
      <c r="N8" s="171">
        <f>(F8+L8+M8)*I8</f>
        <v>267.75</v>
      </c>
      <c r="O8" s="171">
        <f>(F8+L8+M8+N8)*J8</f>
        <v>685.97550000000001</v>
      </c>
      <c r="P8" s="171">
        <f>(F8+L8+M8+N8+O8)*K8</f>
        <v>630.87255000000005</v>
      </c>
      <c r="Q8" s="170">
        <f>F8+SUM(L8:P8)</f>
        <v>6939.5980500000005</v>
      </c>
      <c r="R8" s="185"/>
      <c r="S8" s="185"/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346.97990250000004</v>
      </c>
      <c r="Y8" s="167">
        <f>U8*(V8+W8)</f>
        <v>0</v>
      </c>
      <c r="Z8" s="183">
        <f>Q8+SUM(V8:Y8)</f>
        <v>7286.5779525000007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200</v>
      </c>
      <c r="D9" s="207" t="s">
        <v>3</v>
      </c>
      <c r="E9" s="230">
        <v>75</v>
      </c>
      <c r="F9" s="259">
        <f>E9*C9</f>
        <v>15000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750</v>
      </c>
      <c r="M9" s="171">
        <f>(F9+L9)*H9</f>
        <v>315</v>
      </c>
      <c r="N9" s="171">
        <f>(F9+L9+M9)*I9</f>
        <v>803.25</v>
      </c>
      <c r="O9" s="171">
        <f>(F9+L9+M9+N9)*J9</f>
        <v>2057.9265</v>
      </c>
      <c r="P9" s="171">
        <f>(F9+L9+M9+N9+O9)*K9</f>
        <v>1892.6176500000001</v>
      </c>
      <c r="Q9" s="170">
        <f>F9+SUM(L9:P9)</f>
        <v>20818.794150000002</v>
      </c>
      <c r="R9" s="185"/>
      <c r="S9" s="185"/>
      <c r="T9" s="185">
        <v>0.05</v>
      </c>
      <c r="U9" s="184">
        <v>0.1</v>
      </c>
      <c r="V9" s="167">
        <f>Q9*R9</f>
        <v>0</v>
      </c>
      <c r="W9" s="167">
        <f>Q9*S9</f>
        <v>0</v>
      </c>
      <c r="X9" s="167">
        <f>Q9*T9</f>
        <v>1040.9397075000002</v>
      </c>
      <c r="Y9" s="167">
        <f>U9*(V9+W9)</f>
        <v>0</v>
      </c>
      <c r="Z9" s="183">
        <f>Q9+SUM(V9:Y9)</f>
        <v>21859.733857500003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/>
      <c r="S11" s="185"/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/>
      <c r="S12" s="185"/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/>
      <c r="S15" s="185"/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/>
      <c r="S16" s="185"/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/>
      <c r="S17" s="185"/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400</v>
      </c>
      <c r="D18" s="207" t="s">
        <v>3</v>
      </c>
      <c r="E18" s="249">
        <v>233</v>
      </c>
      <c r="F18" s="174">
        <f t="shared" si="0"/>
        <v>93200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4660</v>
      </c>
      <c r="M18" s="171">
        <f t="shared" si="2"/>
        <v>1957.2</v>
      </c>
      <c r="N18" s="171">
        <f t="shared" si="3"/>
        <v>4990.8600000000006</v>
      </c>
      <c r="O18" s="171">
        <f t="shared" si="4"/>
        <v>12786.58332</v>
      </c>
      <c r="P18" s="171">
        <f t="shared" si="5"/>
        <v>11759.464332000001</v>
      </c>
      <c r="Q18" s="170">
        <f t="shared" si="6"/>
        <v>129354.10765200001</v>
      </c>
      <c r="R18" s="185"/>
      <c r="S18" s="185"/>
      <c r="T18" s="185">
        <v>0.05</v>
      </c>
      <c r="U18" s="184">
        <v>0.1</v>
      </c>
      <c r="V18" s="167">
        <f t="shared" si="7"/>
        <v>0</v>
      </c>
      <c r="W18" s="167">
        <f t="shared" si="8"/>
        <v>0</v>
      </c>
      <c r="X18" s="167">
        <f t="shared" si="9"/>
        <v>6467.705382600001</v>
      </c>
      <c r="Y18" s="167">
        <f t="shared" si="10"/>
        <v>0</v>
      </c>
      <c r="Z18" s="183">
        <f t="shared" si="11"/>
        <v>135821.8130346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/>
      <c r="S19" s="185"/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/>
      <c r="S20" s="185"/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/>
      <c r="S21" s="185"/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/>
      <c r="S22" s="185"/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/>
      <c r="S23" s="185"/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/>
      <c r="S24" s="185"/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/>
      <c r="S25" s="185"/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/>
      <c r="S26" s="185"/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/>
      <c r="S27" s="185"/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/>
      <c r="S28" s="185"/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/>
      <c r="S31" s="185"/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/>
      <c r="S32" s="185"/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/>
      <c r="S33" s="185"/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400</v>
      </c>
      <c r="D34" s="207" t="s">
        <v>3</v>
      </c>
      <c r="E34" s="230">
        <v>205</v>
      </c>
      <c r="F34" s="174">
        <f t="shared" si="12"/>
        <v>82000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4100</v>
      </c>
      <c r="M34" s="171">
        <f t="shared" si="14"/>
        <v>1722</v>
      </c>
      <c r="N34" s="171">
        <f t="shared" si="15"/>
        <v>4391.1000000000004</v>
      </c>
      <c r="O34" s="171">
        <f t="shared" si="16"/>
        <v>11249.9982</v>
      </c>
      <c r="P34" s="171">
        <f t="shared" si="17"/>
        <v>10346.309820000002</v>
      </c>
      <c r="Q34" s="170">
        <f t="shared" si="18"/>
        <v>113809.40802</v>
      </c>
      <c r="R34" s="185"/>
      <c r="S34" s="185"/>
      <c r="T34" s="185">
        <v>0.05</v>
      </c>
      <c r="U34" s="184">
        <v>0.1</v>
      </c>
      <c r="V34" s="167">
        <f t="shared" si="19"/>
        <v>0</v>
      </c>
      <c r="W34" s="167">
        <f t="shared" si="20"/>
        <v>0</v>
      </c>
      <c r="X34" s="167">
        <f t="shared" si="21"/>
        <v>5690.4704010000005</v>
      </c>
      <c r="Y34" s="167">
        <f t="shared" si="22"/>
        <v>0</v>
      </c>
      <c r="Z34" s="183">
        <f t="shared" si="23"/>
        <v>119499.878421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/>
      <c r="S35" s="185"/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/>
      <c r="S36" s="185"/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/>
      <c r="S37" s="185"/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/>
      <c r="S38" s="185"/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/>
      <c r="S39" s="185"/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/>
      <c r="S40" s="185"/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/>
      <c r="S41" s="185"/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108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/>
      <c r="S44" s="185"/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400</v>
      </c>
      <c r="D45" s="207" t="s">
        <v>3</v>
      </c>
      <c r="E45" s="230">
        <v>63</v>
      </c>
      <c r="F45" s="174">
        <f>E45*C45</f>
        <v>25200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1260</v>
      </c>
      <c r="M45" s="171">
        <f>(F45+L45)*H45</f>
        <v>529.20000000000005</v>
      </c>
      <c r="N45" s="171">
        <f>(F45+L45+M45)*I45</f>
        <v>1349.46</v>
      </c>
      <c r="O45" s="171">
        <f>(F45+L45+M45+N45)*J45</f>
        <v>3457.3165199999999</v>
      </c>
      <c r="P45" s="171">
        <f>(F45+L45+M45+N45+O45)*K45</f>
        <v>3179.5976520000004</v>
      </c>
      <c r="Q45" s="170">
        <f>F45+SUM(L45:P45)</f>
        <v>34975.574172000001</v>
      </c>
      <c r="R45" s="185"/>
      <c r="S45" s="185"/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1748.7787086000001</v>
      </c>
      <c r="Y45" s="167">
        <f>U45*(V45+W45)</f>
        <v>0</v>
      </c>
      <c r="Z45" s="183">
        <f>Q45+SUM(V45:Y45)</f>
        <v>36724.352880600003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/>
      <c r="S46" s="185"/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/>
      <c r="S47" s="185"/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/>
      <c r="S49" s="185"/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/>
      <c r="S50" s="185"/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250</v>
      </c>
      <c r="D51" s="207" t="s">
        <v>3</v>
      </c>
      <c r="E51" s="230">
        <v>254</v>
      </c>
      <c r="F51" s="174">
        <f t="shared" si="24"/>
        <v>63500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3175</v>
      </c>
      <c r="M51" s="171">
        <f t="shared" si="26"/>
        <v>1333.5</v>
      </c>
      <c r="N51" s="171">
        <f t="shared" si="27"/>
        <v>3400.4250000000002</v>
      </c>
      <c r="O51" s="171">
        <f t="shared" si="28"/>
        <v>8711.8888499999994</v>
      </c>
      <c r="P51" s="171">
        <f t="shared" si="29"/>
        <v>8012.0813850000013</v>
      </c>
      <c r="Q51" s="170">
        <f t="shared" si="30"/>
        <v>88132.895235000004</v>
      </c>
      <c r="R51" s="185"/>
      <c r="S51" s="185"/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4406.6447617500007</v>
      </c>
      <c r="Y51" s="167">
        <f t="shared" si="34"/>
        <v>0</v>
      </c>
      <c r="Z51" s="183">
        <f t="shared" si="35"/>
        <v>92539.539996749998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/>
      <c r="S52" s="185"/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/>
      <c r="S53" s="185"/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/>
      <c r="S54" s="185"/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/>
      <c r="S55" s="185"/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/>
      <c r="S56" s="185"/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/>
      <c r="S57" s="185"/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/>
      <c r="S61" s="185"/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/>
      <c r="S62" s="185"/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/>
      <c r="S63" s="185"/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0</v>
      </c>
      <c r="D64" s="207" t="s">
        <v>3</v>
      </c>
      <c r="E64" s="230">
        <v>254</v>
      </c>
      <c r="F64" s="174">
        <f t="shared" si="36"/>
        <v>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0</v>
      </c>
      <c r="M64" s="171">
        <f t="shared" si="38"/>
        <v>0</v>
      </c>
      <c r="N64" s="171">
        <f t="shared" si="39"/>
        <v>0</v>
      </c>
      <c r="O64" s="171">
        <f t="shared" si="40"/>
        <v>0</v>
      </c>
      <c r="P64" s="171">
        <f t="shared" si="41"/>
        <v>0</v>
      </c>
      <c r="Q64" s="170">
        <f t="shared" si="42"/>
        <v>0</v>
      </c>
      <c r="R64" s="185"/>
      <c r="S64" s="185"/>
      <c r="T64" s="185">
        <v>0.05</v>
      </c>
      <c r="U64" s="184">
        <v>0.1</v>
      </c>
      <c r="V64" s="167">
        <f t="shared" si="43"/>
        <v>0</v>
      </c>
      <c r="W64" s="167">
        <f t="shared" si="44"/>
        <v>0</v>
      </c>
      <c r="X64" s="167">
        <f t="shared" si="45"/>
        <v>0</v>
      </c>
      <c r="Y64" s="167">
        <f t="shared" si="46"/>
        <v>0</v>
      </c>
      <c r="Z64" s="183">
        <f t="shared" si="47"/>
        <v>0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/>
      <c r="S65" s="185"/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/>
      <c r="S66" s="185"/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/>
      <c r="S67" s="185"/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/>
      <c r="S68" s="185"/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/>
      <c r="S69" s="185"/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/>
      <c r="S70" s="185"/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/>
      <c r="S71" s="185"/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/>
      <c r="S73" s="185"/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/>
      <c r="S74" s="185"/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/>
      <c r="S75" s="185"/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/>
      <c r="S76" s="185"/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/>
      <c r="S77" s="185"/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/>
      <c r="S78" s="185"/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/>
      <c r="S79" s="185"/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/>
      <c r="S80" s="185"/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/>
      <c r="S81" s="185"/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/>
      <c r="S82" s="185"/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150</v>
      </c>
      <c r="D84" s="207" t="s">
        <v>3</v>
      </c>
      <c r="E84" s="230">
        <v>125</v>
      </c>
      <c r="F84" s="174">
        <f t="shared" ref="F84:F89" si="60">E84*C84</f>
        <v>18750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937.5</v>
      </c>
      <c r="M84" s="171">
        <f t="shared" ref="M84:M89" si="62">(F84+L84)*H84</f>
        <v>393.75</v>
      </c>
      <c r="N84" s="171">
        <f t="shared" ref="N84:N89" si="63">(F84+L84+M84)*I84</f>
        <v>1004.0625</v>
      </c>
      <c r="O84" s="171">
        <f t="shared" ref="O84:O89" si="64">(F84+L84+M84+N84)*J84</f>
        <v>2572.4081249999999</v>
      </c>
      <c r="P84" s="171">
        <f t="shared" ref="P84:P89" si="65">(F84+L84+M84+N84+O84)*K84</f>
        <v>2365.7720625000002</v>
      </c>
      <c r="Q84" s="170">
        <f t="shared" ref="Q84:Q89" si="66">F84+SUM(L84:P84)</f>
        <v>26023.492687500002</v>
      </c>
      <c r="R84" s="185"/>
      <c r="S84" s="185"/>
      <c r="T84" s="185">
        <v>0.05</v>
      </c>
      <c r="U84" s="184">
        <v>0.1</v>
      </c>
      <c r="V84" s="167">
        <f t="shared" ref="V84:V89" si="67">Q84*R84</f>
        <v>0</v>
      </c>
      <c r="W84" s="167">
        <f t="shared" ref="W84:W89" si="68">Q84*S84</f>
        <v>0</v>
      </c>
      <c r="X84" s="167">
        <f t="shared" ref="X84:X89" si="69">Q84*T84</f>
        <v>1301.1746343750001</v>
      </c>
      <c r="Y84" s="167">
        <f t="shared" ref="Y84:Y89" si="70">U84*(V84+W84)</f>
        <v>0</v>
      </c>
      <c r="Z84" s="183">
        <f t="shared" ref="Z84:Z89" si="71">Q84+SUM(V84:Y84)</f>
        <v>27324.667321875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4</v>
      </c>
      <c r="D85" s="207" t="s">
        <v>5</v>
      </c>
      <c r="E85" s="188">
        <v>1750</v>
      </c>
      <c r="F85" s="174">
        <f t="shared" si="60"/>
        <v>7000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350</v>
      </c>
      <c r="M85" s="171">
        <f t="shared" si="62"/>
        <v>147</v>
      </c>
      <c r="N85" s="171">
        <f t="shared" si="63"/>
        <v>374.85</v>
      </c>
      <c r="O85" s="171">
        <f t="shared" si="64"/>
        <v>960.36570000000006</v>
      </c>
      <c r="P85" s="171">
        <f t="shared" si="65"/>
        <v>883.22157000000016</v>
      </c>
      <c r="Q85" s="170">
        <f t="shared" si="66"/>
        <v>9715.4372700000004</v>
      </c>
      <c r="R85" s="185"/>
      <c r="S85" s="185"/>
      <c r="T85" s="185">
        <v>0.05</v>
      </c>
      <c r="U85" s="184">
        <v>0.1</v>
      </c>
      <c r="V85" s="167">
        <f t="shared" si="67"/>
        <v>0</v>
      </c>
      <c r="W85" s="167">
        <f t="shared" si="68"/>
        <v>0</v>
      </c>
      <c r="X85" s="167">
        <f t="shared" si="69"/>
        <v>485.77186350000005</v>
      </c>
      <c r="Y85" s="167">
        <f t="shared" si="70"/>
        <v>0</v>
      </c>
      <c r="Z85" s="183">
        <f t="shared" si="71"/>
        <v>10201.2091335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6</v>
      </c>
      <c r="D86" s="207" t="s">
        <v>5</v>
      </c>
      <c r="E86" s="188">
        <v>2200</v>
      </c>
      <c r="F86" s="174">
        <f t="shared" si="60"/>
        <v>13200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660</v>
      </c>
      <c r="M86" s="171">
        <f t="shared" si="62"/>
        <v>277.2</v>
      </c>
      <c r="N86" s="171">
        <f t="shared" si="63"/>
        <v>706.86000000000013</v>
      </c>
      <c r="O86" s="171">
        <f t="shared" si="64"/>
        <v>1810.97532</v>
      </c>
      <c r="P86" s="171">
        <f t="shared" si="65"/>
        <v>1665.5035320000004</v>
      </c>
      <c r="Q86" s="170">
        <f t="shared" si="66"/>
        <v>18320.538852000001</v>
      </c>
      <c r="R86" s="185"/>
      <c r="S86" s="185"/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916.0269426000001</v>
      </c>
      <c r="Y86" s="167">
        <f t="shared" si="70"/>
        <v>0</v>
      </c>
      <c r="Z86" s="183">
        <f t="shared" si="71"/>
        <v>19236.565794600003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6</v>
      </c>
      <c r="D87" s="207" t="s">
        <v>5</v>
      </c>
      <c r="E87" s="188">
        <v>1800</v>
      </c>
      <c r="F87" s="174">
        <f t="shared" si="60"/>
        <v>10800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540</v>
      </c>
      <c r="M87" s="171">
        <f t="shared" si="62"/>
        <v>226.8</v>
      </c>
      <c r="N87" s="171">
        <f t="shared" si="63"/>
        <v>578.34</v>
      </c>
      <c r="O87" s="171">
        <f t="shared" si="64"/>
        <v>1481.7070799999999</v>
      </c>
      <c r="P87" s="171">
        <f t="shared" si="65"/>
        <v>1362.684708</v>
      </c>
      <c r="Q87" s="170">
        <f t="shared" si="66"/>
        <v>14989.531788</v>
      </c>
      <c r="R87" s="185"/>
      <c r="S87" s="185"/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749.47658940000008</v>
      </c>
      <c r="Y87" s="167">
        <f t="shared" si="70"/>
        <v>0</v>
      </c>
      <c r="Z87" s="183">
        <f t="shared" si="71"/>
        <v>15739.0083774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/>
      <c r="S88" s="185"/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6</v>
      </c>
      <c r="D89" s="207" t="s">
        <v>5</v>
      </c>
      <c r="E89" s="188">
        <v>3065</v>
      </c>
      <c r="F89" s="174">
        <f t="shared" si="60"/>
        <v>18390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919.5</v>
      </c>
      <c r="M89" s="171">
        <f t="shared" si="62"/>
        <v>386.19</v>
      </c>
      <c r="N89" s="171">
        <f t="shared" si="63"/>
        <v>984.78449999999998</v>
      </c>
      <c r="O89" s="171">
        <f t="shared" si="64"/>
        <v>2523.0178890000002</v>
      </c>
      <c r="P89" s="171">
        <f t="shared" si="65"/>
        <v>2320.3492388999998</v>
      </c>
      <c r="Q89" s="170">
        <f t="shared" si="66"/>
        <v>25523.841627900001</v>
      </c>
      <c r="R89" s="185"/>
      <c r="S89" s="185"/>
      <c r="T89" s="185">
        <v>0.05</v>
      </c>
      <c r="U89" s="184">
        <v>0.1</v>
      </c>
      <c r="V89" s="167">
        <f t="shared" si="67"/>
        <v>0</v>
      </c>
      <c r="W89" s="167">
        <f t="shared" si="68"/>
        <v>0</v>
      </c>
      <c r="X89" s="167">
        <f t="shared" si="69"/>
        <v>1276.1920813950001</v>
      </c>
      <c r="Y89" s="167">
        <f t="shared" si="70"/>
        <v>0</v>
      </c>
      <c r="Z89" s="183">
        <f t="shared" si="71"/>
        <v>26800.033709294999</v>
      </c>
      <c r="AA89" s="182">
        <v>75</v>
      </c>
      <c r="AB89" s="181"/>
      <c r="AC89" s="180">
        <v>75</v>
      </c>
      <c r="AD89" s="193"/>
    </row>
    <row r="90" spans="1:30" ht="108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/>
      <c r="S92" s="185"/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/>
      <c r="S93" s="185"/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/>
      <c r="S94" s="185"/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/>
      <c r="S95" s="185"/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/>
      <c r="S96" s="185"/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/>
      <c r="S97" s="185"/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/>
      <c r="S98" s="185"/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/>
      <c r="S99" s="185"/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/>
      <c r="S100" s="185"/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/>
      <c r="S102" s="185"/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/>
      <c r="S103" s="185"/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/>
      <c r="S104" s="185"/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/>
      <c r="S105" s="185"/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225</v>
      </c>
      <c r="D106" s="207" t="s">
        <v>3</v>
      </c>
      <c r="E106" s="188">
        <v>630</v>
      </c>
      <c r="F106" s="174">
        <f t="shared" si="72"/>
        <v>141750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7087.5</v>
      </c>
      <c r="M106" s="171">
        <f t="shared" si="74"/>
        <v>2976.75</v>
      </c>
      <c r="N106" s="171">
        <f t="shared" si="75"/>
        <v>7590.7125000000005</v>
      </c>
      <c r="O106" s="171">
        <f t="shared" si="76"/>
        <v>19447.405424999997</v>
      </c>
      <c r="P106" s="171">
        <f t="shared" si="77"/>
        <v>17885.2367925</v>
      </c>
      <c r="Q106" s="170">
        <f t="shared" si="78"/>
        <v>196737.60471749998</v>
      </c>
      <c r="R106" s="185"/>
      <c r="S106" s="185"/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9836.8802358749999</v>
      </c>
      <c r="Y106" s="167">
        <f t="shared" si="82"/>
        <v>0</v>
      </c>
      <c r="Z106" s="183">
        <f t="shared" si="83"/>
        <v>206574.48495337498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/>
      <c r="S107" s="185"/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/>
      <c r="S108" s="185"/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/>
      <c r="S109" s="185"/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/>
      <c r="S110" s="185"/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/>
      <c r="S111" s="185"/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/>
      <c r="S112" s="185"/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>
        <v>410</v>
      </c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/>
      <c r="S113" s="185"/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/>
      <c r="S114" s="185"/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/>
      <c r="S115" s="185"/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/>
      <c r="S116" s="185"/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/>
      <c r="S117" s="185"/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0</v>
      </c>
      <c r="D118" s="207" t="s">
        <v>3</v>
      </c>
      <c r="E118" s="188">
        <v>265</v>
      </c>
      <c r="F118" s="174">
        <f t="shared" si="72"/>
        <v>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0</v>
      </c>
      <c r="M118" s="171">
        <f t="shared" si="74"/>
        <v>0</v>
      </c>
      <c r="N118" s="171">
        <f t="shared" si="75"/>
        <v>0</v>
      </c>
      <c r="O118" s="171">
        <f t="shared" si="76"/>
        <v>0</v>
      </c>
      <c r="P118" s="171">
        <f t="shared" si="77"/>
        <v>0</v>
      </c>
      <c r="Q118" s="170">
        <f t="shared" si="78"/>
        <v>0</v>
      </c>
      <c r="R118" s="185"/>
      <c r="S118" s="185"/>
      <c r="T118" s="185">
        <v>0.05</v>
      </c>
      <c r="U118" s="184">
        <v>0.1</v>
      </c>
      <c r="V118" s="167">
        <f t="shared" si="79"/>
        <v>0</v>
      </c>
      <c r="W118" s="167">
        <f t="shared" si="80"/>
        <v>0</v>
      </c>
      <c r="X118" s="167">
        <f t="shared" si="81"/>
        <v>0</v>
      </c>
      <c r="Y118" s="167">
        <f t="shared" si="82"/>
        <v>0</v>
      </c>
      <c r="Z118" s="183">
        <f t="shared" si="83"/>
        <v>0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/>
      <c r="S119" s="185"/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/>
      <c r="S120" s="185"/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/>
      <c r="S123" s="185"/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/>
      <c r="S124" s="185"/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/>
      <c r="S125" s="185"/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/>
      <c r="S126" s="185"/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/>
      <c r="S127" s="185"/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/>
      <c r="S130" s="185"/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100</v>
      </c>
      <c r="D131" s="207" t="s">
        <v>3</v>
      </c>
      <c r="E131" s="188">
        <v>110</v>
      </c>
      <c r="F131" s="174">
        <f t="shared" si="84"/>
        <v>11000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550</v>
      </c>
      <c r="M131" s="171">
        <f t="shared" si="86"/>
        <v>231</v>
      </c>
      <c r="N131" s="171">
        <f t="shared" si="87"/>
        <v>589.05000000000007</v>
      </c>
      <c r="O131" s="171">
        <f t="shared" si="88"/>
        <v>1509.1460999999999</v>
      </c>
      <c r="P131" s="171">
        <f t="shared" si="89"/>
        <v>1387.9196099999999</v>
      </c>
      <c r="Q131" s="170">
        <f t="shared" si="90"/>
        <v>15267.11571</v>
      </c>
      <c r="R131" s="185"/>
      <c r="S131" s="185"/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763.35578550000002</v>
      </c>
      <c r="Y131" s="167">
        <f t="shared" si="94"/>
        <v>0</v>
      </c>
      <c r="Z131" s="183">
        <f t="shared" si="95"/>
        <v>16030.4714955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/>
      <c r="S132" s="185"/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/>
      <c r="S133" s="185"/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/>
      <c r="S134" s="185"/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/>
      <c r="S135" s="185"/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/>
      <c r="S136" s="185"/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/>
      <c r="S137" s="185"/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/>
      <c r="S138" s="185"/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/>
      <c r="S142" s="185"/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/>
      <c r="S143" s="185"/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/>
      <c r="S144" s="185"/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400</v>
      </c>
      <c r="D145" s="207" t="s">
        <v>3</v>
      </c>
      <c r="E145" s="188">
        <v>254</v>
      </c>
      <c r="F145" s="174">
        <f t="shared" si="96"/>
        <v>101600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5080</v>
      </c>
      <c r="M145" s="171">
        <f t="shared" si="98"/>
        <v>2133.6</v>
      </c>
      <c r="N145" s="171">
        <f t="shared" si="99"/>
        <v>5440.68</v>
      </c>
      <c r="O145" s="171">
        <f t="shared" si="100"/>
        <v>13939.02216</v>
      </c>
      <c r="P145" s="171">
        <f t="shared" si="101"/>
        <v>12819.330216</v>
      </c>
      <c r="Q145" s="170">
        <f t="shared" si="102"/>
        <v>141012.63237599999</v>
      </c>
      <c r="R145" s="185"/>
      <c r="S145" s="185"/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7050.6316188000001</v>
      </c>
      <c r="Y145" s="167">
        <f t="shared" si="106"/>
        <v>0</v>
      </c>
      <c r="Z145" s="183">
        <f t="shared" si="107"/>
        <v>148063.26399479999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/>
      <c r="S146" s="185"/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/>
      <c r="S147" s="185"/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/>
      <c r="S148" s="185"/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/>
      <c r="S149" s="185"/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/>
      <c r="S150" s="185"/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/>
      <c r="S151" s="185"/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/>
      <c r="S152" s="185"/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96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96" si="109">F154*G154</f>
        <v>0</v>
      </c>
      <c r="M154" s="171">
        <f t="shared" ref="M154:M196" si="110">(F154+L154)*H154</f>
        <v>0</v>
      </c>
      <c r="N154" s="171">
        <f t="shared" ref="N154:N196" si="111">(F154+L154+M154)*I154</f>
        <v>0</v>
      </c>
      <c r="O154" s="171">
        <f t="shared" ref="O154:O196" si="112">(F154+L154+M154+N154)*J154</f>
        <v>0</v>
      </c>
      <c r="P154" s="171">
        <f t="shared" ref="P154:P196" si="113">(F154+L154+M154+N154+O154)*K154</f>
        <v>0</v>
      </c>
      <c r="Q154" s="170">
        <f t="shared" ref="Q154:Q196" si="114">F154+SUM(L154:P154)</f>
        <v>0</v>
      </c>
      <c r="R154" s="185"/>
      <c r="S154" s="185"/>
      <c r="T154" s="185">
        <v>0.05</v>
      </c>
      <c r="U154" s="184">
        <v>0.1</v>
      </c>
      <c r="V154" s="167">
        <f t="shared" ref="V154:V196" si="115">Q154*R154</f>
        <v>0</v>
      </c>
      <c r="W154" s="167">
        <f t="shared" ref="W154:W196" si="116">Q154*S154</f>
        <v>0</v>
      </c>
      <c r="X154" s="167">
        <f t="shared" ref="X154:X196" si="117">Q154*T154</f>
        <v>0</v>
      </c>
      <c r="Y154" s="167">
        <f t="shared" ref="Y154:Y196" si="118">U154*(V154+W154)</f>
        <v>0</v>
      </c>
      <c r="Z154" s="183">
        <f t="shared" ref="Z154:Z196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341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/>
      <c r="S155" s="185"/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341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/>
      <c r="S156" s="185"/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341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/>
      <c r="S157" s="185"/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341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/>
      <c r="S158" s="185"/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341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/>
      <c r="S159" s="185"/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341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/>
      <c r="S160" s="185"/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341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/>
      <c r="S161" s="185"/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/>
      <c r="B162" s="191"/>
      <c r="C162" s="190">
        <v>0</v>
      </c>
      <c r="D162" s="207" t="s">
        <v>3</v>
      </c>
      <c r="E162" s="188"/>
      <c r="F162" s="341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/>
      <c r="S162" s="185"/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8">
      <c r="A163" s="348" t="s">
        <v>200</v>
      </c>
      <c r="B163" s="191"/>
      <c r="C163" s="190">
        <v>0</v>
      </c>
      <c r="D163" s="207" t="s">
        <v>3</v>
      </c>
      <c r="E163" s="188"/>
      <c r="F163" s="341">
        <f t="shared" ref="F163:F173" si="120">E163*C163</f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ref="L163:L173" si="121">F163*G163</f>
        <v>0</v>
      </c>
      <c r="M163" s="171">
        <f t="shared" ref="M163:M173" si="122">(F163+L163)*H163</f>
        <v>0</v>
      </c>
      <c r="N163" s="171">
        <f t="shared" ref="N163:N173" si="123">(F163+L163+M163)*I163</f>
        <v>0</v>
      </c>
      <c r="O163" s="171">
        <f t="shared" ref="O163:O173" si="124">(F163+L163+M163+N163)*J163</f>
        <v>0</v>
      </c>
      <c r="P163" s="171">
        <f t="shared" ref="P163:P173" si="125">(F163+L163+M163+N163+O163)*K163</f>
        <v>0</v>
      </c>
      <c r="Q163" s="170">
        <f t="shared" ref="Q163:Q173" si="126">F163+SUM(L163:P163)</f>
        <v>0</v>
      </c>
      <c r="R163" s="185"/>
      <c r="S163" s="185"/>
      <c r="T163" s="185">
        <v>0.05</v>
      </c>
      <c r="U163" s="184">
        <v>0.1</v>
      </c>
      <c r="V163" s="167">
        <f t="shared" ref="V163:V173" si="127">Q163*R163</f>
        <v>0</v>
      </c>
      <c r="W163" s="167">
        <f t="shared" ref="W163:W173" si="128">Q163*S163</f>
        <v>0</v>
      </c>
      <c r="X163" s="167">
        <f t="shared" ref="X163:X173" si="129">Q163*T163</f>
        <v>0</v>
      </c>
      <c r="Y163" s="167">
        <f t="shared" ref="Y163:Y173" si="130">U163*(V163+W163)</f>
        <v>0</v>
      </c>
      <c r="Z163" s="183">
        <f t="shared" ref="Z163:Z173" si="131">Q163+SUM(V163:Y163)</f>
        <v>0</v>
      </c>
      <c r="AA163" s="182">
        <v>70</v>
      </c>
      <c r="AB163" s="181"/>
      <c r="AC163" s="180">
        <v>70</v>
      </c>
      <c r="AD163" s="193"/>
    </row>
    <row r="164" spans="1:30" ht="15.75">
      <c r="A164" s="208"/>
      <c r="B164" s="191"/>
      <c r="C164" s="190">
        <v>0</v>
      </c>
      <c r="D164" s="207" t="s">
        <v>3</v>
      </c>
      <c r="E164" s="188"/>
      <c r="F164" s="341">
        <f t="shared" si="120"/>
        <v>0</v>
      </c>
      <c r="G164" s="186">
        <v>0.05</v>
      </c>
      <c r="H164" s="186">
        <v>0.02</v>
      </c>
      <c r="I164" s="186">
        <v>0.05</v>
      </c>
      <c r="J164" s="187">
        <v>0.122</v>
      </c>
      <c r="K164" s="186">
        <v>0.1</v>
      </c>
      <c r="L164" s="171">
        <f t="shared" si="121"/>
        <v>0</v>
      </c>
      <c r="M164" s="171">
        <f t="shared" si="122"/>
        <v>0</v>
      </c>
      <c r="N164" s="171">
        <f t="shared" si="123"/>
        <v>0</v>
      </c>
      <c r="O164" s="171">
        <f t="shared" si="124"/>
        <v>0</v>
      </c>
      <c r="P164" s="171">
        <f t="shared" si="125"/>
        <v>0</v>
      </c>
      <c r="Q164" s="170">
        <f t="shared" si="126"/>
        <v>0</v>
      </c>
      <c r="R164" s="185"/>
      <c r="S164" s="185"/>
      <c r="T164" s="185">
        <v>0.05</v>
      </c>
      <c r="U164" s="184">
        <v>0.1</v>
      </c>
      <c r="V164" s="167">
        <f t="shared" si="127"/>
        <v>0</v>
      </c>
      <c r="W164" s="167">
        <f t="shared" si="128"/>
        <v>0</v>
      </c>
      <c r="X164" s="167">
        <f t="shared" si="129"/>
        <v>0</v>
      </c>
      <c r="Y164" s="167">
        <f t="shared" si="130"/>
        <v>0</v>
      </c>
      <c r="Z164" s="183">
        <f t="shared" si="131"/>
        <v>0</v>
      </c>
      <c r="AA164" s="182">
        <v>70</v>
      </c>
      <c r="AB164" s="181"/>
      <c r="AC164" s="180">
        <v>70</v>
      </c>
      <c r="AD164" s="193"/>
    </row>
    <row r="165" spans="1:30" ht="15.75">
      <c r="A165" s="349" t="s">
        <v>201</v>
      </c>
      <c r="B165" s="191"/>
      <c r="C165" s="350">
        <v>1</v>
      </c>
      <c r="D165" s="351" t="s">
        <v>202</v>
      </c>
      <c r="E165" s="352">
        <v>8500</v>
      </c>
      <c r="F165" s="341">
        <f t="shared" si="120"/>
        <v>8500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si="121"/>
        <v>425</v>
      </c>
      <c r="M165" s="171">
        <f t="shared" si="122"/>
        <v>178.5</v>
      </c>
      <c r="N165" s="171">
        <f t="shared" si="123"/>
        <v>455.17500000000001</v>
      </c>
      <c r="O165" s="171">
        <f t="shared" si="124"/>
        <v>1166.1583499999999</v>
      </c>
      <c r="P165" s="171">
        <f t="shared" si="125"/>
        <v>1072.4833349999999</v>
      </c>
      <c r="Q165" s="170">
        <f t="shared" si="126"/>
        <v>11797.316685</v>
      </c>
      <c r="R165" s="185"/>
      <c r="S165" s="185"/>
      <c r="T165" s="185">
        <v>0.05</v>
      </c>
      <c r="U165" s="184">
        <v>0.1</v>
      </c>
      <c r="V165" s="167">
        <f t="shared" si="127"/>
        <v>0</v>
      </c>
      <c r="W165" s="167">
        <f t="shared" si="128"/>
        <v>0</v>
      </c>
      <c r="X165" s="167">
        <f t="shared" si="129"/>
        <v>589.86583425000003</v>
      </c>
      <c r="Y165" s="167">
        <f t="shared" si="130"/>
        <v>0</v>
      </c>
      <c r="Z165" s="183">
        <f t="shared" si="131"/>
        <v>12387.18251925</v>
      </c>
      <c r="AA165" s="182">
        <v>70</v>
      </c>
      <c r="AB165" s="181"/>
      <c r="AC165" s="180">
        <v>70</v>
      </c>
      <c r="AD165" s="193"/>
    </row>
    <row r="166" spans="1:30" ht="15.75">
      <c r="A166" s="349" t="s">
        <v>203</v>
      </c>
      <c r="B166" s="191"/>
      <c r="C166" s="350">
        <v>1</v>
      </c>
      <c r="D166" s="351" t="s">
        <v>202</v>
      </c>
      <c r="E166" s="352">
        <v>275</v>
      </c>
      <c r="F166" s="341">
        <f t="shared" si="120"/>
        <v>275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13.75</v>
      </c>
      <c r="M166" s="171">
        <f t="shared" si="122"/>
        <v>5.7750000000000004</v>
      </c>
      <c r="N166" s="171">
        <f t="shared" si="123"/>
        <v>14.72625</v>
      </c>
      <c r="O166" s="171">
        <f t="shared" si="124"/>
        <v>37.728652499999995</v>
      </c>
      <c r="P166" s="171">
        <f t="shared" si="125"/>
        <v>34.697990249999997</v>
      </c>
      <c r="Q166" s="170">
        <f t="shared" si="126"/>
        <v>381.67789274999996</v>
      </c>
      <c r="R166" s="185"/>
      <c r="S166" s="185"/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19.083894637499998</v>
      </c>
      <c r="Y166" s="167">
        <f t="shared" si="130"/>
        <v>0</v>
      </c>
      <c r="Z166" s="183">
        <f t="shared" si="131"/>
        <v>400.76178738749996</v>
      </c>
      <c r="AA166" s="182">
        <v>70</v>
      </c>
      <c r="AB166" s="181"/>
      <c r="AC166" s="180">
        <v>70</v>
      </c>
      <c r="AD166" s="193"/>
    </row>
    <row r="167" spans="1:30" ht="15.75">
      <c r="A167" s="349" t="s">
        <v>204</v>
      </c>
      <c r="B167" s="191"/>
      <c r="C167" s="350">
        <v>1</v>
      </c>
      <c r="D167" s="351" t="s">
        <v>202</v>
      </c>
      <c r="E167" s="352">
        <v>800</v>
      </c>
      <c r="F167" s="341">
        <f t="shared" si="120"/>
        <v>800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40</v>
      </c>
      <c r="M167" s="171">
        <f t="shared" si="122"/>
        <v>16.8</v>
      </c>
      <c r="N167" s="171">
        <f t="shared" si="123"/>
        <v>42.84</v>
      </c>
      <c r="O167" s="171">
        <f t="shared" si="124"/>
        <v>109.75608</v>
      </c>
      <c r="P167" s="171">
        <f t="shared" si="125"/>
        <v>100.93960800000001</v>
      </c>
      <c r="Q167" s="170">
        <f t="shared" si="126"/>
        <v>1110.3356880000001</v>
      </c>
      <c r="R167" s="185"/>
      <c r="S167" s="185"/>
      <c r="T167" s="185">
        <v>0.05</v>
      </c>
      <c r="U167" s="184">
        <v>0.1</v>
      </c>
      <c r="V167" s="167">
        <f t="shared" si="127"/>
        <v>0</v>
      </c>
      <c r="W167" s="167">
        <f t="shared" si="128"/>
        <v>0</v>
      </c>
      <c r="X167" s="167">
        <f t="shared" si="129"/>
        <v>55.516784400000006</v>
      </c>
      <c r="Y167" s="167">
        <f t="shared" si="130"/>
        <v>0</v>
      </c>
      <c r="Z167" s="183">
        <f t="shared" si="131"/>
        <v>1165.8524724000001</v>
      </c>
      <c r="AA167" s="182">
        <v>70</v>
      </c>
      <c r="AB167" s="181"/>
      <c r="AC167" s="180">
        <v>70</v>
      </c>
      <c r="AD167" s="193"/>
    </row>
    <row r="168" spans="1:30" ht="15.75">
      <c r="A168" s="349" t="s">
        <v>205</v>
      </c>
      <c r="B168" s="191"/>
      <c r="C168" s="350">
        <v>1</v>
      </c>
      <c r="D168" s="351" t="s">
        <v>202</v>
      </c>
      <c r="E168" s="352">
        <v>1250</v>
      </c>
      <c r="F168" s="341">
        <f t="shared" si="120"/>
        <v>1250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62.5</v>
      </c>
      <c r="M168" s="171">
        <f t="shared" si="122"/>
        <v>26.25</v>
      </c>
      <c r="N168" s="171">
        <f t="shared" si="123"/>
        <v>66.9375</v>
      </c>
      <c r="O168" s="171">
        <f t="shared" si="124"/>
        <v>171.493875</v>
      </c>
      <c r="P168" s="171">
        <f t="shared" si="125"/>
        <v>157.71813750000001</v>
      </c>
      <c r="Q168" s="170">
        <f t="shared" si="126"/>
        <v>1734.8995125000001</v>
      </c>
      <c r="R168" s="185"/>
      <c r="S168" s="185"/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86.744975625000009</v>
      </c>
      <c r="Y168" s="167">
        <f t="shared" si="130"/>
        <v>0</v>
      </c>
      <c r="Z168" s="183">
        <f t="shared" si="131"/>
        <v>1821.6444881250002</v>
      </c>
      <c r="AA168" s="182">
        <v>70</v>
      </c>
      <c r="AB168" s="181"/>
      <c r="AC168" s="180">
        <v>70</v>
      </c>
      <c r="AD168" s="193"/>
    </row>
    <row r="169" spans="1:30" ht="15.75">
      <c r="A169" s="349" t="s">
        <v>206</v>
      </c>
      <c r="B169" s="191"/>
      <c r="C169" s="350">
        <v>3</v>
      </c>
      <c r="D169" s="351" t="s">
        <v>202</v>
      </c>
      <c r="E169" s="352">
        <v>350</v>
      </c>
      <c r="F169" s="341">
        <f t="shared" si="120"/>
        <v>1050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52.5</v>
      </c>
      <c r="M169" s="171">
        <f t="shared" si="122"/>
        <v>22.05</v>
      </c>
      <c r="N169" s="171">
        <f t="shared" si="123"/>
        <v>56.227499999999999</v>
      </c>
      <c r="O169" s="171">
        <f t="shared" si="124"/>
        <v>144.05485499999998</v>
      </c>
      <c r="P169" s="171">
        <f t="shared" si="125"/>
        <v>132.48323550000001</v>
      </c>
      <c r="Q169" s="170">
        <f t="shared" si="126"/>
        <v>1457.3155904999999</v>
      </c>
      <c r="R169" s="185"/>
      <c r="S169" s="185"/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72.865779524999994</v>
      </c>
      <c r="Y169" s="167">
        <f t="shared" si="130"/>
        <v>0</v>
      </c>
      <c r="Z169" s="183">
        <f t="shared" si="131"/>
        <v>1530.181370025</v>
      </c>
      <c r="AA169" s="182">
        <v>70</v>
      </c>
      <c r="AB169" s="181"/>
      <c r="AC169" s="180">
        <v>70</v>
      </c>
      <c r="AD169" s="193"/>
    </row>
    <row r="170" spans="1:30" ht="15.75">
      <c r="A170" s="349" t="s">
        <v>207</v>
      </c>
      <c r="B170" s="191"/>
      <c r="C170" s="350">
        <v>1</v>
      </c>
      <c r="D170" s="351" t="s">
        <v>202</v>
      </c>
      <c r="E170" s="352">
        <v>220</v>
      </c>
      <c r="F170" s="341">
        <f t="shared" si="120"/>
        <v>220</v>
      </c>
      <c r="G170" s="186">
        <v>0.05</v>
      </c>
      <c r="H170" s="186">
        <v>0.02</v>
      </c>
      <c r="I170" s="186">
        <v>0.05</v>
      </c>
      <c r="J170" s="187">
        <v>0.122</v>
      </c>
      <c r="K170" s="186">
        <v>0.1</v>
      </c>
      <c r="L170" s="171">
        <f t="shared" si="121"/>
        <v>11</v>
      </c>
      <c r="M170" s="171">
        <f t="shared" si="122"/>
        <v>4.62</v>
      </c>
      <c r="N170" s="171">
        <f t="shared" si="123"/>
        <v>11.781000000000001</v>
      </c>
      <c r="O170" s="171">
        <f t="shared" si="124"/>
        <v>30.182922000000001</v>
      </c>
      <c r="P170" s="171">
        <f t="shared" si="125"/>
        <v>27.758392200000003</v>
      </c>
      <c r="Q170" s="170">
        <f t="shared" si="126"/>
        <v>305.34231420000003</v>
      </c>
      <c r="R170" s="185"/>
      <c r="S170" s="185"/>
      <c r="T170" s="185">
        <v>0.05</v>
      </c>
      <c r="U170" s="184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15.267115710000002</v>
      </c>
      <c r="Y170" s="167">
        <f t="shared" si="130"/>
        <v>0</v>
      </c>
      <c r="Z170" s="183">
        <f t="shared" si="131"/>
        <v>320.60942991000002</v>
      </c>
      <c r="AA170" s="182">
        <v>70</v>
      </c>
      <c r="AB170" s="181"/>
      <c r="AC170" s="180">
        <v>70</v>
      </c>
      <c r="AD170" s="193"/>
    </row>
    <row r="171" spans="1:30" ht="15.75">
      <c r="A171" s="349" t="s">
        <v>208</v>
      </c>
      <c r="B171" s="191"/>
      <c r="C171" s="350">
        <v>1</v>
      </c>
      <c r="D171" s="351" t="s">
        <v>202</v>
      </c>
      <c r="E171" s="352">
        <v>2400</v>
      </c>
      <c r="F171" s="341">
        <f t="shared" si="120"/>
        <v>2400</v>
      </c>
      <c r="G171" s="186">
        <v>0.05</v>
      </c>
      <c r="H171" s="186">
        <v>0.02</v>
      </c>
      <c r="I171" s="186">
        <v>0.05</v>
      </c>
      <c r="J171" s="187">
        <v>0.122</v>
      </c>
      <c r="K171" s="186">
        <v>0.1</v>
      </c>
      <c r="L171" s="171">
        <f t="shared" si="121"/>
        <v>120</v>
      </c>
      <c r="M171" s="171">
        <f t="shared" si="122"/>
        <v>50.4</v>
      </c>
      <c r="N171" s="171">
        <f t="shared" si="123"/>
        <v>128.52000000000001</v>
      </c>
      <c r="O171" s="171">
        <f t="shared" si="124"/>
        <v>329.26823999999999</v>
      </c>
      <c r="P171" s="171">
        <f t="shared" si="125"/>
        <v>302.81882400000001</v>
      </c>
      <c r="Q171" s="170">
        <f t="shared" si="126"/>
        <v>3331.0070639999999</v>
      </c>
      <c r="R171" s="185"/>
      <c r="S171" s="185"/>
      <c r="T171" s="185">
        <v>0.05</v>
      </c>
      <c r="U171" s="184">
        <v>0.1</v>
      </c>
      <c r="V171" s="167">
        <f t="shared" si="127"/>
        <v>0</v>
      </c>
      <c r="W171" s="167">
        <f t="shared" si="128"/>
        <v>0</v>
      </c>
      <c r="X171" s="167">
        <f t="shared" si="129"/>
        <v>166.55035320000002</v>
      </c>
      <c r="Y171" s="167">
        <f t="shared" si="130"/>
        <v>0</v>
      </c>
      <c r="Z171" s="183">
        <f t="shared" si="131"/>
        <v>3497.5574171999997</v>
      </c>
      <c r="AA171" s="182">
        <v>70</v>
      </c>
      <c r="AB171" s="181"/>
      <c r="AC171" s="180">
        <v>70</v>
      </c>
      <c r="AD171" s="193"/>
    </row>
    <row r="172" spans="1:30" ht="15.75">
      <c r="A172" s="349" t="s">
        <v>209</v>
      </c>
      <c r="B172" s="191"/>
      <c r="C172" s="350">
        <v>1</v>
      </c>
      <c r="D172" s="351" t="s">
        <v>202</v>
      </c>
      <c r="E172" s="352">
        <v>4700</v>
      </c>
      <c r="F172" s="341">
        <f t="shared" si="120"/>
        <v>4700</v>
      </c>
      <c r="G172" s="186">
        <v>0.05</v>
      </c>
      <c r="H172" s="186">
        <v>0.02</v>
      </c>
      <c r="I172" s="186">
        <v>0.05</v>
      </c>
      <c r="J172" s="187">
        <v>0.122</v>
      </c>
      <c r="K172" s="186">
        <v>0.1</v>
      </c>
      <c r="L172" s="171">
        <f t="shared" si="121"/>
        <v>235</v>
      </c>
      <c r="M172" s="171">
        <f t="shared" si="122"/>
        <v>98.7</v>
      </c>
      <c r="N172" s="171">
        <f t="shared" si="123"/>
        <v>251.685</v>
      </c>
      <c r="O172" s="171">
        <f t="shared" si="124"/>
        <v>644.81696999999997</v>
      </c>
      <c r="P172" s="171">
        <f t="shared" si="125"/>
        <v>593.02019700000005</v>
      </c>
      <c r="Q172" s="170">
        <f t="shared" si="126"/>
        <v>6523.2221669999999</v>
      </c>
      <c r="R172" s="185"/>
      <c r="S172" s="185"/>
      <c r="T172" s="185">
        <v>0.05</v>
      </c>
      <c r="U172" s="184">
        <v>0.1</v>
      </c>
      <c r="V172" s="167">
        <f t="shared" si="127"/>
        <v>0</v>
      </c>
      <c r="W172" s="167">
        <f t="shared" si="128"/>
        <v>0</v>
      </c>
      <c r="X172" s="167">
        <f t="shared" si="129"/>
        <v>326.16110835000001</v>
      </c>
      <c r="Y172" s="167">
        <f t="shared" si="130"/>
        <v>0</v>
      </c>
      <c r="Z172" s="183">
        <f t="shared" si="131"/>
        <v>6849.3832753500001</v>
      </c>
      <c r="AA172" s="182">
        <v>70</v>
      </c>
      <c r="AB172" s="181"/>
      <c r="AC172" s="180">
        <v>70</v>
      </c>
      <c r="AD172" s="193"/>
    </row>
    <row r="173" spans="1:30" ht="15.75">
      <c r="A173" s="349" t="s">
        <v>210</v>
      </c>
      <c r="B173" s="191"/>
      <c r="C173" s="350">
        <v>3</v>
      </c>
      <c r="D173" s="351" t="s">
        <v>202</v>
      </c>
      <c r="E173" s="352">
        <v>350</v>
      </c>
      <c r="F173" s="341">
        <f t="shared" si="120"/>
        <v>1050</v>
      </c>
      <c r="G173" s="186">
        <v>0.05</v>
      </c>
      <c r="H173" s="186">
        <v>0.02</v>
      </c>
      <c r="I173" s="186">
        <v>0.05</v>
      </c>
      <c r="J173" s="187">
        <v>0.122</v>
      </c>
      <c r="K173" s="186">
        <v>0.1</v>
      </c>
      <c r="L173" s="171">
        <f t="shared" si="121"/>
        <v>52.5</v>
      </c>
      <c r="M173" s="171">
        <f t="shared" si="122"/>
        <v>22.05</v>
      </c>
      <c r="N173" s="171">
        <f t="shared" si="123"/>
        <v>56.227499999999999</v>
      </c>
      <c r="O173" s="171">
        <f t="shared" si="124"/>
        <v>144.05485499999998</v>
      </c>
      <c r="P173" s="171">
        <f t="shared" si="125"/>
        <v>132.48323550000001</v>
      </c>
      <c r="Q173" s="170">
        <f t="shared" si="126"/>
        <v>1457.3155904999999</v>
      </c>
      <c r="R173" s="185"/>
      <c r="S173" s="185"/>
      <c r="T173" s="185">
        <v>0.05</v>
      </c>
      <c r="U173" s="184">
        <v>0.1</v>
      </c>
      <c r="V173" s="167">
        <f t="shared" si="127"/>
        <v>0</v>
      </c>
      <c r="W173" s="167">
        <f t="shared" si="128"/>
        <v>0</v>
      </c>
      <c r="X173" s="167">
        <f t="shared" si="129"/>
        <v>72.865779524999994</v>
      </c>
      <c r="Y173" s="167">
        <f t="shared" si="130"/>
        <v>0</v>
      </c>
      <c r="Z173" s="183">
        <f t="shared" si="131"/>
        <v>1530.181370025</v>
      </c>
      <c r="AA173" s="182">
        <v>70</v>
      </c>
      <c r="AB173" s="181"/>
      <c r="AC173" s="180">
        <v>70</v>
      </c>
      <c r="AD173" s="193"/>
    </row>
    <row r="174" spans="1:30" ht="15.75">
      <c r="A174" s="349" t="s">
        <v>211</v>
      </c>
      <c r="B174" s="191"/>
      <c r="C174" s="350">
        <v>225</v>
      </c>
      <c r="D174" s="351" t="s">
        <v>212</v>
      </c>
      <c r="E174" s="352">
        <v>8</v>
      </c>
      <c r="F174" s="341">
        <f t="shared" ref="F168:F195" si="132">E174*C174</f>
        <v>1800</v>
      </c>
      <c r="G174" s="186">
        <v>0.05</v>
      </c>
      <c r="H174" s="186">
        <v>0.02</v>
      </c>
      <c r="I174" s="186">
        <v>0.05</v>
      </c>
      <c r="J174" s="187">
        <v>0.122</v>
      </c>
      <c r="K174" s="186">
        <v>0.1</v>
      </c>
      <c r="L174" s="171">
        <f t="shared" ref="L168:L195" si="133">F174*G174</f>
        <v>90</v>
      </c>
      <c r="M174" s="171">
        <f t="shared" ref="M168:M195" si="134">(F174+L174)*H174</f>
        <v>37.800000000000004</v>
      </c>
      <c r="N174" s="171">
        <f t="shared" ref="N168:N195" si="135">(F174+L174+M174)*I174</f>
        <v>96.39</v>
      </c>
      <c r="O174" s="171">
        <f t="shared" ref="O168:O195" si="136">(F174+L174+M174+N174)*J174</f>
        <v>246.95117999999999</v>
      </c>
      <c r="P174" s="171">
        <f t="shared" ref="P168:P195" si="137">(F174+L174+M174+N174+O174)*K174</f>
        <v>227.11411800000002</v>
      </c>
      <c r="Q174" s="170">
        <f t="shared" ref="Q168:Q195" si="138">F174+SUM(L174:P174)</f>
        <v>2498.255298</v>
      </c>
      <c r="R174" s="185"/>
      <c r="S174" s="185"/>
      <c r="T174" s="185">
        <v>0.05</v>
      </c>
      <c r="U174" s="184">
        <v>0.1</v>
      </c>
      <c r="V174" s="167">
        <f t="shared" ref="V168:V195" si="139">Q174*R174</f>
        <v>0</v>
      </c>
      <c r="W174" s="167">
        <f t="shared" ref="W168:W195" si="140">Q174*S174</f>
        <v>0</v>
      </c>
      <c r="X174" s="167">
        <f t="shared" ref="X168:X195" si="141">Q174*T174</f>
        <v>124.91276490000001</v>
      </c>
      <c r="Y174" s="167">
        <f t="shared" ref="Y168:Y195" si="142">U174*(V174+W174)</f>
        <v>0</v>
      </c>
      <c r="Z174" s="183">
        <f t="shared" ref="Z168:Z195" si="143">Q174+SUM(V174:Y174)</f>
        <v>2623.1680629000002</v>
      </c>
      <c r="AA174" s="182">
        <v>70</v>
      </c>
      <c r="AB174" s="181"/>
      <c r="AC174" s="180">
        <v>70</v>
      </c>
      <c r="AD174" s="193"/>
    </row>
    <row r="175" spans="1:30" ht="15.75">
      <c r="A175" s="349" t="s">
        <v>213</v>
      </c>
      <c r="B175" s="191"/>
      <c r="C175" s="350">
        <v>110</v>
      </c>
      <c r="D175" s="351" t="s">
        <v>212</v>
      </c>
      <c r="E175" s="352">
        <v>24</v>
      </c>
      <c r="F175" s="341">
        <f t="shared" si="132"/>
        <v>2640</v>
      </c>
      <c r="G175" s="186">
        <v>0.05</v>
      </c>
      <c r="H175" s="186">
        <v>0.02</v>
      </c>
      <c r="I175" s="186">
        <v>0.05</v>
      </c>
      <c r="J175" s="187">
        <v>0.122</v>
      </c>
      <c r="K175" s="186">
        <v>0.1</v>
      </c>
      <c r="L175" s="171">
        <f t="shared" si="133"/>
        <v>132</v>
      </c>
      <c r="M175" s="171">
        <f t="shared" si="134"/>
        <v>55.44</v>
      </c>
      <c r="N175" s="171">
        <f t="shared" si="135"/>
        <v>141.37200000000001</v>
      </c>
      <c r="O175" s="171">
        <f t="shared" si="136"/>
        <v>362.195064</v>
      </c>
      <c r="P175" s="171">
        <f t="shared" si="137"/>
        <v>333.10070640000004</v>
      </c>
      <c r="Q175" s="170">
        <f t="shared" si="138"/>
        <v>3664.1077703999999</v>
      </c>
      <c r="R175" s="185"/>
      <c r="S175" s="185"/>
      <c r="T175" s="185">
        <v>0.05</v>
      </c>
      <c r="U175" s="184">
        <v>0.1</v>
      </c>
      <c r="V175" s="167">
        <f t="shared" si="139"/>
        <v>0</v>
      </c>
      <c r="W175" s="167">
        <f t="shared" si="140"/>
        <v>0</v>
      </c>
      <c r="X175" s="167">
        <f t="shared" si="141"/>
        <v>183.20538852000001</v>
      </c>
      <c r="Y175" s="167">
        <f t="shared" si="142"/>
        <v>0</v>
      </c>
      <c r="Z175" s="183">
        <f t="shared" si="143"/>
        <v>3847.3131589199998</v>
      </c>
      <c r="AA175" s="182">
        <v>70</v>
      </c>
      <c r="AB175" s="181"/>
      <c r="AC175" s="180">
        <v>70</v>
      </c>
      <c r="AD175" s="193"/>
    </row>
    <row r="176" spans="1:30" ht="15.75">
      <c r="A176" s="349" t="s">
        <v>214</v>
      </c>
      <c r="B176" s="191"/>
      <c r="C176" s="350">
        <v>4</v>
      </c>
      <c r="D176" s="351" t="s">
        <v>202</v>
      </c>
      <c r="E176" s="352">
        <v>175</v>
      </c>
      <c r="F176" s="341">
        <f t="shared" si="132"/>
        <v>700</v>
      </c>
      <c r="G176" s="186">
        <v>0.05</v>
      </c>
      <c r="H176" s="186">
        <v>0.02</v>
      </c>
      <c r="I176" s="186">
        <v>0.05</v>
      </c>
      <c r="J176" s="187">
        <v>0.122</v>
      </c>
      <c r="K176" s="186">
        <v>0.1</v>
      </c>
      <c r="L176" s="171">
        <f t="shared" si="133"/>
        <v>35</v>
      </c>
      <c r="M176" s="171">
        <f t="shared" si="134"/>
        <v>14.700000000000001</v>
      </c>
      <c r="N176" s="171">
        <f t="shared" si="135"/>
        <v>37.485000000000007</v>
      </c>
      <c r="O176" s="171">
        <f t="shared" si="136"/>
        <v>96.036570000000012</v>
      </c>
      <c r="P176" s="171">
        <f t="shared" si="137"/>
        <v>88.322157000000004</v>
      </c>
      <c r="Q176" s="170">
        <f t="shared" si="138"/>
        <v>971.54372699999999</v>
      </c>
      <c r="R176" s="185"/>
      <c r="S176" s="185"/>
      <c r="T176" s="185">
        <v>0.05</v>
      </c>
      <c r="U176" s="184">
        <v>0.1</v>
      </c>
      <c r="V176" s="167">
        <f t="shared" si="139"/>
        <v>0</v>
      </c>
      <c r="W176" s="167">
        <f t="shared" si="140"/>
        <v>0</v>
      </c>
      <c r="X176" s="167">
        <f t="shared" si="141"/>
        <v>48.577186350000005</v>
      </c>
      <c r="Y176" s="167">
        <f t="shared" si="142"/>
        <v>0</v>
      </c>
      <c r="Z176" s="183">
        <f t="shared" si="143"/>
        <v>1020.12091335</v>
      </c>
      <c r="AA176" s="182">
        <v>70</v>
      </c>
      <c r="AB176" s="181"/>
      <c r="AC176" s="180">
        <v>70</v>
      </c>
      <c r="AD176" s="193"/>
    </row>
    <row r="177" spans="1:30" ht="15.75">
      <c r="A177" s="349" t="s">
        <v>215</v>
      </c>
      <c r="B177" s="191"/>
      <c r="C177" s="350">
        <v>1</v>
      </c>
      <c r="D177" s="351" t="s">
        <v>202</v>
      </c>
      <c r="E177" s="352">
        <v>175</v>
      </c>
      <c r="F177" s="341">
        <f t="shared" si="132"/>
        <v>175</v>
      </c>
      <c r="G177" s="186">
        <v>0.05</v>
      </c>
      <c r="H177" s="186">
        <v>0.02</v>
      </c>
      <c r="I177" s="186">
        <v>0.05</v>
      </c>
      <c r="J177" s="187">
        <v>0.122</v>
      </c>
      <c r="K177" s="186">
        <v>0.1</v>
      </c>
      <c r="L177" s="171">
        <f t="shared" si="133"/>
        <v>8.75</v>
      </c>
      <c r="M177" s="171">
        <f t="shared" si="134"/>
        <v>3.6750000000000003</v>
      </c>
      <c r="N177" s="171">
        <f t="shared" si="135"/>
        <v>9.3712500000000016</v>
      </c>
      <c r="O177" s="171">
        <f t="shared" si="136"/>
        <v>24.009142500000003</v>
      </c>
      <c r="P177" s="171">
        <f t="shared" si="137"/>
        <v>22.080539250000001</v>
      </c>
      <c r="Q177" s="170">
        <f t="shared" si="138"/>
        <v>242.88593175</v>
      </c>
      <c r="R177" s="185"/>
      <c r="S177" s="185"/>
      <c r="T177" s="185">
        <v>0.05</v>
      </c>
      <c r="U177" s="184">
        <v>0.1</v>
      </c>
      <c r="V177" s="167">
        <f t="shared" si="139"/>
        <v>0</v>
      </c>
      <c r="W177" s="167">
        <f t="shared" si="140"/>
        <v>0</v>
      </c>
      <c r="X177" s="167">
        <f t="shared" si="141"/>
        <v>12.144296587500001</v>
      </c>
      <c r="Y177" s="167">
        <f t="shared" si="142"/>
        <v>0</v>
      </c>
      <c r="Z177" s="183">
        <f t="shared" si="143"/>
        <v>255.03022833750001</v>
      </c>
      <c r="AA177" s="182">
        <v>70</v>
      </c>
      <c r="AB177" s="181"/>
      <c r="AC177" s="180">
        <v>70</v>
      </c>
      <c r="AD177" s="193"/>
    </row>
    <row r="178" spans="1:30" ht="15.75">
      <c r="A178" s="349" t="s">
        <v>216</v>
      </c>
      <c r="B178" s="191"/>
      <c r="C178" s="350">
        <v>120</v>
      </c>
      <c r="D178" s="351" t="s">
        <v>212</v>
      </c>
      <c r="E178" s="352">
        <v>7</v>
      </c>
      <c r="F178" s="341">
        <f t="shared" si="132"/>
        <v>840</v>
      </c>
      <c r="G178" s="186">
        <v>0.05</v>
      </c>
      <c r="H178" s="186">
        <v>0.02</v>
      </c>
      <c r="I178" s="186">
        <v>0.05</v>
      </c>
      <c r="J178" s="187">
        <v>0.122</v>
      </c>
      <c r="K178" s="186">
        <v>0.1</v>
      </c>
      <c r="L178" s="171">
        <f t="shared" si="133"/>
        <v>42</v>
      </c>
      <c r="M178" s="171">
        <f t="shared" si="134"/>
        <v>17.64</v>
      </c>
      <c r="N178" s="171">
        <f t="shared" si="135"/>
        <v>44.981999999999999</v>
      </c>
      <c r="O178" s="171">
        <f t="shared" si="136"/>
        <v>115.24388399999999</v>
      </c>
      <c r="P178" s="171">
        <f t="shared" si="137"/>
        <v>105.98658840000002</v>
      </c>
      <c r="Q178" s="170">
        <f t="shared" si="138"/>
        <v>1165.8524723999999</v>
      </c>
      <c r="R178" s="185"/>
      <c r="S178" s="185"/>
      <c r="T178" s="185">
        <v>0.05</v>
      </c>
      <c r="U178" s="184">
        <v>0.1</v>
      </c>
      <c r="V178" s="167">
        <f t="shared" si="139"/>
        <v>0</v>
      </c>
      <c r="W178" s="167">
        <f t="shared" si="140"/>
        <v>0</v>
      </c>
      <c r="X178" s="167">
        <f t="shared" si="141"/>
        <v>58.292623620000001</v>
      </c>
      <c r="Y178" s="167">
        <f t="shared" si="142"/>
        <v>0</v>
      </c>
      <c r="Z178" s="183">
        <f t="shared" si="143"/>
        <v>1224.14509602</v>
      </c>
      <c r="AA178" s="182">
        <v>70</v>
      </c>
      <c r="AB178" s="181"/>
      <c r="AC178" s="180">
        <v>70</v>
      </c>
      <c r="AD178" s="193"/>
    </row>
    <row r="179" spans="1:30" ht="15.75">
      <c r="A179" s="349" t="s">
        <v>217</v>
      </c>
      <c r="B179" s="191"/>
      <c r="C179" s="350">
        <v>3</v>
      </c>
      <c r="D179" s="351" t="s">
        <v>202</v>
      </c>
      <c r="E179" s="352">
        <v>1250</v>
      </c>
      <c r="F179" s="341">
        <f t="shared" si="132"/>
        <v>3750</v>
      </c>
      <c r="G179" s="186">
        <v>0.05</v>
      </c>
      <c r="H179" s="186">
        <v>0.02</v>
      </c>
      <c r="I179" s="186">
        <v>0.05</v>
      </c>
      <c r="J179" s="187">
        <v>0.122</v>
      </c>
      <c r="K179" s="186">
        <v>0.1</v>
      </c>
      <c r="L179" s="171">
        <f t="shared" si="133"/>
        <v>187.5</v>
      </c>
      <c r="M179" s="171">
        <f t="shared" si="134"/>
        <v>78.75</v>
      </c>
      <c r="N179" s="171">
        <f t="shared" si="135"/>
        <v>200.8125</v>
      </c>
      <c r="O179" s="171">
        <f t="shared" si="136"/>
        <v>514.48162500000001</v>
      </c>
      <c r="P179" s="171">
        <f t="shared" si="137"/>
        <v>473.15441250000003</v>
      </c>
      <c r="Q179" s="170">
        <f t="shared" si="138"/>
        <v>5204.6985375000004</v>
      </c>
      <c r="R179" s="185"/>
      <c r="S179" s="185"/>
      <c r="T179" s="185">
        <v>0.05</v>
      </c>
      <c r="U179" s="184">
        <v>0.1</v>
      </c>
      <c r="V179" s="167">
        <f t="shared" si="139"/>
        <v>0</v>
      </c>
      <c r="W179" s="167">
        <f t="shared" si="140"/>
        <v>0</v>
      </c>
      <c r="X179" s="167">
        <f t="shared" si="141"/>
        <v>260.23492687500004</v>
      </c>
      <c r="Y179" s="167">
        <f t="shared" si="142"/>
        <v>0</v>
      </c>
      <c r="Z179" s="183">
        <f t="shared" si="143"/>
        <v>5464.9334643750008</v>
      </c>
      <c r="AA179" s="182">
        <v>70</v>
      </c>
      <c r="AB179" s="181"/>
      <c r="AC179" s="180">
        <v>70</v>
      </c>
      <c r="AD179" s="193"/>
    </row>
    <row r="180" spans="1:30" ht="15.75">
      <c r="A180" s="349" t="s">
        <v>218</v>
      </c>
      <c r="B180" s="191"/>
      <c r="C180" s="350">
        <v>300</v>
      </c>
      <c r="D180" s="351" t="s">
        <v>212</v>
      </c>
      <c r="E180" s="352">
        <v>5</v>
      </c>
      <c r="F180" s="341">
        <f t="shared" si="132"/>
        <v>1500</v>
      </c>
      <c r="G180" s="186">
        <v>0.05</v>
      </c>
      <c r="H180" s="186">
        <v>0.02</v>
      </c>
      <c r="I180" s="186">
        <v>0.05</v>
      </c>
      <c r="J180" s="187">
        <v>0.122</v>
      </c>
      <c r="K180" s="186">
        <v>0.1</v>
      </c>
      <c r="L180" s="171">
        <f t="shared" si="133"/>
        <v>75</v>
      </c>
      <c r="M180" s="171">
        <f t="shared" si="134"/>
        <v>31.5</v>
      </c>
      <c r="N180" s="171">
        <f t="shared" si="135"/>
        <v>80.325000000000003</v>
      </c>
      <c r="O180" s="171">
        <f t="shared" si="136"/>
        <v>205.79265000000001</v>
      </c>
      <c r="P180" s="171">
        <f t="shared" si="137"/>
        <v>189.26176500000003</v>
      </c>
      <c r="Q180" s="170">
        <f t="shared" si="138"/>
        <v>2081.8794150000003</v>
      </c>
      <c r="R180" s="185"/>
      <c r="S180" s="185"/>
      <c r="T180" s="185">
        <v>0.05</v>
      </c>
      <c r="U180" s="184">
        <v>0.1</v>
      </c>
      <c r="V180" s="167">
        <f t="shared" si="139"/>
        <v>0</v>
      </c>
      <c r="W180" s="167">
        <f t="shared" si="140"/>
        <v>0</v>
      </c>
      <c r="X180" s="167">
        <f t="shared" si="141"/>
        <v>104.09397075000003</v>
      </c>
      <c r="Y180" s="167">
        <f t="shared" si="142"/>
        <v>0</v>
      </c>
      <c r="Z180" s="183">
        <f t="shared" si="143"/>
        <v>2185.9733857500005</v>
      </c>
      <c r="AA180" s="182">
        <v>70</v>
      </c>
      <c r="AB180" s="181"/>
      <c r="AC180" s="180">
        <v>70</v>
      </c>
      <c r="AD180" s="193"/>
    </row>
    <row r="181" spans="1:30" ht="15.75">
      <c r="A181" s="349" t="s">
        <v>219</v>
      </c>
      <c r="B181" s="191"/>
      <c r="C181" s="350">
        <v>1</v>
      </c>
      <c r="D181" s="351" t="s">
        <v>202</v>
      </c>
      <c r="E181" s="352">
        <v>400</v>
      </c>
      <c r="F181" s="341">
        <f t="shared" si="132"/>
        <v>400</v>
      </c>
      <c r="G181" s="186">
        <v>0.05</v>
      </c>
      <c r="H181" s="186">
        <v>0.02</v>
      </c>
      <c r="I181" s="186">
        <v>0.05</v>
      </c>
      <c r="J181" s="187">
        <v>0.122</v>
      </c>
      <c r="K181" s="186">
        <v>0.1</v>
      </c>
      <c r="L181" s="171">
        <f t="shared" si="133"/>
        <v>20</v>
      </c>
      <c r="M181" s="171">
        <f t="shared" si="134"/>
        <v>8.4</v>
      </c>
      <c r="N181" s="171">
        <f t="shared" si="135"/>
        <v>21.42</v>
      </c>
      <c r="O181" s="171">
        <f t="shared" si="136"/>
        <v>54.878039999999999</v>
      </c>
      <c r="P181" s="171">
        <f t="shared" si="137"/>
        <v>50.469804000000003</v>
      </c>
      <c r="Q181" s="170">
        <f t="shared" si="138"/>
        <v>555.16784400000006</v>
      </c>
      <c r="R181" s="185"/>
      <c r="S181" s="185"/>
      <c r="T181" s="185">
        <v>0.05</v>
      </c>
      <c r="U181" s="184">
        <v>0.1</v>
      </c>
      <c r="V181" s="167">
        <f t="shared" si="139"/>
        <v>0</v>
      </c>
      <c r="W181" s="167">
        <f t="shared" si="140"/>
        <v>0</v>
      </c>
      <c r="X181" s="167">
        <f t="shared" si="141"/>
        <v>27.758392200000003</v>
      </c>
      <c r="Y181" s="167">
        <f t="shared" si="142"/>
        <v>0</v>
      </c>
      <c r="Z181" s="183">
        <f t="shared" si="143"/>
        <v>582.92623620000006</v>
      </c>
      <c r="AA181" s="182">
        <v>70</v>
      </c>
      <c r="AB181" s="181"/>
      <c r="AC181" s="180">
        <v>70</v>
      </c>
      <c r="AD181" s="193"/>
    </row>
    <row r="182" spans="1:30" ht="15.75">
      <c r="A182" s="349" t="s">
        <v>220</v>
      </c>
      <c r="B182" s="191"/>
      <c r="C182" s="350">
        <v>1</v>
      </c>
      <c r="D182" s="351" t="s">
        <v>202</v>
      </c>
      <c r="E182" s="352">
        <v>350</v>
      </c>
      <c r="F182" s="341">
        <f t="shared" si="132"/>
        <v>350</v>
      </c>
      <c r="G182" s="186">
        <v>0.05</v>
      </c>
      <c r="H182" s="186">
        <v>0.02</v>
      </c>
      <c r="I182" s="186">
        <v>0.05</v>
      </c>
      <c r="J182" s="187">
        <v>0.122</v>
      </c>
      <c r="K182" s="186">
        <v>0.1</v>
      </c>
      <c r="L182" s="171">
        <f t="shared" si="133"/>
        <v>17.5</v>
      </c>
      <c r="M182" s="171">
        <f t="shared" si="134"/>
        <v>7.3500000000000005</v>
      </c>
      <c r="N182" s="171">
        <f t="shared" si="135"/>
        <v>18.742500000000003</v>
      </c>
      <c r="O182" s="171">
        <f t="shared" si="136"/>
        <v>48.018285000000006</v>
      </c>
      <c r="P182" s="171">
        <f t="shared" si="137"/>
        <v>44.161078500000002</v>
      </c>
      <c r="Q182" s="170">
        <f t="shared" si="138"/>
        <v>485.77186349999999</v>
      </c>
      <c r="R182" s="185"/>
      <c r="S182" s="185"/>
      <c r="T182" s="185">
        <v>0.05</v>
      </c>
      <c r="U182" s="184">
        <v>0.1</v>
      </c>
      <c r="V182" s="167">
        <f t="shared" si="139"/>
        <v>0</v>
      </c>
      <c r="W182" s="167">
        <f t="shared" si="140"/>
        <v>0</v>
      </c>
      <c r="X182" s="167">
        <f t="shared" si="141"/>
        <v>24.288593175000003</v>
      </c>
      <c r="Y182" s="167">
        <f t="shared" si="142"/>
        <v>0</v>
      </c>
      <c r="Z182" s="183">
        <f t="shared" si="143"/>
        <v>510.06045667500001</v>
      </c>
      <c r="AA182" s="182">
        <v>70</v>
      </c>
      <c r="AB182" s="181"/>
      <c r="AC182" s="180">
        <v>70</v>
      </c>
      <c r="AD182" s="193"/>
    </row>
    <row r="183" spans="1:30" ht="15.75">
      <c r="A183" s="349" t="s">
        <v>221</v>
      </c>
      <c r="B183" s="191"/>
      <c r="C183" s="350">
        <v>400</v>
      </c>
      <c r="D183" s="351" t="s">
        <v>212</v>
      </c>
      <c r="E183" s="352">
        <v>6</v>
      </c>
      <c r="F183" s="341">
        <f t="shared" si="132"/>
        <v>2400</v>
      </c>
      <c r="G183" s="186">
        <v>0.05</v>
      </c>
      <c r="H183" s="186">
        <v>0.02</v>
      </c>
      <c r="I183" s="186">
        <v>0.05</v>
      </c>
      <c r="J183" s="187">
        <v>0.122</v>
      </c>
      <c r="K183" s="186">
        <v>0.1</v>
      </c>
      <c r="L183" s="171">
        <f t="shared" si="133"/>
        <v>120</v>
      </c>
      <c r="M183" s="171">
        <f t="shared" si="134"/>
        <v>50.4</v>
      </c>
      <c r="N183" s="171">
        <f t="shared" si="135"/>
        <v>128.52000000000001</v>
      </c>
      <c r="O183" s="171">
        <f t="shared" si="136"/>
        <v>329.26823999999999</v>
      </c>
      <c r="P183" s="171">
        <f t="shared" si="137"/>
        <v>302.81882400000001</v>
      </c>
      <c r="Q183" s="170">
        <f t="shared" si="138"/>
        <v>3331.0070639999999</v>
      </c>
      <c r="R183" s="185"/>
      <c r="S183" s="185"/>
      <c r="T183" s="185">
        <v>0.05</v>
      </c>
      <c r="U183" s="184">
        <v>0.1</v>
      </c>
      <c r="V183" s="167">
        <f t="shared" si="139"/>
        <v>0</v>
      </c>
      <c r="W183" s="167">
        <f t="shared" si="140"/>
        <v>0</v>
      </c>
      <c r="X183" s="167">
        <f t="shared" si="141"/>
        <v>166.55035320000002</v>
      </c>
      <c r="Y183" s="167">
        <f t="shared" si="142"/>
        <v>0</v>
      </c>
      <c r="Z183" s="183">
        <f t="shared" si="143"/>
        <v>3497.5574171999997</v>
      </c>
      <c r="AA183" s="182">
        <v>70</v>
      </c>
      <c r="AB183" s="181"/>
      <c r="AC183" s="180">
        <v>70</v>
      </c>
      <c r="AD183" s="193"/>
    </row>
    <row r="184" spans="1:30" ht="15.75">
      <c r="A184" s="349" t="s">
        <v>222</v>
      </c>
      <c r="B184" s="191"/>
      <c r="C184" s="350">
        <v>1</v>
      </c>
      <c r="D184" s="351" t="s">
        <v>202</v>
      </c>
      <c r="E184" s="352">
        <v>1050</v>
      </c>
      <c r="F184" s="341">
        <f t="shared" si="132"/>
        <v>1050</v>
      </c>
      <c r="G184" s="186">
        <v>0.05</v>
      </c>
      <c r="H184" s="186">
        <v>0.02</v>
      </c>
      <c r="I184" s="186">
        <v>0.05</v>
      </c>
      <c r="J184" s="187">
        <v>0.122</v>
      </c>
      <c r="K184" s="186">
        <v>0.1</v>
      </c>
      <c r="L184" s="171">
        <f t="shared" si="133"/>
        <v>52.5</v>
      </c>
      <c r="M184" s="171">
        <f t="shared" si="134"/>
        <v>22.05</v>
      </c>
      <c r="N184" s="171">
        <f t="shared" si="135"/>
        <v>56.227499999999999</v>
      </c>
      <c r="O184" s="171">
        <f t="shared" si="136"/>
        <v>144.05485499999998</v>
      </c>
      <c r="P184" s="171">
        <f t="shared" si="137"/>
        <v>132.48323550000001</v>
      </c>
      <c r="Q184" s="170">
        <f t="shared" si="138"/>
        <v>1457.3155904999999</v>
      </c>
      <c r="R184" s="185"/>
      <c r="S184" s="185"/>
      <c r="T184" s="185">
        <v>0.05</v>
      </c>
      <c r="U184" s="184">
        <v>0.1</v>
      </c>
      <c r="V184" s="167">
        <f t="shared" si="139"/>
        <v>0</v>
      </c>
      <c r="W184" s="167">
        <f t="shared" si="140"/>
        <v>0</v>
      </c>
      <c r="X184" s="167">
        <f t="shared" si="141"/>
        <v>72.865779524999994</v>
      </c>
      <c r="Y184" s="167">
        <f t="shared" si="142"/>
        <v>0</v>
      </c>
      <c r="Z184" s="183">
        <f t="shared" si="143"/>
        <v>1530.181370025</v>
      </c>
      <c r="AA184" s="182">
        <v>70</v>
      </c>
      <c r="AB184" s="181"/>
      <c r="AC184" s="180">
        <v>70</v>
      </c>
      <c r="AD184" s="193"/>
    </row>
    <row r="185" spans="1:30" ht="15.75">
      <c r="A185" s="349" t="s">
        <v>223</v>
      </c>
      <c r="B185" s="191"/>
      <c r="C185" s="350">
        <v>1</v>
      </c>
      <c r="D185" s="351" t="s">
        <v>202</v>
      </c>
      <c r="E185" s="352">
        <v>625</v>
      </c>
      <c r="F185" s="341">
        <f t="shared" si="132"/>
        <v>625</v>
      </c>
      <c r="G185" s="186">
        <v>0.05</v>
      </c>
      <c r="H185" s="186">
        <v>0.02</v>
      </c>
      <c r="I185" s="186">
        <v>0.05</v>
      </c>
      <c r="J185" s="187">
        <v>0.122</v>
      </c>
      <c r="K185" s="186">
        <v>0.1</v>
      </c>
      <c r="L185" s="171">
        <f t="shared" si="133"/>
        <v>31.25</v>
      </c>
      <c r="M185" s="171">
        <f t="shared" si="134"/>
        <v>13.125</v>
      </c>
      <c r="N185" s="171">
        <f t="shared" si="135"/>
        <v>33.46875</v>
      </c>
      <c r="O185" s="171">
        <f t="shared" si="136"/>
        <v>85.746937500000001</v>
      </c>
      <c r="P185" s="171">
        <f t="shared" si="137"/>
        <v>78.859068750000006</v>
      </c>
      <c r="Q185" s="170">
        <f t="shared" si="138"/>
        <v>867.44975625000006</v>
      </c>
      <c r="R185" s="185"/>
      <c r="S185" s="185"/>
      <c r="T185" s="185">
        <v>0.05</v>
      </c>
      <c r="U185" s="184">
        <v>0.1</v>
      </c>
      <c r="V185" s="167">
        <f t="shared" si="139"/>
        <v>0</v>
      </c>
      <c r="W185" s="167">
        <f t="shared" si="140"/>
        <v>0</v>
      </c>
      <c r="X185" s="167">
        <f t="shared" si="141"/>
        <v>43.372487812500005</v>
      </c>
      <c r="Y185" s="167">
        <f t="shared" si="142"/>
        <v>0</v>
      </c>
      <c r="Z185" s="183">
        <f t="shared" si="143"/>
        <v>910.82224406250009</v>
      </c>
      <c r="AA185" s="182">
        <v>70</v>
      </c>
      <c r="AB185" s="181"/>
      <c r="AC185" s="180">
        <v>70</v>
      </c>
      <c r="AD185" s="193"/>
    </row>
    <row r="186" spans="1:30" ht="15.75">
      <c r="A186" s="349" t="s">
        <v>224</v>
      </c>
      <c r="B186" s="191"/>
      <c r="C186" s="350">
        <v>2</v>
      </c>
      <c r="D186" s="351" t="s">
        <v>202</v>
      </c>
      <c r="E186" s="352">
        <v>175</v>
      </c>
      <c r="F186" s="341">
        <f t="shared" si="132"/>
        <v>350</v>
      </c>
      <c r="G186" s="186">
        <v>0.05</v>
      </c>
      <c r="H186" s="186">
        <v>0.02</v>
      </c>
      <c r="I186" s="186">
        <v>0.05</v>
      </c>
      <c r="J186" s="187">
        <v>0.122</v>
      </c>
      <c r="K186" s="186">
        <v>0.1</v>
      </c>
      <c r="L186" s="171">
        <f t="shared" si="133"/>
        <v>17.5</v>
      </c>
      <c r="M186" s="171">
        <f t="shared" si="134"/>
        <v>7.3500000000000005</v>
      </c>
      <c r="N186" s="171">
        <f t="shared" si="135"/>
        <v>18.742500000000003</v>
      </c>
      <c r="O186" s="171">
        <f t="shared" si="136"/>
        <v>48.018285000000006</v>
      </c>
      <c r="P186" s="171">
        <f t="shared" si="137"/>
        <v>44.161078500000002</v>
      </c>
      <c r="Q186" s="170">
        <f t="shared" si="138"/>
        <v>485.77186349999999</v>
      </c>
      <c r="R186" s="185"/>
      <c r="S186" s="185"/>
      <c r="T186" s="185">
        <v>0.05</v>
      </c>
      <c r="U186" s="184">
        <v>0.1</v>
      </c>
      <c r="V186" s="167">
        <f t="shared" si="139"/>
        <v>0</v>
      </c>
      <c r="W186" s="167">
        <f t="shared" si="140"/>
        <v>0</v>
      </c>
      <c r="X186" s="167">
        <f t="shared" si="141"/>
        <v>24.288593175000003</v>
      </c>
      <c r="Y186" s="167">
        <f t="shared" si="142"/>
        <v>0</v>
      </c>
      <c r="Z186" s="183">
        <f t="shared" si="143"/>
        <v>510.06045667500001</v>
      </c>
      <c r="AA186" s="182">
        <v>70</v>
      </c>
      <c r="AB186" s="181"/>
      <c r="AC186" s="180">
        <v>70</v>
      </c>
      <c r="AD186" s="193"/>
    </row>
    <row r="187" spans="1:30" ht="15.75">
      <c r="A187" s="349" t="s">
        <v>225</v>
      </c>
      <c r="B187" s="191"/>
      <c r="C187" s="350">
        <v>2</v>
      </c>
      <c r="D187" s="351" t="s">
        <v>202</v>
      </c>
      <c r="E187" s="352">
        <v>2600</v>
      </c>
      <c r="F187" s="341">
        <f t="shared" si="132"/>
        <v>5200</v>
      </c>
      <c r="G187" s="186">
        <v>0.05</v>
      </c>
      <c r="H187" s="186">
        <v>0.02</v>
      </c>
      <c r="I187" s="186">
        <v>0.05</v>
      </c>
      <c r="J187" s="187">
        <v>0.122</v>
      </c>
      <c r="K187" s="186">
        <v>0.1</v>
      </c>
      <c r="L187" s="171">
        <f t="shared" si="133"/>
        <v>260</v>
      </c>
      <c r="M187" s="171">
        <f t="shared" si="134"/>
        <v>109.2</v>
      </c>
      <c r="N187" s="171">
        <f t="shared" si="135"/>
        <v>278.45999999999998</v>
      </c>
      <c r="O187" s="171">
        <f t="shared" si="136"/>
        <v>713.41451999999992</v>
      </c>
      <c r="P187" s="171">
        <f t="shared" si="137"/>
        <v>656.10745200000008</v>
      </c>
      <c r="Q187" s="170">
        <f t="shared" si="138"/>
        <v>7217.1819720000003</v>
      </c>
      <c r="R187" s="185"/>
      <c r="S187" s="185"/>
      <c r="T187" s="185">
        <v>0.05</v>
      </c>
      <c r="U187" s="184">
        <v>0.1</v>
      </c>
      <c r="V187" s="167">
        <f t="shared" si="139"/>
        <v>0</v>
      </c>
      <c r="W187" s="167">
        <f t="shared" si="140"/>
        <v>0</v>
      </c>
      <c r="X187" s="167">
        <f t="shared" si="141"/>
        <v>360.85909860000004</v>
      </c>
      <c r="Y187" s="167">
        <f t="shared" si="142"/>
        <v>0</v>
      </c>
      <c r="Z187" s="183">
        <f t="shared" si="143"/>
        <v>7578.0410706000002</v>
      </c>
      <c r="AA187" s="182">
        <v>70</v>
      </c>
      <c r="AB187" s="181"/>
      <c r="AC187" s="180">
        <v>70</v>
      </c>
      <c r="AD187" s="193"/>
    </row>
    <row r="188" spans="1:30" ht="15.75">
      <c r="A188" s="208"/>
      <c r="B188" s="191"/>
      <c r="C188" s="190">
        <v>0</v>
      </c>
      <c r="D188" s="207" t="s">
        <v>3</v>
      </c>
      <c r="E188" s="188"/>
      <c r="F188" s="341">
        <f t="shared" si="132"/>
        <v>0</v>
      </c>
      <c r="G188" s="186">
        <v>0.05</v>
      </c>
      <c r="H188" s="186">
        <v>0.02</v>
      </c>
      <c r="I188" s="186">
        <v>0.05</v>
      </c>
      <c r="J188" s="187">
        <v>0.122</v>
      </c>
      <c r="K188" s="186">
        <v>0.1</v>
      </c>
      <c r="L188" s="171">
        <f t="shared" si="133"/>
        <v>0</v>
      </c>
      <c r="M188" s="171">
        <f t="shared" si="134"/>
        <v>0</v>
      </c>
      <c r="N188" s="171">
        <f t="shared" si="135"/>
        <v>0</v>
      </c>
      <c r="O188" s="171">
        <f t="shared" si="136"/>
        <v>0</v>
      </c>
      <c r="P188" s="171">
        <f t="shared" si="137"/>
        <v>0</v>
      </c>
      <c r="Q188" s="170">
        <f t="shared" si="138"/>
        <v>0</v>
      </c>
      <c r="R188" s="185"/>
      <c r="S188" s="185"/>
      <c r="T188" s="185">
        <v>0.05</v>
      </c>
      <c r="U188" s="184">
        <v>0.1</v>
      </c>
      <c r="V188" s="167">
        <f t="shared" si="139"/>
        <v>0</v>
      </c>
      <c r="W188" s="167">
        <f t="shared" si="140"/>
        <v>0</v>
      </c>
      <c r="X188" s="167">
        <f t="shared" si="141"/>
        <v>0</v>
      </c>
      <c r="Y188" s="167">
        <f t="shared" si="142"/>
        <v>0</v>
      </c>
      <c r="Z188" s="183">
        <f t="shared" si="143"/>
        <v>0</v>
      </c>
      <c r="AA188" s="182">
        <v>70</v>
      </c>
      <c r="AB188" s="181"/>
      <c r="AC188" s="180">
        <v>70</v>
      </c>
      <c r="AD188" s="193"/>
    </row>
    <row r="189" spans="1:30" ht="15.75">
      <c r="A189" s="349" t="s">
        <v>226</v>
      </c>
      <c r="B189" s="191"/>
      <c r="C189" s="350">
        <v>1</v>
      </c>
      <c r="D189" s="351" t="s">
        <v>202</v>
      </c>
      <c r="E189" s="352">
        <v>275</v>
      </c>
      <c r="F189" s="341">
        <f t="shared" si="132"/>
        <v>275</v>
      </c>
      <c r="G189" s="186">
        <v>0.05</v>
      </c>
      <c r="H189" s="186">
        <v>0.02</v>
      </c>
      <c r="I189" s="186">
        <v>0.05</v>
      </c>
      <c r="J189" s="187">
        <v>0.122</v>
      </c>
      <c r="K189" s="186">
        <v>0.1</v>
      </c>
      <c r="L189" s="171">
        <f t="shared" si="133"/>
        <v>13.75</v>
      </c>
      <c r="M189" s="171">
        <f t="shared" si="134"/>
        <v>5.7750000000000004</v>
      </c>
      <c r="N189" s="171">
        <f t="shared" si="135"/>
        <v>14.72625</v>
      </c>
      <c r="O189" s="171">
        <f t="shared" si="136"/>
        <v>37.728652499999995</v>
      </c>
      <c r="P189" s="171">
        <f t="shared" si="137"/>
        <v>34.697990249999997</v>
      </c>
      <c r="Q189" s="170">
        <f t="shared" si="138"/>
        <v>381.67789274999996</v>
      </c>
      <c r="R189" s="185"/>
      <c r="S189" s="185"/>
      <c r="T189" s="185">
        <v>0.05</v>
      </c>
      <c r="U189" s="184">
        <v>0.1</v>
      </c>
      <c r="V189" s="167">
        <f t="shared" si="139"/>
        <v>0</v>
      </c>
      <c r="W189" s="167">
        <f t="shared" si="140"/>
        <v>0</v>
      </c>
      <c r="X189" s="167">
        <f t="shared" si="141"/>
        <v>19.083894637499998</v>
      </c>
      <c r="Y189" s="167">
        <f t="shared" si="142"/>
        <v>0</v>
      </c>
      <c r="Z189" s="183">
        <f t="shared" si="143"/>
        <v>400.76178738749996</v>
      </c>
      <c r="AA189" s="182">
        <v>70</v>
      </c>
      <c r="AB189" s="181"/>
      <c r="AC189" s="180">
        <v>70</v>
      </c>
      <c r="AD189" s="193"/>
    </row>
    <row r="190" spans="1:30" ht="15.75">
      <c r="A190" s="349" t="s">
        <v>227</v>
      </c>
      <c r="B190" s="191"/>
      <c r="C190" s="350">
        <v>1</v>
      </c>
      <c r="D190" s="351" t="s">
        <v>202</v>
      </c>
      <c r="E190" s="352">
        <v>250</v>
      </c>
      <c r="F190" s="341">
        <f t="shared" si="132"/>
        <v>250</v>
      </c>
      <c r="G190" s="186">
        <v>0.05</v>
      </c>
      <c r="H190" s="186">
        <v>0.02</v>
      </c>
      <c r="I190" s="186">
        <v>0.05</v>
      </c>
      <c r="J190" s="187">
        <v>0.122</v>
      </c>
      <c r="K190" s="186">
        <v>0.1</v>
      </c>
      <c r="L190" s="171">
        <f t="shared" si="133"/>
        <v>12.5</v>
      </c>
      <c r="M190" s="171">
        <f t="shared" si="134"/>
        <v>5.25</v>
      </c>
      <c r="N190" s="171">
        <f t="shared" si="135"/>
        <v>13.387500000000001</v>
      </c>
      <c r="O190" s="171">
        <f t="shared" si="136"/>
        <v>34.298774999999999</v>
      </c>
      <c r="P190" s="171">
        <f t="shared" si="137"/>
        <v>31.543627499999999</v>
      </c>
      <c r="Q190" s="170">
        <f t="shared" si="138"/>
        <v>346.97990249999998</v>
      </c>
      <c r="R190" s="185"/>
      <c r="S190" s="185"/>
      <c r="T190" s="185">
        <v>0.05</v>
      </c>
      <c r="U190" s="184">
        <v>0.1</v>
      </c>
      <c r="V190" s="167">
        <f t="shared" si="139"/>
        <v>0</v>
      </c>
      <c r="W190" s="167">
        <f t="shared" si="140"/>
        <v>0</v>
      </c>
      <c r="X190" s="167">
        <f t="shared" si="141"/>
        <v>17.348995124999998</v>
      </c>
      <c r="Y190" s="167">
        <f t="shared" si="142"/>
        <v>0</v>
      </c>
      <c r="Z190" s="183">
        <f t="shared" si="143"/>
        <v>364.32889762499997</v>
      </c>
      <c r="AA190" s="182">
        <v>70</v>
      </c>
      <c r="AB190" s="181"/>
      <c r="AC190" s="180">
        <v>70</v>
      </c>
      <c r="AD190" s="193"/>
    </row>
    <row r="191" spans="1:30" ht="15.75">
      <c r="A191" s="349" t="s">
        <v>228</v>
      </c>
      <c r="B191" s="191"/>
      <c r="C191" s="350">
        <v>2</v>
      </c>
      <c r="D191" s="351" t="s">
        <v>202</v>
      </c>
      <c r="E191" s="352">
        <v>200</v>
      </c>
      <c r="F191" s="341">
        <f t="shared" si="132"/>
        <v>400</v>
      </c>
      <c r="G191" s="186">
        <v>0.05</v>
      </c>
      <c r="H191" s="186">
        <v>0.02</v>
      </c>
      <c r="I191" s="186">
        <v>0.05</v>
      </c>
      <c r="J191" s="187">
        <v>0.122</v>
      </c>
      <c r="K191" s="186">
        <v>0.1</v>
      </c>
      <c r="L191" s="171">
        <f t="shared" si="133"/>
        <v>20</v>
      </c>
      <c r="M191" s="171">
        <f t="shared" si="134"/>
        <v>8.4</v>
      </c>
      <c r="N191" s="171">
        <f t="shared" si="135"/>
        <v>21.42</v>
      </c>
      <c r="O191" s="171">
        <f t="shared" si="136"/>
        <v>54.878039999999999</v>
      </c>
      <c r="P191" s="171">
        <f t="shared" si="137"/>
        <v>50.469804000000003</v>
      </c>
      <c r="Q191" s="170">
        <f t="shared" si="138"/>
        <v>555.16784400000006</v>
      </c>
      <c r="R191" s="185"/>
      <c r="S191" s="185"/>
      <c r="T191" s="185">
        <v>0.05</v>
      </c>
      <c r="U191" s="184">
        <v>0.1</v>
      </c>
      <c r="V191" s="167">
        <f t="shared" si="139"/>
        <v>0</v>
      </c>
      <c r="W191" s="167">
        <f t="shared" si="140"/>
        <v>0</v>
      </c>
      <c r="X191" s="167">
        <f t="shared" si="141"/>
        <v>27.758392200000003</v>
      </c>
      <c r="Y191" s="167">
        <f t="shared" si="142"/>
        <v>0</v>
      </c>
      <c r="Z191" s="183">
        <f t="shared" si="143"/>
        <v>582.92623620000006</v>
      </c>
      <c r="AA191" s="182">
        <v>70</v>
      </c>
      <c r="AB191" s="181"/>
      <c r="AC191" s="180">
        <v>70</v>
      </c>
      <c r="AD191" s="193"/>
    </row>
    <row r="192" spans="1:30" ht="15.75">
      <c r="A192" s="349" t="s">
        <v>229</v>
      </c>
      <c r="B192" s="191"/>
      <c r="C192" s="350">
        <v>1</v>
      </c>
      <c r="D192" s="351" t="s">
        <v>202</v>
      </c>
      <c r="E192" s="352">
        <v>3600</v>
      </c>
      <c r="F192" s="341">
        <f t="shared" si="132"/>
        <v>3600</v>
      </c>
      <c r="G192" s="186">
        <v>0.05</v>
      </c>
      <c r="H192" s="186">
        <v>0.02</v>
      </c>
      <c r="I192" s="186">
        <v>0.05</v>
      </c>
      <c r="J192" s="187">
        <v>0.122</v>
      </c>
      <c r="K192" s="186">
        <v>0.1</v>
      </c>
      <c r="L192" s="171">
        <f t="shared" si="133"/>
        <v>180</v>
      </c>
      <c r="M192" s="171">
        <f t="shared" si="134"/>
        <v>75.600000000000009</v>
      </c>
      <c r="N192" s="171">
        <f t="shared" si="135"/>
        <v>192.78</v>
      </c>
      <c r="O192" s="171">
        <f t="shared" si="136"/>
        <v>493.90235999999999</v>
      </c>
      <c r="P192" s="171">
        <f t="shared" si="137"/>
        <v>454.22823600000004</v>
      </c>
      <c r="Q192" s="170">
        <f t="shared" si="138"/>
        <v>4996.5105960000001</v>
      </c>
      <c r="R192" s="185"/>
      <c r="S192" s="185"/>
      <c r="T192" s="185">
        <v>0.05</v>
      </c>
      <c r="U192" s="184">
        <v>0.1</v>
      </c>
      <c r="V192" s="167">
        <f t="shared" si="139"/>
        <v>0</v>
      </c>
      <c r="W192" s="167">
        <f t="shared" si="140"/>
        <v>0</v>
      </c>
      <c r="X192" s="167">
        <f t="shared" si="141"/>
        <v>249.82552980000003</v>
      </c>
      <c r="Y192" s="167">
        <f t="shared" si="142"/>
        <v>0</v>
      </c>
      <c r="Z192" s="183">
        <f t="shared" si="143"/>
        <v>5246.3361258000004</v>
      </c>
      <c r="AA192" s="182">
        <v>70</v>
      </c>
      <c r="AB192" s="181"/>
      <c r="AC192" s="180">
        <v>70</v>
      </c>
      <c r="AD192" s="193"/>
    </row>
    <row r="193" spans="1:30" ht="15.75">
      <c r="A193" s="349" t="s">
        <v>230</v>
      </c>
      <c r="B193" s="191"/>
      <c r="C193" s="350">
        <v>4</v>
      </c>
      <c r="D193" s="351" t="s">
        <v>202</v>
      </c>
      <c r="E193" s="352">
        <v>2700</v>
      </c>
      <c r="F193" s="341">
        <f t="shared" si="132"/>
        <v>10800</v>
      </c>
      <c r="G193" s="186">
        <v>0.05</v>
      </c>
      <c r="H193" s="186">
        <v>0.02</v>
      </c>
      <c r="I193" s="186">
        <v>0.05</v>
      </c>
      <c r="J193" s="187">
        <v>0.122</v>
      </c>
      <c r="K193" s="186">
        <v>0.1</v>
      </c>
      <c r="L193" s="171">
        <f t="shared" si="133"/>
        <v>540</v>
      </c>
      <c r="M193" s="171">
        <f t="shared" si="134"/>
        <v>226.8</v>
      </c>
      <c r="N193" s="171">
        <f t="shared" si="135"/>
        <v>578.34</v>
      </c>
      <c r="O193" s="171">
        <f t="shared" si="136"/>
        <v>1481.7070799999999</v>
      </c>
      <c r="P193" s="171">
        <f t="shared" si="137"/>
        <v>1362.684708</v>
      </c>
      <c r="Q193" s="170">
        <f t="shared" si="138"/>
        <v>14989.531788</v>
      </c>
      <c r="R193" s="185"/>
      <c r="S193" s="185"/>
      <c r="T193" s="185">
        <v>0.05</v>
      </c>
      <c r="U193" s="184">
        <v>0.1</v>
      </c>
      <c r="V193" s="167">
        <f t="shared" si="139"/>
        <v>0</v>
      </c>
      <c r="W193" s="167">
        <f t="shared" si="140"/>
        <v>0</v>
      </c>
      <c r="X193" s="167">
        <f t="shared" si="141"/>
        <v>749.47658940000008</v>
      </c>
      <c r="Y193" s="167">
        <f t="shared" si="142"/>
        <v>0</v>
      </c>
      <c r="Z193" s="183">
        <f t="shared" si="143"/>
        <v>15739.0083774</v>
      </c>
      <c r="AA193" s="182">
        <v>70</v>
      </c>
      <c r="AB193" s="181"/>
      <c r="AC193" s="180">
        <v>70</v>
      </c>
      <c r="AD193" s="193"/>
    </row>
    <row r="194" spans="1:30" ht="15.75">
      <c r="A194" s="349" t="s">
        <v>231</v>
      </c>
      <c r="B194" s="191"/>
      <c r="C194" s="350">
        <v>200</v>
      </c>
      <c r="D194" s="351" t="s">
        <v>212</v>
      </c>
      <c r="E194" s="352">
        <v>8</v>
      </c>
      <c r="F194" s="341">
        <f t="shared" si="132"/>
        <v>1600</v>
      </c>
      <c r="G194" s="186">
        <v>0.05</v>
      </c>
      <c r="H194" s="186">
        <v>0.02</v>
      </c>
      <c r="I194" s="186">
        <v>0.05</v>
      </c>
      <c r="J194" s="187">
        <v>0.122</v>
      </c>
      <c r="K194" s="186">
        <v>0.1</v>
      </c>
      <c r="L194" s="171">
        <f t="shared" si="133"/>
        <v>80</v>
      </c>
      <c r="M194" s="171">
        <f t="shared" si="134"/>
        <v>33.6</v>
      </c>
      <c r="N194" s="171">
        <f t="shared" si="135"/>
        <v>85.68</v>
      </c>
      <c r="O194" s="171">
        <f t="shared" si="136"/>
        <v>219.51215999999999</v>
      </c>
      <c r="P194" s="171">
        <f t="shared" si="137"/>
        <v>201.87921600000001</v>
      </c>
      <c r="Q194" s="170">
        <f t="shared" si="138"/>
        <v>2220.6713760000002</v>
      </c>
      <c r="R194" s="185"/>
      <c r="S194" s="185"/>
      <c r="T194" s="185">
        <v>0.05</v>
      </c>
      <c r="U194" s="184">
        <v>0.1</v>
      </c>
      <c r="V194" s="167">
        <f t="shared" si="139"/>
        <v>0</v>
      </c>
      <c r="W194" s="167">
        <f t="shared" si="140"/>
        <v>0</v>
      </c>
      <c r="X194" s="167">
        <f t="shared" si="141"/>
        <v>111.03356880000001</v>
      </c>
      <c r="Y194" s="167">
        <f t="shared" si="142"/>
        <v>0</v>
      </c>
      <c r="Z194" s="183">
        <f t="shared" si="143"/>
        <v>2331.7049448000002</v>
      </c>
      <c r="AA194" s="182">
        <v>70</v>
      </c>
      <c r="AB194" s="181"/>
      <c r="AC194" s="180">
        <v>70</v>
      </c>
      <c r="AD194" s="193"/>
    </row>
    <row r="195" spans="1:30" ht="15.75">
      <c r="A195" s="349" t="s">
        <v>232</v>
      </c>
      <c r="B195" s="191"/>
      <c r="C195" s="350">
        <v>4</v>
      </c>
      <c r="D195" s="351" t="s">
        <v>202</v>
      </c>
      <c r="E195" s="352">
        <v>1950</v>
      </c>
      <c r="F195" s="341">
        <f t="shared" si="132"/>
        <v>7800</v>
      </c>
      <c r="G195" s="186">
        <v>0.05</v>
      </c>
      <c r="H195" s="186">
        <v>0.02</v>
      </c>
      <c r="I195" s="186">
        <v>0.05</v>
      </c>
      <c r="J195" s="187">
        <v>0.122</v>
      </c>
      <c r="K195" s="186">
        <v>0.1</v>
      </c>
      <c r="L195" s="171">
        <f t="shared" si="133"/>
        <v>390</v>
      </c>
      <c r="M195" s="171">
        <f t="shared" si="134"/>
        <v>163.80000000000001</v>
      </c>
      <c r="N195" s="171">
        <f t="shared" si="135"/>
        <v>417.69</v>
      </c>
      <c r="O195" s="171">
        <f t="shared" si="136"/>
        <v>1070.1217799999999</v>
      </c>
      <c r="P195" s="171">
        <f t="shared" si="137"/>
        <v>984.16117799999995</v>
      </c>
      <c r="Q195" s="170">
        <f t="shared" si="138"/>
        <v>10825.772958</v>
      </c>
      <c r="R195" s="185"/>
      <c r="S195" s="185"/>
      <c r="T195" s="185">
        <v>0.05</v>
      </c>
      <c r="U195" s="184">
        <v>0.1</v>
      </c>
      <c r="V195" s="167">
        <f t="shared" si="139"/>
        <v>0</v>
      </c>
      <c r="W195" s="167">
        <f t="shared" si="140"/>
        <v>0</v>
      </c>
      <c r="X195" s="167">
        <f t="shared" si="141"/>
        <v>541.2886479</v>
      </c>
      <c r="Y195" s="167">
        <f t="shared" si="142"/>
        <v>0</v>
      </c>
      <c r="Z195" s="183">
        <f t="shared" si="143"/>
        <v>11367.0616059</v>
      </c>
      <c r="AA195" s="182">
        <v>70</v>
      </c>
      <c r="AB195" s="181"/>
      <c r="AC195" s="180">
        <v>70</v>
      </c>
      <c r="AD195" s="193"/>
    </row>
    <row r="196" spans="1:30" ht="15.75">
      <c r="A196" s="208"/>
      <c r="B196" s="191"/>
      <c r="C196" s="190">
        <v>0</v>
      </c>
      <c r="D196" s="207" t="s">
        <v>3</v>
      </c>
      <c r="E196" s="188"/>
      <c r="F196" s="341">
        <f t="shared" si="108"/>
        <v>0</v>
      </c>
      <c r="G196" s="186">
        <v>0.05</v>
      </c>
      <c r="H196" s="186">
        <v>0.02</v>
      </c>
      <c r="I196" s="186">
        <v>0.05</v>
      </c>
      <c r="J196" s="187">
        <v>0.122</v>
      </c>
      <c r="K196" s="186">
        <v>0.1</v>
      </c>
      <c r="L196" s="171">
        <f t="shared" si="109"/>
        <v>0</v>
      </c>
      <c r="M196" s="171">
        <f t="shared" si="110"/>
        <v>0</v>
      </c>
      <c r="N196" s="171">
        <f t="shared" si="111"/>
        <v>0</v>
      </c>
      <c r="O196" s="171">
        <f t="shared" si="112"/>
        <v>0</v>
      </c>
      <c r="P196" s="171">
        <f t="shared" si="113"/>
        <v>0</v>
      </c>
      <c r="Q196" s="170">
        <f t="shared" si="114"/>
        <v>0</v>
      </c>
      <c r="R196" s="185"/>
      <c r="S196" s="185"/>
      <c r="T196" s="185">
        <v>0.05</v>
      </c>
      <c r="U196" s="184">
        <v>0.1</v>
      </c>
      <c r="V196" s="167">
        <f t="shared" si="115"/>
        <v>0</v>
      </c>
      <c r="W196" s="167">
        <f t="shared" si="116"/>
        <v>0</v>
      </c>
      <c r="X196" s="167">
        <f t="shared" si="117"/>
        <v>0</v>
      </c>
      <c r="Y196" s="167">
        <f t="shared" si="118"/>
        <v>0</v>
      </c>
      <c r="Z196" s="183">
        <f t="shared" si="119"/>
        <v>0</v>
      </c>
      <c r="AA196" s="182">
        <v>70</v>
      </c>
      <c r="AB196" s="181"/>
      <c r="AC196" s="180">
        <v>70</v>
      </c>
      <c r="AD196" s="193"/>
    </row>
    <row r="197" spans="1:30" ht="18">
      <c r="A197" s="206" t="s">
        <v>11</v>
      </c>
      <c r="B197" s="205"/>
      <c r="C197" s="204"/>
      <c r="D197" s="203"/>
      <c r="E197" s="202"/>
      <c r="F197" s="200"/>
      <c r="G197" s="200"/>
      <c r="H197" s="200"/>
      <c r="I197" s="200"/>
      <c r="J197" s="201"/>
      <c r="K197" s="200"/>
      <c r="L197" s="200"/>
      <c r="M197" s="200"/>
      <c r="N197" s="200"/>
      <c r="O197" s="200"/>
      <c r="P197" s="200"/>
      <c r="Q197" s="200"/>
      <c r="R197" s="199"/>
      <c r="S197" s="199"/>
      <c r="T197" s="199"/>
      <c r="U197" s="197"/>
      <c r="V197" s="197"/>
      <c r="W197" s="197"/>
      <c r="X197" s="197"/>
      <c r="Y197" s="197"/>
      <c r="Z197" s="198"/>
      <c r="AA197" s="197"/>
      <c r="AB197" s="196"/>
      <c r="AC197" s="195"/>
      <c r="AD197" s="194"/>
    </row>
    <row r="198" spans="1:30" ht="15.75">
      <c r="A198" s="192" t="s">
        <v>10</v>
      </c>
      <c r="B198" s="191"/>
      <c r="C198" s="190">
        <v>0</v>
      </c>
      <c r="D198" s="189" t="s">
        <v>5</v>
      </c>
      <c r="E198" s="188">
        <v>20000</v>
      </c>
      <c r="F198" s="341">
        <f t="shared" ref="F198:F206" si="144">E198*C198</f>
        <v>0</v>
      </c>
      <c r="G198" s="186">
        <v>0.05</v>
      </c>
      <c r="H198" s="186">
        <v>0.02</v>
      </c>
      <c r="I198" s="186">
        <v>0.05</v>
      </c>
      <c r="J198" s="187">
        <v>0.122</v>
      </c>
      <c r="K198" s="186">
        <v>0.1</v>
      </c>
      <c r="L198" s="171">
        <f t="shared" ref="L198:L206" si="145">F198*G198</f>
        <v>0</v>
      </c>
      <c r="M198" s="171">
        <f t="shared" ref="M198:M206" si="146">(F198+L198)*H198</f>
        <v>0</v>
      </c>
      <c r="N198" s="171">
        <f t="shared" ref="N198:N206" si="147">(F198+L198+M198)*I198</f>
        <v>0</v>
      </c>
      <c r="O198" s="171">
        <f t="shared" ref="O198:O206" si="148">(F198+L198+M198+N198)*J198</f>
        <v>0</v>
      </c>
      <c r="P198" s="171">
        <f t="shared" ref="P198:P206" si="149">(F198+L198+M198+N198+O198)*K198</f>
        <v>0</v>
      </c>
      <c r="Q198" s="170">
        <f t="shared" ref="Q198:Q206" si="150">F198+SUM(L198:P198)</f>
        <v>0</v>
      </c>
      <c r="R198" s="185"/>
      <c r="S198" s="185"/>
      <c r="T198" s="185">
        <v>0.05</v>
      </c>
      <c r="U198" s="184">
        <v>0.1</v>
      </c>
      <c r="V198" s="167">
        <f t="shared" ref="V198:V206" si="151">Q198*R198</f>
        <v>0</v>
      </c>
      <c r="W198" s="167">
        <f t="shared" ref="W198:W206" si="152">Q198*S198</f>
        <v>0</v>
      </c>
      <c r="X198" s="167">
        <f t="shared" ref="X198:X206" si="153">Q198*T198</f>
        <v>0</v>
      </c>
      <c r="Y198" s="167">
        <f t="shared" ref="Y198:Y206" si="154">U198*(V198+W198)</f>
        <v>0</v>
      </c>
      <c r="Z198" s="183">
        <f t="shared" ref="Z198:Z206" si="155">Q198+SUM(V198:Y198)</f>
        <v>0</v>
      </c>
      <c r="AA198" s="182">
        <v>35</v>
      </c>
      <c r="AB198" s="181"/>
      <c r="AC198" s="180">
        <v>35</v>
      </c>
      <c r="AD198" s="193"/>
    </row>
    <row r="199" spans="1:30" ht="30">
      <c r="A199" s="192" t="s">
        <v>9</v>
      </c>
      <c r="B199" s="191"/>
      <c r="C199" s="190">
        <v>0</v>
      </c>
      <c r="D199" s="189" t="s">
        <v>5</v>
      </c>
      <c r="E199" s="188">
        <v>52250</v>
      </c>
      <c r="F199" s="341">
        <f t="shared" si="144"/>
        <v>0</v>
      </c>
      <c r="G199" s="186">
        <v>0.05</v>
      </c>
      <c r="H199" s="186">
        <v>0.02</v>
      </c>
      <c r="I199" s="186">
        <v>0.05</v>
      </c>
      <c r="J199" s="187">
        <v>0.122</v>
      </c>
      <c r="K199" s="186">
        <v>0.1</v>
      </c>
      <c r="L199" s="171">
        <f t="shared" si="145"/>
        <v>0</v>
      </c>
      <c r="M199" s="171">
        <f t="shared" si="146"/>
        <v>0</v>
      </c>
      <c r="N199" s="171">
        <f t="shared" si="147"/>
        <v>0</v>
      </c>
      <c r="O199" s="171">
        <f t="shared" si="148"/>
        <v>0</v>
      </c>
      <c r="P199" s="171">
        <f t="shared" si="149"/>
        <v>0</v>
      </c>
      <c r="Q199" s="170">
        <f t="shared" si="150"/>
        <v>0</v>
      </c>
      <c r="R199" s="185"/>
      <c r="S199" s="185"/>
      <c r="T199" s="185">
        <v>0.05</v>
      </c>
      <c r="U199" s="184">
        <v>0.1</v>
      </c>
      <c r="V199" s="167">
        <f t="shared" si="151"/>
        <v>0</v>
      </c>
      <c r="W199" s="167">
        <f t="shared" si="152"/>
        <v>0</v>
      </c>
      <c r="X199" s="167">
        <f t="shared" si="153"/>
        <v>0</v>
      </c>
      <c r="Y199" s="167">
        <f t="shared" si="154"/>
        <v>0</v>
      </c>
      <c r="Z199" s="183">
        <f t="shared" si="155"/>
        <v>0</v>
      </c>
      <c r="AA199" s="182">
        <v>75</v>
      </c>
      <c r="AB199" s="181"/>
      <c r="AC199" s="180">
        <v>75</v>
      </c>
      <c r="AD199" s="193"/>
    </row>
    <row r="200" spans="1:30" ht="30">
      <c r="A200" s="192" t="s">
        <v>8</v>
      </c>
      <c r="B200" s="191"/>
      <c r="C200" s="190">
        <v>2</v>
      </c>
      <c r="D200" s="189" t="s">
        <v>5</v>
      </c>
      <c r="E200" s="188">
        <v>17500</v>
      </c>
      <c r="F200" s="341">
        <f t="shared" si="144"/>
        <v>35000</v>
      </c>
      <c r="G200" s="186">
        <v>0.05</v>
      </c>
      <c r="H200" s="186">
        <v>0.02</v>
      </c>
      <c r="I200" s="186">
        <v>0.05</v>
      </c>
      <c r="J200" s="187">
        <v>0.122</v>
      </c>
      <c r="K200" s="186">
        <v>0.1</v>
      </c>
      <c r="L200" s="171">
        <f t="shared" si="145"/>
        <v>1750</v>
      </c>
      <c r="M200" s="171">
        <f t="shared" si="146"/>
        <v>735</v>
      </c>
      <c r="N200" s="171">
        <f t="shared" si="147"/>
        <v>1874.25</v>
      </c>
      <c r="O200" s="171">
        <f t="shared" si="148"/>
        <v>4801.8284999999996</v>
      </c>
      <c r="P200" s="171">
        <f t="shared" si="149"/>
        <v>4416.1078500000003</v>
      </c>
      <c r="Q200" s="170">
        <f t="shared" si="150"/>
        <v>48577.186350000004</v>
      </c>
      <c r="R200" s="185"/>
      <c r="S200" s="185"/>
      <c r="T200" s="185">
        <v>0.05</v>
      </c>
      <c r="U200" s="184">
        <v>0.1</v>
      </c>
      <c r="V200" s="167">
        <f t="shared" si="151"/>
        <v>0</v>
      </c>
      <c r="W200" s="167">
        <f t="shared" si="152"/>
        <v>0</v>
      </c>
      <c r="X200" s="167">
        <f t="shared" si="153"/>
        <v>2428.8593175000001</v>
      </c>
      <c r="Y200" s="167">
        <f t="shared" si="154"/>
        <v>0</v>
      </c>
      <c r="Z200" s="183">
        <f t="shared" si="155"/>
        <v>51006.045667500002</v>
      </c>
      <c r="AA200" s="182">
        <v>25</v>
      </c>
      <c r="AB200" s="181"/>
      <c r="AC200" s="180">
        <v>25</v>
      </c>
      <c r="AD200" s="193"/>
    </row>
    <row r="201" spans="1:30" ht="15.75">
      <c r="A201" s="192" t="s">
        <v>7</v>
      </c>
      <c r="B201" s="191"/>
      <c r="C201" s="190">
        <v>0</v>
      </c>
      <c r="D201" s="189" t="s">
        <v>5</v>
      </c>
      <c r="E201" s="188">
        <v>120000</v>
      </c>
      <c r="F201" s="341">
        <f t="shared" si="144"/>
        <v>0</v>
      </c>
      <c r="G201" s="186">
        <v>0.05</v>
      </c>
      <c r="H201" s="186">
        <v>0.02</v>
      </c>
      <c r="I201" s="186">
        <v>0.05</v>
      </c>
      <c r="J201" s="187">
        <v>0.122</v>
      </c>
      <c r="K201" s="186">
        <v>0.1</v>
      </c>
      <c r="L201" s="171">
        <f t="shared" si="145"/>
        <v>0</v>
      </c>
      <c r="M201" s="171">
        <f t="shared" si="146"/>
        <v>0</v>
      </c>
      <c r="N201" s="171">
        <f t="shared" si="147"/>
        <v>0</v>
      </c>
      <c r="O201" s="171">
        <f t="shared" si="148"/>
        <v>0</v>
      </c>
      <c r="P201" s="171">
        <f t="shared" si="149"/>
        <v>0</v>
      </c>
      <c r="Q201" s="170">
        <f t="shared" si="150"/>
        <v>0</v>
      </c>
      <c r="R201" s="185"/>
      <c r="S201" s="185"/>
      <c r="T201" s="185">
        <v>0.05</v>
      </c>
      <c r="U201" s="184">
        <v>0.1</v>
      </c>
      <c r="V201" s="167">
        <f t="shared" si="151"/>
        <v>0</v>
      </c>
      <c r="W201" s="167">
        <f t="shared" si="152"/>
        <v>0</v>
      </c>
      <c r="X201" s="167">
        <f t="shared" si="153"/>
        <v>0</v>
      </c>
      <c r="Y201" s="167">
        <f t="shared" si="154"/>
        <v>0</v>
      </c>
      <c r="Z201" s="183">
        <f t="shared" si="155"/>
        <v>0</v>
      </c>
      <c r="AA201" s="182">
        <v>25</v>
      </c>
      <c r="AB201" s="181"/>
      <c r="AC201" s="180">
        <v>25</v>
      </c>
      <c r="AD201" s="193"/>
    </row>
    <row r="202" spans="1:30" ht="15.75">
      <c r="A202" s="192" t="s">
        <v>6</v>
      </c>
      <c r="B202" s="191"/>
      <c r="C202" s="190">
        <v>0</v>
      </c>
      <c r="D202" s="189" t="s">
        <v>5</v>
      </c>
      <c r="E202" s="188">
        <v>18000</v>
      </c>
      <c r="F202" s="341">
        <f t="shared" si="144"/>
        <v>0</v>
      </c>
      <c r="G202" s="186">
        <v>0.05</v>
      </c>
      <c r="H202" s="186">
        <v>0.02</v>
      </c>
      <c r="I202" s="186">
        <v>0.05</v>
      </c>
      <c r="J202" s="187">
        <v>0.122</v>
      </c>
      <c r="K202" s="186">
        <v>0.1</v>
      </c>
      <c r="L202" s="171">
        <f t="shared" si="145"/>
        <v>0</v>
      </c>
      <c r="M202" s="171">
        <f t="shared" si="146"/>
        <v>0</v>
      </c>
      <c r="N202" s="171">
        <f t="shared" si="147"/>
        <v>0</v>
      </c>
      <c r="O202" s="171">
        <f t="shared" si="148"/>
        <v>0</v>
      </c>
      <c r="P202" s="171">
        <f t="shared" si="149"/>
        <v>0</v>
      </c>
      <c r="Q202" s="170">
        <f t="shared" si="150"/>
        <v>0</v>
      </c>
      <c r="R202" s="185"/>
      <c r="S202" s="185"/>
      <c r="T202" s="185">
        <v>0.05</v>
      </c>
      <c r="U202" s="184">
        <v>0.1</v>
      </c>
      <c r="V202" s="167">
        <f t="shared" si="151"/>
        <v>0</v>
      </c>
      <c r="W202" s="167">
        <f t="shared" si="152"/>
        <v>0</v>
      </c>
      <c r="X202" s="167">
        <f t="shared" si="153"/>
        <v>0</v>
      </c>
      <c r="Y202" s="167">
        <f t="shared" si="154"/>
        <v>0</v>
      </c>
      <c r="Z202" s="183">
        <f t="shared" si="155"/>
        <v>0</v>
      </c>
      <c r="AA202" s="182">
        <v>25</v>
      </c>
      <c r="AB202" s="181"/>
      <c r="AC202" s="180">
        <v>25</v>
      </c>
      <c r="AD202" s="162"/>
    </row>
    <row r="203" spans="1:30" ht="15.75">
      <c r="A203" s="179" t="s">
        <v>197</v>
      </c>
      <c r="B203" s="191"/>
      <c r="C203" s="190">
        <v>1</v>
      </c>
      <c r="D203" s="189" t="s">
        <v>5</v>
      </c>
      <c r="E203" s="188">
        <v>7500</v>
      </c>
      <c r="F203" s="341">
        <f t="shared" si="144"/>
        <v>7500</v>
      </c>
      <c r="G203" s="186">
        <v>0.05</v>
      </c>
      <c r="H203" s="186">
        <v>0.02</v>
      </c>
      <c r="I203" s="186">
        <v>0.05</v>
      </c>
      <c r="J203" s="187">
        <v>0.122</v>
      </c>
      <c r="K203" s="186">
        <v>0.1</v>
      </c>
      <c r="L203" s="171">
        <f t="shared" ref="L203:L205" si="156">F203*G203</f>
        <v>375</v>
      </c>
      <c r="M203" s="171">
        <f t="shared" ref="M203:M205" si="157">(F203+L203)*H203</f>
        <v>157.5</v>
      </c>
      <c r="N203" s="171">
        <f t="shared" ref="N203:N205" si="158">(F203+L203+M203)*I203</f>
        <v>401.625</v>
      </c>
      <c r="O203" s="171">
        <f t="shared" ref="O203:O205" si="159">(F203+L203+M203+N203)*J203</f>
        <v>1028.96325</v>
      </c>
      <c r="P203" s="171">
        <f t="shared" ref="P203:P205" si="160">(F203+L203+M203+N203+O203)*K203</f>
        <v>946.30882500000007</v>
      </c>
      <c r="Q203" s="170">
        <f t="shared" ref="Q203:Q205" si="161">F203+SUM(L203:P203)</f>
        <v>10409.397075000001</v>
      </c>
      <c r="R203" s="185"/>
      <c r="S203" s="185"/>
      <c r="T203" s="185">
        <v>0.05</v>
      </c>
      <c r="U203" s="184">
        <v>0.1</v>
      </c>
      <c r="V203" s="167">
        <f t="shared" ref="V203:V205" si="162">Q203*R203</f>
        <v>0</v>
      </c>
      <c r="W203" s="167">
        <f t="shared" ref="W203:W205" si="163">Q203*S203</f>
        <v>0</v>
      </c>
      <c r="X203" s="167">
        <f t="shared" ref="X203:X205" si="164">Q203*T203</f>
        <v>520.46985375000008</v>
      </c>
      <c r="Y203" s="167">
        <f t="shared" ref="Y203:Y205" si="165">U203*(V203+W203)</f>
        <v>0</v>
      </c>
      <c r="Z203" s="183">
        <f t="shared" ref="Z203:Z205" si="166">Q203+SUM(V203:Y203)</f>
        <v>10929.866928750002</v>
      </c>
      <c r="AA203" s="182">
        <v>25</v>
      </c>
      <c r="AB203" s="181"/>
      <c r="AC203" s="180">
        <v>25</v>
      </c>
      <c r="AD203" s="162"/>
    </row>
    <row r="204" spans="1:30" ht="15.75">
      <c r="A204" s="179" t="s">
        <v>198</v>
      </c>
      <c r="B204" s="191"/>
      <c r="C204" s="190">
        <v>1</v>
      </c>
      <c r="D204" s="189" t="s">
        <v>5</v>
      </c>
      <c r="E204" s="188">
        <v>2300</v>
      </c>
      <c r="F204" s="341">
        <f t="shared" si="144"/>
        <v>2300</v>
      </c>
      <c r="G204" s="186">
        <v>0.05</v>
      </c>
      <c r="H204" s="186">
        <v>0.02</v>
      </c>
      <c r="I204" s="186">
        <v>0.05</v>
      </c>
      <c r="J204" s="187">
        <v>0.122</v>
      </c>
      <c r="K204" s="186">
        <v>0.1</v>
      </c>
      <c r="L204" s="171">
        <f t="shared" si="156"/>
        <v>115</v>
      </c>
      <c r="M204" s="171">
        <f t="shared" si="157"/>
        <v>48.300000000000004</v>
      </c>
      <c r="N204" s="171">
        <f t="shared" si="158"/>
        <v>123.16500000000002</v>
      </c>
      <c r="O204" s="171">
        <f t="shared" si="159"/>
        <v>315.54873000000003</v>
      </c>
      <c r="P204" s="171">
        <f t="shared" si="160"/>
        <v>290.20137300000005</v>
      </c>
      <c r="Q204" s="170">
        <f t="shared" si="161"/>
        <v>3192.2151030000005</v>
      </c>
      <c r="R204" s="185"/>
      <c r="S204" s="185"/>
      <c r="T204" s="185">
        <v>0.05</v>
      </c>
      <c r="U204" s="184">
        <v>0.1</v>
      </c>
      <c r="V204" s="167">
        <f t="shared" si="162"/>
        <v>0</v>
      </c>
      <c r="W204" s="167">
        <f t="shared" si="163"/>
        <v>0</v>
      </c>
      <c r="X204" s="167">
        <f t="shared" si="164"/>
        <v>159.61075515000005</v>
      </c>
      <c r="Y204" s="167">
        <f t="shared" si="165"/>
        <v>0</v>
      </c>
      <c r="Z204" s="183">
        <f t="shared" si="166"/>
        <v>3351.8258581500004</v>
      </c>
      <c r="AA204" s="182">
        <v>25</v>
      </c>
      <c r="AB204" s="181"/>
      <c r="AC204" s="180">
        <v>25</v>
      </c>
      <c r="AD204" s="162"/>
    </row>
    <row r="205" spans="1:30" ht="15.75">
      <c r="A205" s="179" t="s">
        <v>199</v>
      </c>
      <c r="B205" s="178"/>
      <c r="C205" s="177">
        <v>2</v>
      </c>
      <c r="D205" s="176" t="s">
        <v>5</v>
      </c>
      <c r="E205" s="175">
        <v>17000</v>
      </c>
      <c r="F205" s="341">
        <f t="shared" si="144"/>
        <v>34000</v>
      </c>
      <c r="G205" s="186">
        <v>0.05</v>
      </c>
      <c r="H205" s="186">
        <v>0.02</v>
      </c>
      <c r="I205" s="186">
        <v>0.05</v>
      </c>
      <c r="J205" s="187">
        <v>0.122</v>
      </c>
      <c r="K205" s="186">
        <v>0.1</v>
      </c>
      <c r="L205" s="171">
        <f t="shared" si="156"/>
        <v>1700</v>
      </c>
      <c r="M205" s="171">
        <f t="shared" si="157"/>
        <v>714</v>
      </c>
      <c r="N205" s="171">
        <f t="shared" si="158"/>
        <v>1820.7</v>
      </c>
      <c r="O205" s="171">
        <f t="shared" si="159"/>
        <v>4664.6333999999997</v>
      </c>
      <c r="P205" s="171">
        <f t="shared" si="160"/>
        <v>4289.9333399999996</v>
      </c>
      <c r="Q205" s="170">
        <f t="shared" si="161"/>
        <v>47189.266739999999</v>
      </c>
      <c r="R205" s="185"/>
      <c r="S205" s="185"/>
      <c r="T205" s="185">
        <v>0.05</v>
      </c>
      <c r="U205" s="184">
        <v>0.1</v>
      </c>
      <c r="V205" s="167">
        <f t="shared" si="162"/>
        <v>0</v>
      </c>
      <c r="W205" s="167">
        <f t="shared" si="163"/>
        <v>0</v>
      </c>
      <c r="X205" s="167">
        <f t="shared" si="164"/>
        <v>2359.4633370000001</v>
      </c>
      <c r="Y205" s="167">
        <f t="shared" si="165"/>
        <v>0</v>
      </c>
      <c r="Z205" s="183">
        <f t="shared" si="166"/>
        <v>49548.730077</v>
      </c>
      <c r="AA205" s="182">
        <v>25</v>
      </c>
      <c r="AB205" s="181"/>
      <c r="AC205" s="180">
        <v>25</v>
      </c>
      <c r="AD205" s="162"/>
    </row>
    <row r="206" spans="1:30" ht="30.75" thickBot="1">
      <c r="A206" s="179" t="s">
        <v>4</v>
      </c>
      <c r="B206" s="178"/>
      <c r="C206" s="177">
        <v>0</v>
      </c>
      <c r="D206" s="176" t="s">
        <v>3</v>
      </c>
      <c r="E206" s="175">
        <v>400</v>
      </c>
      <c r="F206" s="174">
        <f t="shared" si="144"/>
        <v>0</v>
      </c>
      <c r="G206" s="172">
        <v>0.05</v>
      </c>
      <c r="H206" s="172">
        <v>0.02</v>
      </c>
      <c r="I206" s="172">
        <v>0.05</v>
      </c>
      <c r="J206" s="173">
        <v>0.122</v>
      </c>
      <c r="K206" s="172">
        <v>0.1</v>
      </c>
      <c r="L206" s="171">
        <f t="shared" si="145"/>
        <v>0</v>
      </c>
      <c r="M206" s="171">
        <f t="shared" si="146"/>
        <v>0</v>
      </c>
      <c r="N206" s="171">
        <f t="shared" si="147"/>
        <v>0</v>
      </c>
      <c r="O206" s="171">
        <f t="shared" si="148"/>
        <v>0</v>
      </c>
      <c r="P206" s="171">
        <f t="shared" si="149"/>
        <v>0</v>
      </c>
      <c r="Q206" s="170">
        <f t="shared" si="150"/>
        <v>0</v>
      </c>
      <c r="R206" s="169"/>
      <c r="S206" s="169"/>
      <c r="T206" s="169">
        <v>0.05</v>
      </c>
      <c r="U206" s="168">
        <v>0.1</v>
      </c>
      <c r="V206" s="167">
        <f t="shared" si="151"/>
        <v>0</v>
      </c>
      <c r="W206" s="167">
        <f t="shared" si="152"/>
        <v>0</v>
      </c>
      <c r="X206" s="167">
        <f t="shared" si="153"/>
        <v>0</v>
      </c>
      <c r="Y206" s="167">
        <f t="shared" si="154"/>
        <v>0</v>
      </c>
      <c r="Z206" s="166">
        <f t="shared" si="155"/>
        <v>0</v>
      </c>
      <c r="AA206" s="165">
        <v>25</v>
      </c>
      <c r="AB206" s="164"/>
      <c r="AC206" s="163">
        <v>25</v>
      </c>
      <c r="AD206" s="162"/>
    </row>
    <row r="207" spans="1:30" ht="18.75" thickBot="1">
      <c r="A207" s="161" t="s">
        <v>2</v>
      </c>
      <c r="B207" s="160"/>
      <c r="C207" s="159"/>
      <c r="D207" s="158"/>
      <c r="E207" s="157"/>
      <c r="F207" s="156">
        <f>SUM(F7:F206)</f>
        <v>761940</v>
      </c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6">
        <f>SUM(Q7:Q206)</f>
        <v>1057511.4676434004</v>
      </c>
      <c r="R207" s="153"/>
      <c r="S207" s="153"/>
      <c r="T207" s="153"/>
      <c r="U207" s="153"/>
      <c r="V207" s="155"/>
      <c r="W207" s="154" t="s">
        <v>0</v>
      </c>
      <c r="X207" s="153">
        <f>SUM(X7:X206)</f>
        <v>52875.573382169991</v>
      </c>
      <c r="Y207" s="152"/>
      <c r="Z207" s="151">
        <f>SUM(Z7:Z206)</f>
        <v>1110387.0410255699</v>
      </c>
      <c r="AA207" s="132"/>
      <c r="AB207" s="108"/>
      <c r="AC207" s="150">
        <v>64.352517985611513</v>
      </c>
      <c r="AD207" s="130"/>
    </row>
    <row r="208" spans="1:30" ht="15.75">
      <c r="A208" s="149"/>
      <c r="B208" s="148"/>
      <c r="C208" s="147"/>
      <c r="D208" s="146"/>
      <c r="E208" s="145"/>
      <c r="G208" s="144"/>
      <c r="H208" s="144"/>
      <c r="I208" s="144"/>
      <c r="J208" s="144"/>
      <c r="K208" s="143"/>
      <c r="L208" s="142"/>
      <c r="M208" s="142"/>
      <c r="N208" s="142"/>
      <c r="O208" s="142"/>
      <c r="P208" s="142"/>
      <c r="Q208" s="141"/>
      <c r="R208" s="140"/>
      <c r="S208" s="139"/>
      <c r="T208" s="138" t="s">
        <v>1</v>
      </c>
      <c r="U208" s="137">
        <f>SUM(V7:V206)+SUM(Y7:Y206)</f>
        <v>0</v>
      </c>
      <c r="V208" s="136"/>
      <c r="W208" s="134"/>
      <c r="X208" s="135"/>
      <c r="Y208" s="134"/>
      <c r="Z208" s="133"/>
      <c r="AA208" s="132"/>
      <c r="AB208" s="108"/>
      <c r="AC208" s="131"/>
      <c r="AD208" s="130"/>
    </row>
    <row r="209" spans="1:30" ht="15.75">
      <c r="A209" s="122"/>
      <c r="B209" s="121"/>
      <c r="C209" s="120"/>
      <c r="D209" s="119"/>
      <c r="E209" s="118"/>
      <c r="G209" s="117"/>
      <c r="H209" s="117"/>
      <c r="I209" s="117"/>
      <c r="J209" s="117"/>
      <c r="K209" s="129"/>
      <c r="L209" s="128"/>
      <c r="M209" s="128"/>
      <c r="N209" s="128"/>
      <c r="O209" s="128"/>
      <c r="P209" s="128"/>
      <c r="Q209" s="127"/>
      <c r="R209" s="126"/>
      <c r="S209" s="125"/>
      <c r="T209" s="124" t="s">
        <v>0</v>
      </c>
      <c r="U209" s="123">
        <f>X207</f>
        <v>52875.573382169991</v>
      </c>
      <c r="V209" s="111"/>
      <c r="W209" s="111"/>
      <c r="X209" s="111"/>
      <c r="Y209" s="111"/>
      <c r="Z209" s="110"/>
      <c r="AA209" s="109"/>
      <c r="AB209" s="108"/>
      <c r="AC209" s="107"/>
      <c r="AD209" s="106"/>
    </row>
    <row r="210" spans="1:30" ht="18">
      <c r="A210" s="122"/>
      <c r="B210" s="121"/>
      <c r="C210" s="120"/>
      <c r="D210" s="119"/>
      <c r="E210" s="118"/>
      <c r="G210" s="117"/>
      <c r="H210" s="117"/>
      <c r="I210" s="117"/>
      <c r="J210" s="117"/>
      <c r="K210" s="117"/>
      <c r="L210" s="116"/>
      <c r="M210" s="116"/>
      <c r="N210" s="116"/>
      <c r="O210" s="116"/>
      <c r="P210" s="116"/>
      <c r="R210" s="115"/>
      <c r="S210" s="114"/>
      <c r="T210" s="113"/>
      <c r="U210" s="112"/>
      <c r="V210" s="111"/>
      <c r="W210" s="111"/>
      <c r="X210" s="111"/>
      <c r="Y210" s="111"/>
      <c r="Z210" s="339">
        <f>Z207-'FTW336A Service Lateral'!Z171</f>
        <v>535356.12431901589</v>
      </c>
      <c r="AA210" s="109"/>
      <c r="AB210" s="108"/>
      <c r="AC210" s="107"/>
      <c r="AD210" s="106"/>
    </row>
    <row r="211" spans="1:30" s="80" customFormat="1">
      <c r="A211" s="65"/>
      <c r="B211" s="62"/>
      <c r="C211" s="79"/>
      <c r="D211" s="78"/>
      <c r="E211" s="91"/>
      <c r="G211" s="90"/>
      <c r="H211" s="90"/>
      <c r="I211" s="90"/>
      <c r="J211" s="90"/>
      <c r="K211" s="90"/>
      <c r="L211" s="89"/>
      <c r="M211" s="89"/>
      <c r="N211" s="89"/>
      <c r="O211" s="89"/>
      <c r="P211" s="89"/>
      <c r="R211" s="87"/>
      <c r="S211" s="87"/>
      <c r="T211" s="87"/>
      <c r="U211" s="87"/>
      <c r="V211" s="87"/>
      <c r="W211" s="87"/>
      <c r="X211" s="87"/>
      <c r="Y211" s="87"/>
      <c r="Z211" s="103"/>
      <c r="AA211" s="85"/>
      <c r="AB211" s="84"/>
      <c r="AC211" s="83"/>
      <c r="AD211" s="66"/>
    </row>
    <row r="212" spans="1:30" s="80" customFormat="1" ht="18">
      <c r="A212" s="65"/>
      <c r="B212" s="62"/>
      <c r="C212" s="79"/>
      <c r="D212" s="78"/>
      <c r="E212" s="91"/>
      <c r="G212" s="90"/>
      <c r="H212" s="90"/>
      <c r="I212" s="90"/>
      <c r="J212" s="90"/>
      <c r="K212" s="90"/>
      <c r="L212" s="89"/>
      <c r="M212" s="89"/>
      <c r="N212" s="89"/>
      <c r="O212" s="89"/>
      <c r="P212" s="89"/>
      <c r="R212" s="87"/>
      <c r="S212" s="87"/>
      <c r="T212" s="87"/>
      <c r="U212" s="105"/>
      <c r="V212" s="87"/>
      <c r="W212" s="87"/>
      <c r="X212" s="87"/>
      <c r="Y212" s="87"/>
      <c r="Z212" s="104"/>
      <c r="AA212" s="98"/>
      <c r="AB212" s="84"/>
      <c r="AC212" s="83"/>
      <c r="AD212" s="66"/>
    </row>
    <row r="213" spans="1:30" s="80" customFormat="1">
      <c r="A213" s="65"/>
      <c r="B213" s="62"/>
      <c r="C213" s="79"/>
      <c r="D213" s="78"/>
      <c r="E213" s="91"/>
      <c r="G213" s="90"/>
      <c r="H213" s="90"/>
      <c r="I213" s="90"/>
      <c r="J213" s="90"/>
      <c r="K213" s="90"/>
      <c r="L213" s="89"/>
      <c r="M213" s="89"/>
      <c r="N213" s="89"/>
      <c r="O213" s="89"/>
      <c r="P213" s="89"/>
      <c r="R213" s="87"/>
      <c r="S213" s="87"/>
      <c r="T213" s="87"/>
      <c r="U213" s="87"/>
      <c r="V213" s="87"/>
      <c r="W213" s="87"/>
      <c r="X213" s="87"/>
      <c r="Y213" s="87"/>
      <c r="Z213" s="103"/>
      <c r="AA213" s="98"/>
      <c r="AB213" s="84"/>
      <c r="AC213" s="83"/>
      <c r="AD213" s="66"/>
    </row>
    <row r="214" spans="1:30" s="80" customFormat="1" ht="18">
      <c r="A214" s="102"/>
      <c r="B214" s="62"/>
      <c r="C214" s="79"/>
      <c r="D214" s="78"/>
      <c r="E214" s="91"/>
      <c r="G214" s="82"/>
      <c r="H214" s="90"/>
      <c r="I214" s="90"/>
      <c r="J214" s="99"/>
      <c r="K214" s="90"/>
      <c r="L214" s="89"/>
      <c r="M214" s="89"/>
      <c r="N214" s="89"/>
      <c r="O214" s="89"/>
      <c r="P214" s="89"/>
      <c r="R214" s="87"/>
      <c r="S214" s="87"/>
      <c r="T214" s="87"/>
      <c r="U214" s="87"/>
      <c r="V214" s="87"/>
      <c r="W214" s="87"/>
      <c r="X214" s="87"/>
      <c r="Y214" s="87"/>
      <c r="Z214" s="96"/>
      <c r="AA214" s="98"/>
      <c r="AB214" s="84"/>
      <c r="AC214" s="83"/>
      <c r="AD214" s="66"/>
    </row>
    <row r="215" spans="1:30" s="80" customFormat="1" ht="18">
      <c r="A215" s="65"/>
      <c r="B215" s="62"/>
      <c r="C215" s="79"/>
      <c r="D215" s="78"/>
      <c r="E215" s="91"/>
      <c r="G215" s="342"/>
      <c r="H215" s="343"/>
      <c r="I215" s="343"/>
      <c r="J215" s="343"/>
      <c r="K215" s="90"/>
      <c r="L215" s="89"/>
      <c r="M215" s="89"/>
      <c r="N215" s="89"/>
      <c r="O215" s="89"/>
      <c r="P215" s="89"/>
      <c r="R215" s="87"/>
      <c r="S215" s="87"/>
      <c r="T215" s="87"/>
      <c r="U215" s="87"/>
      <c r="V215" s="87"/>
      <c r="W215" s="87"/>
      <c r="X215" s="87"/>
      <c r="Y215" s="87"/>
      <c r="Z215" s="96"/>
      <c r="AA215" s="98"/>
      <c r="AB215" s="84"/>
      <c r="AC215" s="83"/>
      <c r="AD215" s="66"/>
    </row>
    <row r="216" spans="1:30" s="80" customFormat="1" ht="18">
      <c r="A216" s="65"/>
      <c r="B216" s="62"/>
      <c r="C216" s="79"/>
      <c r="D216" s="78"/>
      <c r="E216" s="91"/>
      <c r="G216" s="101"/>
      <c r="H216" s="90"/>
      <c r="I216" s="90"/>
      <c r="J216" s="99"/>
      <c r="K216" s="90"/>
      <c r="L216" s="89"/>
      <c r="M216" s="89"/>
      <c r="N216" s="89"/>
      <c r="O216" s="89"/>
      <c r="P216" s="89"/>
      <c r="R216" s="87"/>
      <c r="S216" s="87"/>
      <c r="T216" s="87"/>
      <c r="U216" s="100"/>
      <c r="V216" s="87"/>
      <c r="W216" s="87"/>
      <c r="X216" s="87"/>
      <c r="Y216" s="87"/>
      <c r="Z216" s="96"/>
      <c r="AA216" s="98"/>
      <c r="AB216" s="84"/>
      <c r="AC216" s="83"/>
      <c r="AD216" s="66"/>
    </row>
    <row r="217" spans="1:30" s="80" customFormat="1" ht="18">
      <c r="A217" s="65"/>
      <c r="B217" s="62"/>
      <c r="C217" s="79"/>
      <c r="D217" s="78"/>
      <c r="E217" s="91"/>
      <c r="G217" s="82"/>
      <c r="H217" s="90"/>
      <c r="I217" s="90"/>
      <c r="J217" s="99"/>
      <c r="K217" s="90"/>
      <c r="L217" s="89"/>
      <c r="M217" s="89"/>
      <c r="N217" s="89"/>
      <c r="O217" s="89"/>
      <c r="P217" s="89"/>
      <c r="R217" s="87"/>
      <c r="S217" s="87"/>
      <c r="T217" s="87"/>
      <c r="U217" s="87"/>
      <c r="V217" s="87"/>
      <c r="W217" s="87"/>
      <c r="X217" s="87"/>
      <c r="Y217" s="87"/>
      <c r="Z217" s="96"/>
      <c r="AA217" s="98"/>
      <c r="AB217" s="84"/>
      <c r="AC217" s="83"/>
      <c r="AD217" s="66"/>
    </row>
    <row r="218" spans="1:30" s="80" customFormat="1" ht="18">
      <c r="A218" s="65"/>
      <c r="B218" s="62"/>
      <c r="C218" s="79"/>
      <c r="D218" s="78"/>
      <c r="E218" s="91"/>
      <c r="G218" s="82"/>
      <c r="H218" s="90"/>
      <c r="I218" s="90"/>
      <c r="J218" s="95"/>
      <c r="K218" s="90"/>
      <c r="L218" s="89"/>
      <c r="M218" s="89"/>
      <c r="N218" s="89"/>
      <c r="O218" s="89"/>
      <c r="P218" s="89"/>
      <c r="R218" s="87"/>
      <c r="S218" s="87"/>
      <c r="T218" s="87"/>
      <c r="U218" s="87"/>
      <c r="V218" s="87"/>
      <c r="W218" s="87"/>
      <c r="X218" s="87"/>
      <c r="Y218" s="87"/>
      <c r="Z218" s="96"/>
      <c r="AA218" s="85"/>
      <c r="AB218" s="84"/>
      <c r="AC218" s="83"/>
      <c r="AD218" s="66"/>
    </row>
    <row r="219" spans="1:30" s="80" customFormat="1" ht="18">
      <c r="A219" s="65"/>
      <c r="B219" s="62"/>
      <c r="C219" s="79"/>
      <c r="D219" s="78"/>
      <c r="E219" s="91"/>
      <c r="G219" s="82"/>
      <c r="H219" s="90"/>
      <c r="I219" s="90"/>
      <c r="J219" s="95"/>
      <c r="K219" s="90"/>
      <c r="L219" s="89"/>
      <c r="M219" s="89"/>
      <c r="N219" s="89"/>
      <c r="O219" s="89"/>
      <c r="P219" s="89"/>
      <c r="R219" s="87"/>
      <c r="S219" s="87"/>
      <c r="T219" s="87"/>
      <c r="U219" s="97"/>
      <c r="V219" s="87"/>
      <c r="W219" s="87"/>
      <c r="X219" s="87"/>
      <c r="Y219" s="87"/>
      <c r="Z219" s="96"/>
      <c r="AA219" s="85"/>
      <c r="AB219" s="84"/>
      <c r="AC219" s="83"/>
      <c r="AD219" s="66"/>
    </row>
    <row r="220" spans="1:30" s="80" customFormat="1" ht="18">
      <c r="A220" s="65"/>
      <c r="B220" s="62"/>
      <c r="C220" s="79"/>
      <c r="D220" s="78"/>
      <c r="E220" s="91"/>
      <c r="G220" s="82"/>
      <c r="H220" s="90"/>
      <c r="I220" s="90"/>
      <c r="J220" s="95"/>
      <c r="K220" s="90"/>
      <c r="L220" s="89"/>
      <c r="M220" s="89"/>
      <c r="N220" s="89"/>
      <c r="O220" s="89"/>
      <c r="P220" s="89"/>
      <c r="R220" s="87"/>
      <c r="S220" s="87"/>
      <c r="T220" s="87"/>
      <c r="U220" s="97"/>
      <c r="V220" s="87"/>
      <c r="W220" s="87"/>
      <c r="X220" s="87"/>
      <c r="Y220" s="87"/>
      <c r="Z220" s="96"/>
      <c r="AA220" s="85"/>
      <c r="AB220" s="84"/>
      <c r="AC220" s="83"/>
      <c r="AD220" s="66"/>
    </row>
    <row r="221" spans="1:30" s="80" customFormat="1" ht="18">
      <c r="A221" s="65"/>
      <c r="B221" s="62"/>
      <c r="C221" s="79"/>
      <c r="D221" s="78"/>
      <c r="E221" s="91"/>
      <c r="G221" s="82"/>
      <c r="H221" s="90"/>
      <c r="I221" s="90"/>
      <c r="J221" s="95"/>
      <c r="K221" s="90"/>
      <c r="L221" s="89"/>
      <c r="M221" s="89"/>
      <c r="N221" s="89"/>
      <c r="O221" s="89"/>
      <c r="P221" s="89"/>
      <c r="R221" s="87"/>
      <c r="S221" s="87"/>
      <c r="T221" s="87"/>
      <c r="U221" s="87"/>
      <c r="V221" s="87"/>
      <c r="W221" s="87"/>
      <c r="X221" s="87"/>
      <c r="Y221" s="87"/>
      <c r="Z221" s="96"/>
      <c r="AA221" s="85"/>
      <c r="AB221" s="84"/>
      <c r="AC221" s="83"/>
      <c r="AD221" s="66"/>
    </row>
    <row r="222" spans="1:30" s="80" customFormat="1" ht="20.25">
      <c r="A222" s="65"/>
      <c r="B222" s="62"/>
      <c r="C222" s="79"/>
      <c r="D222" s="78"/>
      <c r="E222" s="91"/>
      <c r="G222" s="82"/>
      <c r="H222" s="90"/>
      <c r="I222" s="90"/>
      <c r="J222" s="95"/>
      <c r="K222" s="90"/>
      <c r="L222" s="89"/>
      <c r="M222" s="89"/>
      <c r="N222" s="89"/>
      <c r="O222" s="89"/>
      <c r="P222" s="89"/>
      <c r="R222" s="87"/>
      <c r="S222" s="87"/>
      <c r="T222" s="87"/>
      <c r="U222" s="94"/>
      <c r="V222" s="93"/>
      <c r="W222" s="93"/>
      <c r="X222" s="93"/>
      <c r="Y222" s="93"/>
      <c r="Z222" s="92"/>
      <c r="AA222" s="85"/>
      <c r="AB222" s="84"/>
      <c r="AC222" s="83"/>
      <c r="AD222" s="66"/>
    </row>
    <row r="223" spans="1:30" s="80" customFormat="1" ht="18">
      <c r="A223" s="65"/>
      <c r="B223" s="62"/>
      <c r="C223" s="79"/>
      <c r="D223" s="78"/>
      <c r="E223" s="91"/>
      <c r="G223" s="90"/>
      <c r="H223" s="90"/>
      <c r="I223" s="90"/>
      <c r="J223" s="90"/>
      <c r="K223" s="90"/>
      <c r="L223" s="89"/>
      <c r="M223" s="89"/>
      <c r="N223" s="89"/>
      <c r="O223" s="89"/>
      <c r="P223" s="89"/>
      <c r="R223" s="87"/>
      <c r="S223" s="87"/>
      <c r="T223" s="87"/>
      <c r="U223" s="88"/>
      <c r="V223" s="87"/>
      <c r="W223" s="87"/>
      <c r="X223" s="87"/>
      <c r="Y223" s="87"/>
      <c r="Z223" s="86"/>
      <c r="AA223" s="85"/>
      <c r="AB223" s="84"/>
      <c r="AC223" s="83"/>
      <c r="AD223" s="66"/>
    </row>
    <row r="224" spans="1:30" s="80" customFormat="1" ht="18">
      <c r="A224" s="45"/>
      <c r="B224" s="62"/>
      <c r="C224" s="79"/>
      <c r="D224" s="78"/>
      <c r="E224" s="64"/>
      <c r="G224" s="58"/>
      <c r="H224" s="58"/>
      <c r="I224" s="58"/>
      <c r="J224" s="58"/>
      <c r="K224" s="81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 s="80" customFormat="1" ht="18">
      <c r="A225" s="45"/>
      <c r="B225" s="62"/>
      <c r="C225" s="79"/>
      <c r="D225" s="78"/>
      <c r="E225" s="64"/>
      <c r="G225" s="58"/>
      <c r="H225" s="58"/>
      <c r="I225" s="58"/>
      <c r="J225" s="58"/>
      <c r="K225" s="81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 s="80" customFormat="1">
      <c r="A226" s="45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 s="80" customFormat="1" ht="18">
      <c r="A227" s="45"/>
      <c r="B227" s="62"/>
      <c r="C227" s="79"/>
      <c r="D227" s="78"/>
      <c r="E227" s="64"/>
      <c r="G227" s="82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 s="80" customFormat="1" ht="18">
      <c r="A228" s="45"/>
      <c r="B228" s="62"/>
      <c r="C228" s="79"/>
      <c r="D228" s="78"/>
      <c r="E228" s="64"/>
      <c r="G228" s="82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 s="80" customFormat="1" ht="18">
      <c r="A229" s="45"/>
      <c r="B229" s="62"/>
      <c r="C229" s="79"/>
      <c r="D229" s="78"/>
      <c r="E229" s="64"/>
      <c r="G229" s="82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 s="80" customFormat="1" ht="18">
      <c r="A230" s="45"/>
      <c r="B230" s="62"/>
      <c r="C230" s="79"/>
      <c r="D230" s="78"/>
      <c r="E230" s="64"/>
      <c r="G230" s="82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 s="80" customFormat="1">
      <c r="A231" s="45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67"/>
      <c r="AB231" s="53"/>
      <c r="AC231" s="34"/>
      <c r="AD231" s="66"/>
    </row>
    <row r="232" spans="1:30" s="80" customFormat="1" ht="18">
      <c r="A232" s="45"/>
      <c r="B232" s="62"/>
      <c r="C232" s="79"/>
      <c r="D232" s="78"/>
      <c r="E232" s="64"/>
      <c r="G232" s="58"/>
      <c r="H232" s="58"/>
      <c r="I232" s="58"/>
      <c r="J232" s="58"/>
      <c r="K232" s="81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67"/>
      <c r="AB232" s="53"/>
      <c r="AC232" s="34"/>
      <c r="AD232" s="66"/>
    </row>
    <row r="233" spans="1:30" s="80" customFormat="1" ht="18">
      <c r="A233" s="45"/>
      <c r="B233" s="62"/>
      <c r="C233" s="79"/>
      <c r="D233" s="78"/>
      <c r="E233" s="64"/>
      <c r="G233" s="58"/>
      <c r="H233" s="58"/>
      <c r="I233" s="58"/>
      <c r="J233" s="58"/>
      <c r="K233" s="81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67"/>
      <c r="AB233" s="53"/>
      <c r="AC233" s="34"/>
      <c r="AD233" s="66"/>
    </row>
    <row r="234" spans="1:30" s="80" customFormat="1">
      <c r="A234" s="45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67"/>
      <c r="AB234" s="53"/>
      <c r="AC234" s="34"/>
      <c r="AD234" s="66"/>
    </row>
    <row r="235" spans="1:30" s="80" customFormat="1" ht="18">
      <c r="A235" s="45"/>
      <c r="B235" s="62"/>
      <c r="C235" s="79"/>
      <c r="D235" s="78"/>
      <c r="E235" s="64"/>
      <c r="G235" s="58"/>
      <c r="H235" s="58"/>
      <c r="I235" s="58"/>
      <c r="J235" s="58"/>
      <c r="K235" s="81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67"/>
      <c r="AB235" s="53"/>
      <c r="AC235" s="34"/>
      <c r="AD235" s="66"/>
    </row>
    <row r="236" spans="1:30">
      <c r="A236" s="45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67"/>
      <c r="AB236" s="53"/>
      <c r="AC236" s="34"/>
      <c r="AD236" s="66"/>
    </row>
    <row r="237" spans="1:30">
      <c r="A237" s="45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45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45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45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54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45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45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45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54"/>
      <c r="AB244" s="53"/>
      <c r="AC244" s="34"/>
      <c r="AD244" s="66"/>
    </row>
    <row r="245" spans="1:30">
      <c r="A245" s="45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45"/>
      <c r="B246" s="62"/>
      <c r="C246" s="79"/>
      <c r="D246" s="7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45"/>
      <c r="B247" s="62"/>
      <c r="C247" s="79"/>
      <c r="D247" s="7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45"/>
      <c r="B248" s="62"/>
      <c r="C248" s="79"/>
      <c r="D248" s="7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0"/>
      <c r="B249" s="62"/>
      <c r="C249" s="79"/>
      <c r="D249" s="7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0"/>
      <c r="B250" s="62"/>
      <c r="C250" s="79"/>
      <c r="D250" s="7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54"/>
      <c r="AB250" s="53"/>
      <c r="AC250" s="34"/>
      <c r="AD250" s="66"/>
    </row>
    <row r="251" spans="1:30">
      <c r="A251" s="70"/>
      <c r="B251" s="62"/>
      <c r="C251" s="79"/>
      <c r="D251" s="7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0"/>
      <c r="B252" s="62"/>
      <c r="C252" s="79"/>
      <c r="D252" s="7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0"/>
      <c r="B253" s="62"/>
      <c r="C253" s="79"/>
      <c r="D253" s="7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54"/>
      <c r="AB253" s="53"/>
      <c r="AC253" s="34"/>
      <c r="AD253" s="66"/>
    </row>
    <row r="254" spans="1:30">
      <c r="A254" s="70"/>
      <c r="B254" s="62"/>
      <c r="C254" s="79"/>
      <c r="D254" s="7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54"/>
      <c r="AB254" s="53"/>
      <c r="AC254" s="34"/>
      <c r="AD254" s="66"/>
    </row>
    <row r="255" spans="1:30">
      <c r="A255" s="70"/>
      <c r="B255" s="62"/>
      <c r="C255" s="79"/>
      <c r="D255" s="7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54"/>
      <c r="AB255" s="53"/>
      <c r="AC255" s="34"/>
      <c r="AD255" s="66"/>
    </row>
    <row r="256" spans="1:30">
      <c r="A256" s="70"/>
      <c r="B256" s="62"/>
      <c r="C256" s="79"/>
      <c r="D256" s="7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54"/>
      <c r="AB256" s="53"/>
      <c r="AC256" s="34"/>
      <c r="AD256" s="66"/>
    </row>
    <row r="257" spans="1:30">
      <c r="A257" s="70"/>
      <c r="B257" s="62"/>
      <c r="C257" s="79"/>
      <c r="D257" s="7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54"/>
      <c r="AB257" s="53"/>
      <c r="AC257" s="34"/>
      <c r="AD257" s="66"/>
    </row>
    <row r="258" spans="1:30">
      <c r="A258" s="70"/>
      <c r="B258" s="62"/>
      <c r="C258" s="79"/>
      <c r="D258" s="7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54"/>
      <c r="AB258" s="53"/>
      <c r="AC258" s="34"/>
      <c r="AD258" s="66"/>
    </row>
    <row r="259" spans="1:30">
      <c r="A259" s="70"/>
      <c r="B259" s="62"/>
      <c r="C259" s="79"/>
      <c r="D259" s="7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0"/>
      <c r="B260" s="62"/>
      <c r="C260" s="79"/>
      <c r="D260" s="7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54"/>
      <c r="AB260" s="53"/>
      <c r="AC260" s="34"/>
      <c r="AD260" s="66"/>
    </row>
    <row r="261" spans="1:30">
      <c r="A261" s="70"/>
      <c r="B261" s="62"/>
      <c r="C261" s="79"/>
      <c r="D261" s="7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54"/>
      <c r="AB261" s="53"/>
      <c r="AC261" s="34"/>
      <c r="AD261" s="66"/>
    </row>
    <row r="262" spans="1:30">
      <c r="A262" s="70"/>
      <c r="B262" s="62"/>
      <c r="C262" s="79"/>
      <c r="D262" s="7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54"/>
      <c r="AB262" s="53"/>
      <c r="AC262" s="34"/>
      <c r="AD262" s="66"/>
    </row>
    <row r="263" spans="1:30">
      <c r="A263" s="70"/>
      <c r="B263" s="62"/>
      <c r="C263" s="79"/>
      <c r="D263" s="7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54"/>
      <c r="AB263" s="53"/>
      <c r="AC263" s="34"/>
      <c r="AD263" s="66"/>
    </row>
    <row r="264" spans="1:30">
      <c r="A264" s="70"/>
      <c r="B264" s="62"/>
      <c r="C264" s="79"/>
      <c r="D264" s="7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54"/>
      <c r="AB264" s="53"/>
      <c r="AC264" s="34"/>
      <c r="AD264" s="66"/>
    </row>
    <row r="265" spans="1:30">
      <c r="A265" s="70"/>
      <c r="B265" s="62"/>
      <c r="C265" s="79"/>
      <c r="D265" s="7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54"/>
      <c r="AB265" s="53"/>
      <c r="AC265" s="34"/>
      <c r="AD265" s="66"/>
    </row>
    <row r="266" spans="1:30">
      <c r="A266" s="70"/>
      <c r="B266" s="62"/>
      <c r="C266" s="79"/>
      <c r="D266" s="7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54"/>
      <c r="AB266" s="53"/>
      <c r="AC266" s="34"/>
      <c r="AD266" s="66"/>
    </row>
    <row r="267" spans="1:30">
      <c r="A267" s="70"/>
      <c r="B267" s="62"/>
      <c r="C267" s="79"/>
      <c r="D267" s="7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54"/>
      <c r="AB267" s="53"/>
      <c r="AC267" s="34"/>
      <c r="AD267" s="66"/>
    </row>
    <row r="268" spans="1:30">
      <c r="A268" s="70"/>
      <c r="B268" s="62"/>
      <c r="C268" s="79"/>
      <c r="D268" s="7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54"/>
      <c r="AB268" s="53"/>
      <c r="AC268" s="34"/>
      <c r="AD268" s="66"/>
    </row>
    <row r="269" spans="1:30">
      <c r="A269" s="70"/>
      <c r="B269" s="62"/>
      <c r="C269" s="79"/>
      <c r="D269" s="7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54"/>
      <c r="AB269" s="53"/>
      <c r="AC269" s="34"/>
      <c r="AD269" s="66"/>
    </row>
    <row r="270" spans="1:30">
      <c r="A270" s="70"/>
      <c r="B270" s="62"/>
      <c r="C270" s="79"/>
      <c r="D270" s="7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54"/>
      <c r="AB270" s="53"/>
      <c r="AC270" s="34"/>
      <c r="AD270" s="66"/>
    </row>
    <row r="271" spans="1:30">
      <c r="A271" s="70"/>
      <c r="B271" s="62"/>
      <c r="C271" s="79"/>
      <c r="D271" s="7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54"/>
      <c r="AB271" s="53"/>
      <c r="AC271" s="34"/>
      <c r="AD271" s="66"/>
    </row>
    <row r="272" spans="1:30">
      <c r="A272" s="70"/>
      <c r="B272" s="62"/>
      <c r="C272" s="79"/>
      <c r="D272" s="7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54"/>
      <c r="AB272" s="53"/>
      <c r="AC272" s="34"/>
      <c r="AD272" s="66"/>
    </row>
    <row r="273" spans="1:30">
      <c r="A273" s="70"/>
      <c r="B273" s="62"/>
      <c r="C273" s="79"/>
      <c r="D273" s="7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54"/>
      <c r="AB273" s="53"/>
      <c r="AC273" s="34"/>
      <c r="AD273" s="66"/>
    </row>
    <row r="274" spans="1:30">
      <c r="A274" s="70"/>
      <c r="B274" s="62"/>
      <c r="C274" s="79"/>
      <c r="D274" s="7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54"/>
      <c r="AB274" s="53"/>
      <c r="AC274" s="34"/>
      <c r="AD274" s="66"/>
    </row>
    <row r="275" spans="1:30">
      <c r="A275" s="70"/>
      <c r="B275" s="62"/>
      <c r="C275" s="79"/>
      <c r="D275" s="7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54"/>
      <c r="AB275" s="53"/>
      <c r="AC275" s="34"/>
      <c r="AD275" s="66"/>
    </row>
    <row r="276" spans="1:30">
      <c r="A276" s="70"/>
      <c r="B276" s="62"/>
      <c r="C276" s="79"/>
      <c r="D276" s="7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66"/>
    </row>
    <row r="277" spans="1:30">
      <c r="A277" s="45"/>
      <c r="B277" s="62"/>
      <c r="C277" s="79"/>
      <c r="D277" s="7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54"/>
      <c r="AB277" s="53"/>
      <c r="AC277" s="34"/>
      <c r="AD277" s="66"/>
    </row>
    <row r="278" spans="1:30">
      <c r="A278" s="70"/>
      <c r="B278" s="62"/>
      <c r="C278" s="79"/>
      <c r="D278" s="7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54"/>
      <c r="AB278" s="53"/>
      <c r="AC278" s="34"/>
      <c r="AD278" s="66"/>
    </row>
    <row r="279" spans="1:30">
      <c r="A279" s="73"/>
      <c r="B279" s="62"/>
      <c r="C279" s="79"/>
      <c r="D279" s="7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54"/>
      <c r="AB279" s="53"/>
      <c r="AC279" s="34"/>
      <c r="AD279" s="66"/>
    </row>
    <row r="280" spans="1:30">
      <c r="A280" s="73"/>
      <c r="B280" s="62"/>
      <c r="C280" s="79"/>
      <c r="D280" s="7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66"/>
    </row>
    <row r="281" spans="1:30">
      <c r="A281" s="73"/>
      <c r="B281" s="62"/>
      <c r="C281" s="79"/>
      <c r="D281" s="7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54"/>
      <c r="AB281" s="53"/>
      <c r="AC281" s="34"/>
      <c r="AD281" s="66"/>
    </row>
    <row r="282" spans="1:30">
      <c r="A282" s="73"/>
      <c r="B282" s="62"/>
      <c r="C282" s="71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54"/>
      <c r="AB282" s="53"/>
      <c r="AC282" s="34"/>
      <c r="AD282" s="66"/>
    </row>
    <row r="283" spans="1:30">
      <c r="A283" s="73"/>
      <c r="B283" s="62"/>
      <c r="C283" s="71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54"/>
      <c r="AB283" s="53"/>
      <c r="AC283" s="34"/>
      <c r="AD283" s="66"/>
    </row>
    <row r="284" spans="1:30">
      <c r="A284" s="73"/>
      <c r="B284" s="62"/>
      <c r="C284" s="71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54"/>
      <c r="AB284" s="53"/>
      <c r="AC284" s="34"/>
      <c r="AD284" s="66"/>
    </row>
    <row r="285" spans="1:30">
      <c r="A285" s="73"/>
      <c r="B285" s="62"/>
      <c r="C285" s="71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54"/>
      <c r="AB285" s="53"/>
      <c r="AC285" s="34"/>
      <c r="AD285" s="66"/>
    </row>
    <row r="286" spans="1:30">
      <c r="A286" s="73"/>
      <c r="B286" s="62"/>
      <c r="C286" s="71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66"/>
    </row>
    <row r="287" spans="1:30">
      <c r="A287" s="73"/>
      <c r="B287" s="62"/>
      <c r="C287" s="71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54"/>
      <c r="AB287" s="53"/>
      <c r="AC287" s="34"/>
      <c r="AD287" s="66"/>
    </row>
    <row r="288" spans="1:30">
      <c r="A288" s="73"/>
      <c r="B288" s="62"/>
      <c r="C288" s="71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54"/>
      <c r="AB288" s="53"/>
      <c r="AC288" s="34"/>
      <c r="AD288" s="66"/>
    </row>
    <row r="289" spans="1:30">
      <c r="A289" s="73"/>
      <c r="B289" s="62"/>
      <c r="C289" s="71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66"/>
    </row>
    <row r="290" spans="1:30">
      <c r="A290" s="73"/>
      <c r="B290" s="62"/>
      <c r="C290" s="71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66"/>
    </row>
    <row r="291" spans="1:30">
      <c r="A291" s="73"/>
      <c r="B291" s="62"/>
      <c r="C291" s="71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66"/>
    </row>
    <row r="292" spans="1:30">
      <c r="A292" s="73"/>
      <c r="B292" s="62"/>
      <c r="C292" s="71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66"/>
    </row>
    <row r="293" spans="1:30">
      <c r="A293" s="73"/>
      <c r="B293" s="62"/>
      <c r="C293" s="71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66"/>
    </row>
    <row r="294" spans="1:30">
      <c r="A294" s="70"/>
      <c r="B294" s="6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3"/>
      <c r="B295" s="6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54"/>
      <c r="AB295" s="53"/>
      <c r="AC295" s="34"/>
      <c r="AD295" s="66"/>
    </row>
    <row r="296" spans="1:30">
      <c r="A296" s="73"/>
      <c r="B296" s="6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77"/>
      <c r="AD296" s="66"/>
    </row>
    <row r="297" spans="1:30">
      <c r="A297" s="73"/>
      <c r="B297" s="6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77"/>
      <c r="AD297" s="66"/>
    </row>
    <row r="298" spans="1:30">
      <c r="A298" s="73"/>
      <c r="B298" s="6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3"/>
      <c r="B299" s="6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3"/>
      <c r="B300" s="6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3"/>
      <c r="B301" s="6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6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73"/>
      <c r="B303" s="6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3"/>
      <c r="B304" s="6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6"/>
      <c r="B305" s="62"/>
      <c r="C305" s="43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62"/>
      <c r="C306" s="43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3"/>
      <c r="B307" s="62"/>
      <c r="C307" s="43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74"/>
    </row>
    <row r="308" spans="1:30">
      <c r="A308" s="73"/>
      <c r="B308" s="62"/>
      <c r="C308" s="43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74"/>
    </row>
    <row r="309" spans="1:30">
      <c r="A309" s="73"/>
      <c r="B309" s="62"/>
      <c r="C309" s="43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74"/>
    </row>
    <row r="310" spans="1:30">
      <c r="A310" s="73"/>
      <c r="B310" s="62"/>
      <c r="C310" s="43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74"/>
    </row>
    <row r="311" spans="1:30">
      <c r="A311" s="73"/>
      <c r="B311" s="62"/>
      <c r="C311" s="43"/>
      <c r="D311" s="68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67"/>
      <c r="AB311" s="53"/>
      <c r="AC311" s="34"/>
      <c r="AD311" s="74"/>
    </row>
    <row r="312" spans="1:30">
      <c r="A312" s="73"/>
      <c r="B312" s="62"/>
      <c r="C312" s="43"/>
      <c r="D312" s="68"/>
      <c r="E312" s="64"/>
      <c r="G312" s="58"/>
      <c r="H312" s="58"/>
      <c r="I312" s="58"/>
      <c r="J312" s="58"/>
      <c r="K312" s="58"/>
      <c r="L312" s="57"/>
      <c r="M312" s="57"/>
      <c r="N312" s="57"/>
      <c r="O312" s="57"/>
      <c r="P312" s="57"/>
      <c r="R312" s="56"/>
      <c r="S312" s="56"/>
      <c r="T312" s="56"/>
      <c r="U312" s="56"/>
      <c r="V312" s="56"/>
      <c r="W312" s="56"/>
      <c r="X312" s="56"/>
      <c r="Y312" s="56"/>
      <c r="Z312" s="55"/>
      <c r="AA312" s="67"/>
      <c r="AB312" s="53"/>
      <c r="AC312" s="34"/>
      <c r="AD312" s="74"/>
    </row>
    <row r="313" spans="1:30">
      <c r="A313" s="73"/>
      <c r="B313" s="62"/>
      <c r="C313" s="43"/>
      <c r="D313" s="68"/>
      <c r="E313" s="64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67"/>
      <c r="AB313" s="53"/>
      <c r="AC313" s="34"/>
      <c r="AD313" s="74"/>
    </row>
    <row r="314" spans="1:30">
      <c r="A314" s="73"/>
      <c r="B314" s="62"/>
      <c r="C314" s="43"/>
      <c r="D314" s="68"/>
      <c r="E314" s="64"/>
      <c r="G314" s="58"/>
      <c r="H314" s="58"/>
      <c r="I314" s="58"/>
      <c r="J314" s="58"/>
      <c r="K314" s="58"/>
      <c r="L314" s="57"/>
      <c r="M314" s="57"/>
      <c r="N314" s="57"/>
      <c r="O314" s="57"/>
      <c r="P314" s="57"/>
      <c r="R314" s="56"/>
      <c r="S314" s="56"/>
      <c r="T314" s="56"/>
      <c r="U314" s="56"/>
      <c r="V314" s="56"/>
      <c r="W314" s="56"/>
      <c r="X314" s="56"/>
      <c r="Y314" s="56"/>
      <c r="Z314" s="55"/>
      <c r="AA314" s="67"/>
      <c r="AB314" s="53"/>
      <c r="AC314" s="34"/>
      <c r="AD314" s="74"/>
    </row>
    <row r="315" spans="1:30">
      <c r="A315" s="73"/>
      <c r="B315" s="62"/>
      <c r="C315" s="43"/>
      <c r="D315" s="68"/>
      <c r="E315" s="64"/>
      <c r="G315" s="58"/>
      <c r="H315" s="58"/>
      <c r="I315" s="58"/>
      <c r="J315" s="58"/>
      <c r="K315" s="58"/>
      <c r="L315" s="57"/>
      <c r="M315" s="57"/>
      <c r="N315" s="57"/>
      <c r="O315" s="57"/>
      <c r="P315" s="57"/>
      <c r="R315" s="56"/>
      <c r="S315" s="56"/>
      <c r="T315" s="56"/>
      <c r="U315" s="56"/>
      <c r="V315" s="56"/>
      <c r="W315" s="56"/>
      <c r="X315" s="56"/>
      <c r="Y315" s="56"/>
      <c r="Z315" s="55"/>
      <c r="AA315" s="67"/>
      <c r="AB315" s="53"/>
      <c r="AC315" s="34"/>
      <c r="AD315" s="74"/>
    </row>
    <row r="316" spans="1:30">
      <c r="A316" s="73"/>
      <c r="B316" s="62"/>
      <c r="C316" s="43"/>
      <c r="D316" s="68"/>
      <c r="E316" s="64"/>
      <c r="G316" s="58"/>
      <c r="H316" s="58"/>
      <c r="I316" s="58"/>
      <c r="J316" s="58"/>
      <c r="K316" s="58"/>
      <c r="L316" s="57"/>
      <c r="M316" s="57"/>
      <c r="N316" s="57"/>
      <c r="O316" s="57"/>
      <c r="P316" s="57"/>
      <c r="R316" s="56"/>
      <c r="S316" s="56"/>
      <c r="T316" s="56"/>
      <c r="U316" s="56"/>
      <c r="V316" s="56"/>
      <c r="W316" s="56"/>
      <c r="X316" s="56"/>
      <c r="Y316" s="56"/>
      <c r="Z316" s="55"/>
      <c r="AA316" s="67"/>
      <c r="AB316" s="53"/>
      <c r="AC316" s="34"/>
      <c r="AD316" s="74"/>
    </row>
    <row r="317" spans="1:30">
      <c r="A317" s="70"/>
      <c r="B317" s="72"/>
      <c r="C317" s="43"/>
      <c r="D317" s="68"/>
      <c r="E317" s="64"/>
      <c r="G317" s="58"/>
      <c r="H317" s="58"/>
      <c r="I317" s="58"/>
      <c r="J317" s="58"/>
      <c r="K317" s="58"/>
      <c r="L317" s="57"/>
      <c r="M317" s="57"/>
      <c r="N317" s="57"/>
      <c r="O317" s="57"/>
      <c r="P317" s="57"/>
      <c r="R317" s="56"/>
      <c r="S317" s="56"/>
      <c r="T317" s="56"/>
      <c r="U317" s="56"/>
      <c r="V317" s="56"/>
      <c r="W317" s="56"/>
      <c r="X317" s="56"/>
      <c r="Y317" s="56"/>
      <c r="Z317" s="55"/>
      <c r="AA317" s="67"/>
      <c r="AB317" s="53"/>
      <c r="AC317" s="34"/>
      <c r="AD317" s="66"/>
    </row>
    <row r="318" spans="1:30">
      <c r="A318" s="70"/>
      <c r="B318" s="72"/>
      <c r="C318" s="43"/>
      <c r="D318" s="68"/>
      <c r="E318" s="64"/>
      <c r="G318" s="58"/>
      <c r="H318" s="58"/>
      <c r="I318" s="58"/>
      <c r="J318" s="58"/>
      <c r="K318" s="58"/>
      <c r="L318" s="57"/>
      <c r="M318" s="57"/>
      <c r="N318" s="57"/>
      <c r="O318" s="57"/>
      <c r="P318" s="57"/>
      <c r="R318" s="56"/>
      <c r="S318" s="56"/>
      <c r="T318" s="56"/>
      <c r="U318" s="56"/>
      <c r="V318" s="56"/>
      <c r="W318" s="56"/>
      <c r="X318" s="56"/>
      <c r="Y318" s="56"/>
      <c r="Z318" s="55"/>
      <c r="AA318" s="67"/>
      <c r="AB318" s="53"/>
      <c r="AC318" s="34"/>
      <c r="AD318" s="66"/>
    </row>
    <row r="319" spans="1:30">
      <c r="A319" s="73"/>
      <c r="B319" s="72"/>
      <c r="C319" s="43"/>
      <c r="D319" s="68"/>
      <c r="E319" s="64"/>
      <c r="G319" s="58"/>
      <c r="H319" s="58"/>
      <c r="I319" s="58"/>
      <c r="J319" s="58"/>
      <c r="K319" s="58"/>
      <c r="L319" s="57"/>
      <c r="M319" s="57"/>
      <c r="N319" s="57"/>
      <c r="O319" s="57"/>
      <c r="P319" s="57"/>
      <c r="R319" s="56"/>
      <c r="S319" s="56"/>
      <c r="T319" s="56"/>
      <c r="U319" s="56"/>
      <c r="V319" s="56"/>
      <c r="W319" s="56"/>
      <c r="X319" s="56"/>
      <c r="Y319" s="56"/>
      <c r="Z319" s="55"/>
      <c r="AA319" s="67"/>
      <c r="AB319" s="53"/>
      <c r="AC319" s="34"/>
      <c r="AD319" s="66"/>
    </row>
    <row r="320" spans="1:30">
      <c r="A320" s="70"/>
      <c r="B320" s="72"/>
      <c r="C320" s="43"/>
      <c r="D320" s="68"/>
      <c r="E320" s="64"/>
      <c r="G320" s="58"/>
      <c r="H320" s="58"/>
      <c r="I320" s="58"/>
      <c r="J320" s="58"/>
      <c r="K320" s="58"/>
      <c r="L320" s="57"/>
      <c r="M320" s="57"/>
      <c r="N320" s="57"/>
      <c r="O320" s="57"/>
      <c r="P320" s="57"/>
      <c r="R320" s="56"/>
      <c r="S320" s="56"/>
      <c r="T320" s="56"/>
      <c r="U320" s="56"/>
      <c r="V320" s="56"/>
      <c r="W320" s="56"/>
      <c r="X320" s="56"/>
      <c r="Y320" s="56"/>
      <c r="Z320" s="55"/>
      <c r="AA320" s="67"/>
      <c r="AB320" s="53"/>
      <c r="AC320" s="34"/>
      <c r="AD320" s="66"/>
    </row>
    <row r="321" spans="1:30">
      <c r="A321" s="70"/>
      <c r="B321" s="72"/>
      <c r="C321" s="43"/>
      <c r="D321" s="68"/>
      <c r="E321" s="64"/>
      <c r="G321" s="58"/>
      <c r="H321" s="58"/>
      <c r="I321" s="58"/>
      <c r="J321" s="58"/>
      <c r="K321" s="58"/>
      <c r="L321" s="57"/>
      <c r="M321" s="57"/>
      <c r="N321" s="57"/>
      <c r="O321" s="57"/>
      <c r="P321" s="57"/>
      <c r="R321" s="56"/>
      <c r="S321" s="56"/>
      <c r="T321" s="56"/>
      <c r="U321" s="56"/>
      <c r="V321" s="56"/>
      <c r="W321" s="56"/>
      <c r="X321" s="56"/>
      <c r="Y321" s="56"/>
      <c r="Z321" s="55"/>
      <c r="AA321" s="67"/>
      <c r="AB321" s="53"/>
      <c r="AC321" s="34"/>
      <c r="AD321" s="66"/>
    </row>
    <row r="322" spans="1:30">
      <c r="A322" s="73"/>
      <c r="B322" s="72"/>
      <c r="C322" s="43"/>
      <c r="D322" s="68"/>
      <c r="E322" s="64"/>
      <c r="G322" s="58"/>
      <c r="H322" s="58"/>
      <c r="I322" s="58"/>
      <c r="J322" s="58"/>
      <c r="K322" s="58"/>
      <c r="L322" s="57"/>
      <c r="M322" s="57"/>
      <c r="N322" s="57"/>
      <c r="O322" s="57"/>
      <c r="P322" s="57"/>
      <c r="R322" s="56"/>
      <c r="S322" s="56"/>
      <c r="T322" s="56"/>
      <c r="U322" s="56"/>
      <c r="V322" s="56"/>
      <c r="W322" s="56"/>
      <c r="X322" s="56"/>
      <c r="Y322" s="56"/>
      <c r="Z322" s="55"/>
      <c r="AA322" s="67"/>
      <c r="AB322" s="53"/>
      <c r="AC322" s="34"/>
      <c r="AD322" s="74"/>
    </row>
    <row r="323" spans="1:30">
      <c r="A323" s="73"/>
      <c r="B323" s="72"/>
      <c r="C323" s="43"/>
      <c r="D323" s="68"/>
      <c r="E323" s="64"/>
      <c r="G323" s="58"/>
      <c r="H323" s="58"/>
      <c r="I323" s="58"/>
      <c r="J323" s="58"/>
      <c r="K323" s="58"/>
      <c r="L323" s="57"/>
      <c r="M323" s="57"/>
      <c r="N323" s="57"/>
      <c r="O323" s="57"/>
      <c r="P323" s="57"/>
      <c r="R323" s="56"/>
      <c r="S323" s="56"/>
      <c r="T323" s="56"/>
      <c r="U323" s="56"/>
      <c r="V323" s="56"/>
      <c r="W323" s="56"/>
      <c r="X323" s="56"/>
      <c r="Y323" s="56"/>
      <c r="Z323" s="55"/>
      <c r="AA323" s="67"/>
      <c r="AB323" s="53"/>
      <c r="AC323" s="34"/>
      <c r="AD323" s="74"/>
    </row>
    <row r="324" spans="1:30">
      <c r="A324" s="73"/>
      <c r="B324" s="72"/>
      <c r="C324" s="43"/>
      <c r="D324" s="68"/>
      <c r="E324" s="64"/>
      <c r="G324" s="58"/>
      <c r="H324" s="58"/>
      <c r="I324" s="58"/>
      <c r="J324" s="58"/>
      <c r="K324" s="58"/>
      <c r="L324" s="57"/>
      <c r="M324" s="57"/>
      <c r="N324" s="57"/>
      <c r="O324" s="57"/>
      <c r="P324" s="57"/>
      <c r="R324" s="56"/>
      <c r="S324" s="56"/>
      <c r="T324" s="56"/>
      <c r="U324" s="56"/>
      <c r="V324" s="56"/>
      <c r="W324" s="56"/>
      <c r="X324" s="56"/>
      <c r="Y324" s="56"/>
      <c r="Z324" s="55"/>
      <c r="AA324" s="67"/>
      <c r="AB324" s="53"/>
      <c r="AC324" s="34"/>
      <c r="AD324" s="74"/>
    </row>
    <row r="325" spans="1:30">
      <c r="A325" s="73"/>
      <c r="B325" s="72"/>
      <c r="C325" s="43"/>
      <c r="D325" s="68"/>
      <c r="E325" s="64"/>
      <c r="G325" s="58"/>
      <c r="H325" s="58"/>
      <c r="I325" s="58"/>
      <c r="J325" s="58"/>
      <c r="K325" s="58"/>
      <c r="L325" s="57"/>
      <c r="M325" s="57"/>
      <c r="N325" s="57"/>
      <c r="O325" s="57"/>
      <c r="P325" s="57"/>
      <c r="R325" s="56"/>
      <c r="S325" s="56"/>
      <c r="T325" s="56"/>
      <c r="U325" s="56"/>
      <c r="V325" s="56"/>
      <c r="W325" s="56"/>
      <c r="X325" s="56"/>
      <c r="Y325" s="56"/>
      <c r="Z325" s="55"/>
      <c r="AA325" s="67"/>
      <c r="AB325" s="53"/>
      <c r="AC325" s="34"/>
      <c r="AD325" s="74"/>
    </row>
    <row r="326" spans="1:30">
      <c r="A326" s="73"/>
      <c r="B326" s="72"/>
      <c r="C326" s="43"/>
      <c r="D326" s="68"/>
      <c r="E326" s="64"/>
      <c r="G326" s="58"/>
      <c r="H326" s="58"/>
      <c r="I326" s="58"/>
      <c r="J326" s="58"/>
      <c r="K326" s="58"/>
      <c r="L326" s="57"/>
      <c r="M326" s="57"/>
      <c r="N326" s="57"/>
      <c r="O326" s="57"/>
      <c r="P326" s="57"/>
      <c r="R326" s="56"/>
      <c r="S326" s="56"/>
      <c r="T326" s="56"/>
      <c r="U326" s="56"/>
      <c r="V326" s="56"/>
      <c r="W326" s="56"/>
      <c r="X326" s="56"/>
      <c r="Y326" s="56"/>
      <c r="Z326" s="55"/>
      <c r="AA326" s="67"/>
      <c r="AB326" s="53"/>
      <c r="AC326" s="34"/>
      <c r="AD326" s="74"/>
    </row>
    <row r="327" spans="1:30">
      <c r="A327" s="73"/>
      <c r="B327" s="72"/>
      <c r="C327" s="43"/>
      <c r="D327" s="68"/>
      <c r="E327" s="64"/>
      <c r="G327" s="58"/>
      <c r="H327" s="58"/>
      <c r="I327" s="58"/>
      <c r="J327" s="58"/>
      <c r="K327" s="58"/>
      <c r="L327" s="57"/>
      <c r="M327" s="57"/>
      <c r="N327" s="57"/>
      <c r="O327" s="57"/>
      <c r="P327" s="57"/>
      <c r="R327" s="56"/>
      <c r="S327" s="56"/>
      <c r="T327" s="56"/>
      <c r="U327" s="56"/>
      <c r="V327" s="56"/>
      <c r="W327" s="56"/>
      <c r="X327" s="56"/>
      <c r="Y327" s="56"/>
      <c r="Z327" s="55"/>
      <c r="AA327" s="67"/>
      <c r="AB327" s="53"/>
      <c r="AC327" s="34"/>
      <c r="AD327" s="74"/>
    </row>
    <row r="328" spans="1:30">
      <c r="A328" s="73"/>
      <c r="B328" s="72"/>
      <c r="C328" s="43"/>
      <c r="D328" s="68"/>
      <c r="E328" s="64"/>
      <c r="G328" s="58"/>
      <c r="H328" s="58"/>
      <c r="I328" s="58"/>
      <c r="J328" s="58"/>
      <c r="K328" s="58"/>
      <c r="L328" s="57"/>
      <c r="M328" s="57"/>
      <c r="N328" s="57"/>
      <c r="O328" s="57"/>
      <c r="P328" s="57"/>
      <c r="R328" s="56"/>
      <c r="S328" s="56"/>
      <c r="T328" s="56"/>
      <c r="U328" s="56"/>
      <c r="V328" s="56"/>
      <c r="W328" s="56"/>
      <c r="X328" s="56"/>
      <c r="Y328" s="56"/>
      <c r="Z328" s="55"/>
      <c r="AA328" s="67"/>
      <c r="AB328" s="53"/>
      <c r="AC328" s="34"/>
      <c r="AD328" s="74"/>
    </row>
    <row r="329" spans="1:30">
      <c r="A329" s="73"/>
      <c r="B329" s="72"/>
      <c r="C329" s="75"/>
      <c r="D329" s="68"/>
      <c r="E329" s="64"/>
      <c r="G329" s="58"/>
      <c r="H329" s="58"/>
      <c r="I329" s="58"/>
      <c r="J329" s="58"/>
      <c r="K329" s="58"/>
      <c r="L329" s="57"/>
      <c r="M329" s="57"/>
      <c r="N329" s="57"/>
      <c r="O329" s="57"/>
      <c r="P329" s="57"/>
      <c r="R329" s="56"/>
      <c r="S329" s="56"/>
      <c r="T329" s="56"/>
      <c r="U329" s="56"/>
      <c r="V329" s="56"/>
      <c r="W329" s="56"/>
      <c r="X329" s="56"/>
      <c r="Y329" s="56"/>
      <c r="Z329" s="55"/>
      <c r="AA329" s="67"/>
      <c r="AB329" s="53"/>
      <c r="AC329" s="34"/>
      <c r="AD329" s="74"/>
    </row>
    <row r="330" spans="1:30">
      <c r="A330" s="73"/>
      <c r="B330" s="72"/>
      <c r="C330" s="71"/>
      <c r="D330" s="68"/>
      <c r="E330" s="64"/>
      <c r="G330" s="58"/>
      <c r="H330" s="58"/>
      <c r="I330" s="58"/>
      <c r="J330" s="58"/>
      <c r="K330" s="58"/>
      <c r="L330" s="57"/>
      <c r="M330" s="57"/>
      <c r="N330" s="57"/>
      <c r="O330" s="57"/>
      <c r="P330" s="57"/>
      <c r="R330" s="56"/>
      <c r="S330" s="56"/>
      <c r="T330" s="56"/>
      <c r="U330" s="56"/>
      <c r="V330" s="56"/>
      <c r="W330" s="56"/>
      <c r="X330" s="56"/>
      <c r="Y330" s="56"/>
      <c r="Z330" s="55"/>
      <c r="AA330" s="67"/>
      <c r="AB330" s="53"/>
      <c r="AC330" s="34"/>
      <c r="AD330" s="66"/>
    </row>
    <row r="331" spans="1:30">
      <c r="A331" s="70"/>
      <c r="B331" s="72"/>
      <c r="C331" s="71"/>
      <c r="D331" s="68"/>
      <c r="E331" s="64"/>
      <c r="G331" s="58"/>
      <c r="H331" s="58"/>
      <c r="I331" s="58"/>
      <c r="J331" s="58"/>
      <c r="K331" s="58"/>
      <c r="L331" s="57"/>
      <c r="M331" s="57"/>
      <c r="N331" s="57"/>
      <c r="O331" s="57"/>
      <c r="P331" s="57"/>
      <c r="R331" s="56"/>
      <c r="S331" s="56"/>
      <c r="T331" s="56"/>
      <c r="U331" s="56"/>
      <c r="V331" s="56"/>
      <c r="W331" s="56"/>
      <c r="X331" s="56"/>
      <c r="Y331" s="56"/>
      <c r="Z331" s="55"/>
      <c r="AA331" s="67"/>
      <c r="AB331" s="53"/>
      <c r="AC331" s="34"/>
      <c r="AD331" s="66"/>
    </row>
    <row r="332" spans="1:30">
      <c r="A332" s="65"/>
      <c r="B332" s="72"/>
      <c r="C332" s="71"/>
      <c r="D332" s="68"/>
      <c r="E332" s="64"/>
      <c r="G332" s="58"/>
      <c r="H332" s="58"/>
      <c r="I332" s="58"/>
      <c r="J332" s="58"/>
      <c r="K332" s="58"/>
      <c r="L332" s="57"/>
      <c r="M332" s="57"/>
      <c r="N332" s="57"/>
      <c r="O332" s="57"/>
      <c r="P332" s="57"/>
      <c r="R332" s="56"/>
      <c r="S332" s="56"/>
      <c r="T332" s="56"/>
      <c r="U332" s="56"/>
      <c r="V332" s="56"/>
      <c r="W332" s="56"/>
      <c r="X332" s="56"/>
      <c r="Y332" s="56"/>
      <c r="Z332" s="55"/>
      <c r="AA332" s="67"/>
      <c r="AB332" s="53"/>
      <c r="AC332" s="34"/>
      <c r="AD332" s="66"/>
    </row>
    <row r="333" spans="1:30">
      <c r="A333" s="70"/>
      <c r="B333" s="72"/>
      <c r="C333" s="71"/>
      <c r="D333" s="68"/>
      <c r="E333" s="64"/>
      <c r="G333" s="58"/>
      <c r="H333" s="58"/>
      <c r="I333" s="58"/>
      <c r="J333" s="58"/>
      <c r="K333" s="58"/>
      <c r="L333" s="57"/>
      <c r="M333" s="57"/>
      <c r="N333" s="57"/>
      <c r="O333" s="57"/>
      <c r="P333" s="57"/>
      <c r="R333" s="56"/>
      <c r="S333" s="56"/>
      <c r="T333" s="56"/>
      <c r="U333" s="56"/>
      <c r="V333" s="56"/>
      <c r="W333" s="56"/>
      <c r="X333" s="56"/>
      <c r="Y333" s="56"/>
      <c r="Z333" s="55"/>
      <c r="AA333" s="67"/>
      <c r="AB333" s="53"/>
      <c r="AC333" s="34"/>
      <c r="AD333" s="66"/>
    </row>
    <row r="334" spans="1:30">
      <c r="A334" s="70"/>
      <c r="B334" s="72"/>
      <c r="C334" s="71"/>
      <c r="D334" s="68"/>
      <c r="E334" s="64"/>
      <c r="G334" s="58"/>
      <c r="H334" s="58"/>
      <c r="I334" s="58"/>
      <c r="J334" s="58"/>
      <c r="K334" s="58"/>
      <c r="L334" s="57"/>
      <c r="M334" s="57"/>
      <c r="N334" s="57"/>
      <c r="O334" s="57"/>
      <c r="P334" s="57"/>
      <c r="R334" s="56"/>
      <c r="S334" s="56"/>
      <c r="T334" s="56"/>
      <c r="U334" s="56"/>
      <c r="V334" s="56"/>
      <c r="W334" s="56"/>
      <c r="X334" s="56"/>
      <c r="Y334" s="56"/>
      <c r="Z334" s="55"/>
      <c r="AA334" s="67"/>
      <c r="AB334" s="53"/>
      <c r="AC334" s="34"/>
      <c r="AD334" s="66"/>
    </row>
    <row r="335" spans="1:30">
      <c r="A335" s="70"/>
      <c r="B335" s="72"/>
      <c r="C335" s="71"/>
      <c r="D335" s="68"/>
      <c r="E335" s="64"/>
      <c r="G335" s="58"/>
      <c r="H335" s="58"/>
      <c r="I335" s="58"/>
      <c r="J335" s="58"/>
      <c r="K335" s="58"/>
      <c r="L335" s="57"/>
      <c r="M335" s="57"/>
      <c r="N335" s="57"/>
      <c r="O335" s="57"/>
      <c r="P335" s="57"/>
      <c r="R335" s="56"/>
      <c r="S335" s="56"/>
      <c r="T335" s="56"/>
      <c r="U335" s="56"/>
      <c r="V335" s="56"/>
      <c r="W335" s="56"/>
      <c r="X335" s="56"/>
      <c r="Y335" s="56"/>
      <c r="Z335" s="55"/>
      <c r="AA335" s="67"/>
      <c r="AB335" s="53"/>
      <c r="AC335" s="34"/>
      <c r="AD335" s="66"/>
    </row>
    <row r="336" spans="1:30">
      <c r="A336" s="70"/>
      <c r="B336" s="72"/>
      <c r="C336" s="71"/>
      <c r="D336" s="68"/>
      <c r="E336" s="64"/>
      <c r="G336" s="58"/>
      <c r="H336" s="58"/>
      <c r="I336" s="58"/>
      <c r="J336" s="58"/>
      <c r="K336" s="58"/>
      <c r="L336" s="57"/>
      <c r="M336" s="57"/>
      <c r="N336" s="57"/>
      <c r="O336" s="57"/>
      <c r="P336" s="57"/>
      <c r="R336" s="56"/>
      <c r="S336" s="56"/>
      <c r="T336" s="56"/>
      <c r="U336" s="56"/>
      <c r="V336" s="56"/>
      <c r="W336" s="56"/>
      <c r="X336" s="56"/>
      <c r="Y336" s="56"/>
      <c r="Z336" s="55"/>
      <c r="AA336" s="67"/>
      <c r="AB336" s="53"/>
      <c r="AC336" s="34"/>
      <c r="AD336" s="66"/>
    </row>
    <row r="337" spans="1:30">
      <c r="A337" s="70"/>
      <c r="B337" s="72"/>
      <c r="C337" s="71"/>
      <c r="D337" s="68"/>
      <c r="E337" s="64"/>
      <c r="G337" s="58"/>
      <c r="H337" s="58"/>
      <c r="I337" s="58"/>
      <c r="J337" s="58"/>
      <c r="K337" s="58"/>
      <c r="L337" s="57"/>
      <c r="M337" s="57"/>
      <c r="N337" s="57"/>
      <c r="O337" s="57"/>
      <c r="P337" s="57"/>
      <c r="R337" s="56"/>
      <c r="S337" s="56"/>
      <c r="T337" s="56"/>
      <c r="U337" s="56"/>
      <c r="V337" s="56"/>
      <c r="W337" s="56"/>
      <c r="X337" s="56"/>
      <c r="Y337" s="56"/>
      <c r="Z337" s="55"/>
      <c r="AA337" s="67"/>
      <c r="AB337" s="53"/>
      <c r="AC337" s="34"/>
      <c r="AD337" s="66"/>
    </row>
    <row r="338" spans="1:30">
      <c r="A338" s="73"/>
      <c r="B338" s="72"/>
      <c r="C338" s="71"/>
      <c r="D338" s="68"/>
      <c r="E338" s="64"/>
      <c r="G338" s="58"/>
      <c r="H338" s="58"/>
      <c r="I338" s="58"/>
      <c r="J338" s="58"/>
      <c r="K338" s="58"/>
      <c r="L338" s="57"/>
      <c r="M338" s="57"/>
      <c r="N338" s="57"/>
      <c r="O338" s="57"/>
      <c r="P338" s="57"/>
      <c r="R338" s="56"/>
      <c r="S338" s="56"/>
      <c r="T338" s="56"/>
      <c r="U338" s="56"/>
      <c r="V338" s="56"/>
      <c r="W338" s="56"/>
      <c r="X338" s="56"/>
      <c r="Y338" s="56"/>
      <c r="Z338" s="55"/>
      <c r="AA338" s="67"/>
      <c r="AB338" s="53"/>
      <c r="AC338" s="34"/>
      <c r="AD338" s="66"/>
    </row>
    <row r="339" spans="1:30">
      <c r="A339" s="65"/>
      <c r="B339" s="72"/>
      <c r="C339" s="71"/>
      <c r="D339" s="68"/>
      <c r="E339" s="64"/>
      <c r="G339" s="58"/>
      <c r="H339" s="58"/>
      <c r="I339" s="58"/>
      <c r="J339" s="58"/>
      <c r="K339" s="58"/>
      <c r="L339" s="57"/>
      <c r="M339" s="57"/>
      <c r="N339" s="57"/>
      <c r="O339" s="57"/>
      <c r="P339" s="57"/>
      <c r="R339" s="56"/>
      <c r="S339" s="56"/>
      <c r="T339" s="56"/>
      <c r="U339" s="56"/>
      <c r="V339" s="56"/>
      <c r="W339" s="56"/>
      <c r="X339" s="56"/>
      <c r="Y339" s="56"/>
      <c r="Z339" s="55"/>
      <c r="AA339" s="67"/>
      <c r="AB339" s="53"/>
      <c r="AC339" s="34"/>
      <c r="AD339" s="66"/>
    </row>
    <row r="340" spans="1:30">
      <c r="A340" s="70"/>
      <c r="B340" s="72"/>
      <c r="C340" s="71"/>
      <c r="D340" s="68"/>
      <c r="E340" s="64"/>
      <c r="G340" s="58"/>
      <c r="H340" s="58"/>
      <c r="I340" s="58"/>
      <c r="J340" s="58"/>
      <c r="K340" s="58"/>
      <c r="L340" s="57"/>
      <c r="M340" s="57"/>
      <c r="N340" s="57"/>
      <c r="O340" s="57"/>
      <c r="P340" s="57"/>
      <c r="R340" s="56"/>
      <c r="S340" s="56"/>
      <c r="T340" s="56"/>
      <c r="U340" s="56"/>
      <c r="V340" s="56"/>
      <c r="W340" s="56"/>
      <c r="X340" s="56"/>
      <c r="Y340" s="56"/>
      <c r="Z340" s="55"/>
      <c r="AA340" s="67"/>
      <c r="AB340" s="53"/>
      <c r="AC340" s="34"/>
      <c r="AD340" s="66"/>
    </row>
    <row r="341" spans="1:30">
      <c r="A341" s="70"/>
      <c r="B341" s="72"/>
      <c r="C341" s="71"/>
      <c r="D341" s="68"/>
      <c r="E341" s="64"/>
      <c r="G341" s="58"/>
      <c r="H341" s="58"/>
      <c r="I341" s="58"/>
      <c r="J341" s="58"/>
      <c r="K341" s="58"/>
      <c r="L341" s="57"/>
      <c r="M341" s="57"/>
      <c r="N341" s="57"/>
      <c r="O341" s="57"/>
      <c r="P341" s="57"/>
      <c r="R341" s="56"/>
      <c r="S341" s="56"/>
      <c r="T341" s="56"/>
      <c r="U341" s="56"/>
      <c r="V341" s="56"/>
      <c r="W341" s="56"/>
      <c r="X341" s="56"/>
      <c r="Y341" s="56"/>
      <c r="Z341" s="55"/>
      <c r="AA341" s="67"/>
      <c r="AB341" s="53"/>
      <c r="AC341" s="34"/>
      <c r="AD341" s="66"/>
    </row>
    <row r="342" spans="1:30">
      <c r="A342" s="70"/>
      <c r="B342" s="72"/>
      <c r="C342" s="71"/>
      <c r="D342" s="68"/>
      <c r="E342" s="64"/>
      <c r="G342" s="58"/>
      <c r="H342" s="58"/>
      <c r="I342" s="58"/>
      <c r="J342" s="58"/>
      <c r="K342" s="58"/>
      <c r="L342" s="57"/>
      <c r="M342" s="57"/>
      <c r="N342" s="57"/>
      <c r="O342" s="57"/>
      <c r="P342" s="57"/>
      <c r="R342" s="56"/>
      <c r="S342" s="56"/>
      <c r="T342" s="56"/>
      <c r="U342" s="56"/>
      <c r="V342" s="56"/>
      <c r="W342" s="56"/>
      <c r="X342" s="56"/>
      <c r="Y342" s="56"/>
      <c r="Z342" s="55"/>
      <c r="AA342" s="67"/>
      <c r="AB342" s="53"/>
      <c r="AC342" s="34"/>
      <c r="AD342" s="66"/>
    </row>
    <row r="343" spans="1:30">
      <c r="A343" s="70"/>
      <c r="B343" s="72"/>
      <c r="C343" s="71"/>
      <c r="D343" s="68"/>
      <c r="E343" s="64"/>
      <c r="G343" s="58"/>
      <c r="H343" s="58"/>
      <c r="I343" s="58"/>
      <c r="J343" s="58"/>
      <c r="K343" s="58"/>
      <c r="L343" s="57"/>
      <c r="M343" s="57"/>
      <c r="N343" s="57"/>
      <c r="O343" s="57"/>
      <c r="P343" s="57"/>
      <c r="R343" s="56"/>
      <c r="S343" s="56"/>
      <c r="T343" s="56"/>
      <c r="U343" s="56"/>
      <c r="V343" s="56"/>
      <c r="W343" s="56"/>
      <c r="X343" s="56"/>
      <c r="Y343" s="56"/>
      <c r="Z343" s="55"/>
      <c r="AA343" s="67"/>
      <c r="AB343" s="53"/>
      <c r="AC343" s="34"/>
      <c r="AD343" s="66"/>
    </row>
    <row r="344" spans="1:30">
      <c r="A344" s="70"/>
      <c r="B344" s="72"/>
      <c r="C344" s="71"/>
      <c r="D344" s="68"/>
      <c r="E344" s="64"/>
      <c r="G344" s="58"/>
      <c r="H344" s="58"/>
      <c r="I344" s="58"/>
      <c r="J344" s="58"/>
      <c r="K344" s="58"/>
      <c r="L344" s="57"/>
      <c r="M344" s="57"/>
      <c r="N344" s="57"/>
      <c r="O344" s="57"/>
      <c r="P344" s="57"/>
      <c r="R344" s="56"/>
      <c r="S344" s="56"/>
      <c r="T344" s="56"/>
      <c r="U344" s="56"/>
      <c r="V344" s="56"/>
      <c r="W344" s="56"/>
      <c r="X344" s="56"/>
      <c r="Y344" s="56"/>
      <c r="Z344" s="55"/>
      <c r="AA344" s="67"/>
      <c r="AB344" s="53"/>
      <c r="AC344" s="34"/>
      <c r="AD344" s="66"/>
    </row>
    <row r="345" spans="1:30">
      <c r="A345" s="70"/>
      <c r="B345" s="72"/>
      <c r="C345" s="71"/>
      <c r="D345" s="68"/>
      <c r="E345" s="64"/>
      <c r="G345" s="58"/>
      <c r="H345" s="58"/>
      <c r="I345" s="58"/>
      <c r="J345" s="58"/>
      <c r="K345" s="58"/>
      <c r="L345" s="57"/>
      <c r="M345" s="57"/>
      <c r="N345" s="57"/>
      <c r="O345" s="57"/>
      <c r="P345" s="57"/>
      <c r="R345" s="56"/>
      <c r="S345" s="56"/>
      <c r="T345" s="56"/>
      <c r="U345" s="56"/>
      <c r="V345" s="56"/>
      <c r="W345" s="56"/>
      <c r="X345" s="56"/>
      <c r="Y345" s="56"/>
      <c r="Z345" s="55"/>
      <c r="AA345" s="67"/>
      <c r="AB345" s="53"/>
      <c r="AC345" s="34"/>
      <c r="AD345" s="66"/>
    </row>
    <row r="346" spans="1:30">
      <c r="A346" s="70"/>
      <c r="B346" s="62"/>
      <c r="C346" s="69"/>
      <c r="D346" s="68"/>
      <c r="E346" s="64"/>
      <c r="G346" s="58"/>
      <c r="H346" s="58"/>
      <c r="I346" s="58"/>
      <c r="J346" s="58"/>
      <c r="K346" s="58"/>
      <c r="L346" s="57"/>
      <c r="M346" s="57"/>
      <c r="N346" s="57"/>
      <c r="O346" s="57"/>
      <c r="P346" s="57"/>
      <c r="R346" s="56"/>
      <c r="S346" s="56"/>
      <c r="T346" s="56"/>
      <c r="U346" s="56"/>
      <c r="V346" s="56"/>
      <c r="W346" s="56"/>
      <c r="X346" s="56"/>
      <c r="Y346" s="56"/>
      <c r="Z346" s="55"/>
      <c r="AA346" s="67"/>
      <c r="AB346" s="53"/>
      <c r="AC346" s="34"/>
      <c r="AD346" s="66"/>
    </row>
    <row r="347" spans="1:30">
      <c r="A347" s="65"/>
      <c r="B347" s="62"/>
      <c r="C347" s="43"/>
      <c r="D347" s="42"/>
      <c r="E347" s="64"/>
      <c r="G347" s="58"/>
      <c r="H347" s="58"/>
      <c r="I347" s="58"/>
      <c r="J347" s="58"/>
      <c r="K347" s="58"/>
      <c r="L347" s="57"/>
      <c r="M347" s="57"/>
      <c r="N347" s="57"/>
      <c r="O347" s="57"/>
      <c r="P347" s="57"/>
      <c r="R347" s="56"/>
      <c r="S347" s="56"/>
      <c r="T347" s="56"/>
      <c r="U347" s="56"/>
      <c r="V347" s="56"/>
      <c r="W347" s="56"/>
      <c r="X347" s="56"/>
      <c r="Y347" s="56"/>
      <c r="Z347" s="55"/>
      <c r="AA347" s="54"/>
      <c r="AB347" s="63"/>
      <c r="AC347" s="34"/>
      <c r="AD347" s="33"/>
    </row>
    <row r="348" spans="1:30">
      <c r="A348" s="45"/>
      <c r="B348" s="62"/>
      <c r="C348" s="43"/>
      <c r="D348" s="42"/>
      <c r="E348" s="41"/>
      <c r="G348" s="49"/>
      <c r="H348" s="49"/>
      <c r="I348" s="49"/>
      <c r="J348" s="49"/>
      <c r="K348" s="49"/>
      <c r="L348" s="48"/>
      <c r="M348" s="48"/>
      <c r="N348" s="48"/>
      <c r="O348" s="48"/>
      <c r="P348" s="48"/>
      <c r="R348" s="47"/>
      <c r="S348" s="47"/>
      <c r="T348" s="47"/>
      <c r="U348" s="47"/>
      <c r="V348" s="47"/>
      <c r="W348" s="47"/>
      <c r="X348" s="47"/>
      <c r="Y348" s="47"/>
      <c r="Z348" s="46"/>
      <c r="AA348" s="61"/>
      <c r="AB348" s="35"/>
      <c r="AC348" s="34"/>
      <c r="AD348" s="33"/>
    </row>
    <row r="349" spans="1:30">
      <c r="A349" s="45"/>
      <c r="B349" s="44"/>
      <c r="C349" s="43"/>
      <c r="D349" s="60"/>
      <c r="E349" s="59"/>
      <c r="G349" s="58"/>
      <c r="H349" s="58"/>
      <c r="I349" s="58"/>
      <c r="J349" s="58"/>
      <c r="K349" s="58"/>
      <c r="L349" s="57"/>
      <c r="M349" s="57"/>
      <c r="N349" s="57"/>
      <c r="O349" s="57"/>
      <c r="P349" s="57"/>
      <c r="R349" s="56"/>
      <c r="S349" s="56"/>
      <c r="T349" s="56"/>
      <c r="U349" s="56"/>
      <c r="V349" s="56"/>
      <c r="W349" s="56"/>
      <c r="X349" s="56"/>
      <c r="Y349" s="56"/>
      <c r="Z349" s="55"/>
      <c r="AA349" s="54"/>
      <c r="AB349" s="53"/>
      <c r="AC349" s="34"/>
      <c r="AD349" s="33"/>
    </row>
    <row r="350" spans="1:30">
      <c r="A350" s="45"/>
      <c r="B350" s="44"/>
      <c r="C350" s="43"/>
      <c r="D350" s="42"/>
      <c r="E350" s="41"/>
      <c r="G350" s="40"/>
      <c r="H350" s="40"/>
      <c r="I350" s="40"/>
      <c r="J350" s="40"/>
      <c r="K350" s="40"/>
      <c r="L350" s="39"/>
      <c r="M350" s="39"/>
      <c r="N350" s="39"/>
      <c r="O350" s="39"/>
      <c r="P350" s="39"/>
      <c r="R350" s="38"/>
      <c r="S350" s="38"/>
      <c r="T350" s="38"/>
      <c r="U350" s="38"/>
      <c r="V350" s="38"/>
      <c r="W350" s="38"/>
      <c r="X350" s="38"/>
      <c r="Y350" s="38"/>
      <c r="Z350" s="37"/>
      <c r="AA350" s="36"/>
      <c r="AB350" s="35"/>
      <c r="AC350" s="34"/>
      <c r="AD350" s="33"/>
    </row>
    <row r="351" spans="1:30">
      <c r="A351" s="52"/>
      <c r="B351" s="51"/>
      <c r="C351" s="43"/>
      <c r="D351" s="42"/>
      <c r="E351" s="50"/>
      <c r="G351" s="49"/>
      <c r="H351" s="49"/>
      <c r="I351" s="49"/>
      <c r="J351" s="49"/>
      <c r="K351" s="49"/>
      <c r="L351" s="48"/>
      <c r="M351" s="48"/>
      <c r="N351" s="48"/>
      <c r="O351" s="48"/>
      <c r="P351" s="48"/>
      <c r="R351" s="47"/>
      <c r="S351" s="47"/>
      <c r="T351" s="47"/>
      <c r="U351" s="47"/>
      <c r="V351" s="47"/>
      <c r="W351" s="47"/>
      <c r="X351" s="47"/>
      <c r="Y351" s="47"/>
      <c r="Z351" s="46"/>
      <c r="AA351" s="36"/>
      <c r="AB351" s="35"/>
      <c r="AC351" s="34"/>
      <c r="AD351" s="33"/>
    </row>
    <row r="352" spans="1:30">
      <c r="A352" s="45"/>
      <c r="B352" s="44"/>
      <c r="C352" s="43"/>
      <c r="D352" s="42"/>
      <c r="E352" s="41"/>
      <c r="G352" s="40"/>
      <c r="H352" s="40"/>
      <c r="I352" s="40"/>
      <c r="J352" s="40"/>
      <c r="K352" s="40"/>
      <c r="L352" s="39"/>
      <c r="M352" s="39"/>
      <c r="N352" s="39"/>
      <c r="O352" s="39"/>
      <c r="P352" s="39"/>
      <c r="R352" s="38"/>
      <c r="S352" s="38"/>
      <c r="T352" s="38"/>
      <c r="U352" s="38"/>
      <c r="V352" s="38"/>
      <c r="W352" s="38"/>
      <c r="X352" s="38"/>
      <c r="Y352" s="38"/>
      <c r="Z352" s="37"/>
      <c r="AA352" s="36"/>
      <c r="AB352" s="35"/>
      <c r="AC352" s="34"/>
      <c r="AD352" s="33"/>
    </row>
    <row r="353" spans="1:30">
      <c r="A353" s="45"/>
      <c r="B353" s="44"/>
      <c r="C353" s="43"/>
      <c r="D353" s="42"/>
      <c r="E353" s="41"/>
      <c r="G353" s="40"/>
      <c r="H353" s="40"/>
      <c r="I353" s="40"/>
      <c r="J353" s="40"/>
      <c r="K353" s="40"/>
      <c r="L353" s="39"/>
      <c r="M353" s="39"/>
      <c r="N353" s="39"/>
      <c r="O353" s="39"/>
      <c r="P353" s="39"/>
      <c r="R353" s="38"/>
      <c r="S353" s="38"/>
      <c r="T353" s="38"/>
      <c r="U353" s="38"/>
      <c r="V353" s="38"/>
      <c r="W353" s="38"/>
      <c r="X353" s="38"/>
      <c r="Y353" s="38"/>
      <c r="Z353" s="37"/>
      <c r="AA353" s="36"/>
      <c r="AB353" s="35"/>
      <c r="AC353" s="34"/>
      <c r="AD353" s="33"/>
    </row>
    <row r="354" spans="1:30">
      <c r="A354" s="20"/>
      <c r="B354" s="11"/>
      <c r="C354" s="28"/>
      <c r="D354" s="26"/>
      <c r="E354" s="29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30"/>
      <c r="AC354" s="14"/>
      <c r="AD354" s="13"/>
    </row>
    <row r="355" spans="1:30">
      <c r="A355" s="20"/>
      <c r="B355" s="11"/>
      <c r="C355" s="28"/>
      <c r="D355" s="26"/>
      <c r="E355" s="29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30"/>
      <c r="AC355" s="14"/>
      <c r="AD355" s="13"/>
    </row>
    <row r="356" spans="1:30">
      <c r="A356" s="20"/>
      <c r="B356" s="11"/>
      <c r="C356" s="28"/>
      <c r="D356" s="26"/>
      <c r="E356" s="29"/>
      <c r="G356" s="19"/>
      <c r="H356" s="19"/>
      <c r="I356" s="19"/>
      <c r="J356" s="19"/>
      <c r="K356" s="19"/>
      <c r="L356" s="18"/>
      <c r="M356" s="18"/>
      <c r="N356" s="18"/>
      <c r="O356" s="18"/>
      <c r="P356" s="18"/>
      <c r="R356" s="17"/>
      <c r="S356" s="17"/>
      <c r="T356" s="17"/>
      <c r="U356" s="17"/>
      <c r="V356" s="17"/>
      <c r="W356" s="17"/>
      <c r="X356" s="17"/>
      <c r="Y356" s="17"/>
      <c r="Z356" s="16"/>
      <c r="AA356" s="15"/>
      <c r="AB356" s="30"/>
      <c r="AC356" s="14"/>
      <c r="AD356" s="13"/>
    </row>
    <row r="357" spans="1:30">
      <c r="A357" s="20"/>
      <c r="B357" s="11"/>
      <c r="C357" s="28"/>
      <c r="D357" s="26"/>
      <c r="E357" s="29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30"/>
      <c r="AC357" s="14"/>
      <c r="AD357" s="13"/>
    </row>
    <row r="358" spans="1:30">
      <c r="A358" s="20"/>
      <c r="B358" s="11"/>
      <c r="C358" s="28"/>
      <c r="D358" s="26"/>
      <c r="E358" s="29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31"/>
      <c r="AB358" s="30"/>
      <c r="AC358" s="14"/>
      <c r="AD358" s="13"/>
    </row>
    <row r="359" spans="1:30">
      <c r="A359" s="20"/>
      <c r="B359" s="11"/>
      <c r="C359" s="28"/>
      <c r="D359" s="26"/>
      <c r="E359" s="29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31"/>
      <c r="AB359" s="30"/>
      <c r="AC359" s="14"/>
      <c r="AD359" s="13"/>
    </row>
    <row r="360" spans="1:30">
      <c r="A360" s="20"/>
      <c r="B360" s="11"/>
      <c r="C360" s="28"/>
      <c r="D360" s="26"/>
      <c r="E360" s="29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30"/>
      <c r="AC360" s="14"/>
      <c r="AD360" s="13"/>
    </row>
    <row r="361" spans="1:30">
      <c r="A361" s="20"/>
      <c r="B361" s="11"/>
      <c r="C361" s="28"/>
      <c r="D361" s="26"/>
      <c r="E361" s="29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30"/>
      <c r="AC361" s="14"/>
      <c r="AD361" s="13"/>
    </row>
    <row r="362" spans="1:30">
      <c r="A362" s="20"/>
      <c r="B362" s="11"/>
      <c r="C362" s="28"/>
      <c r="D362" s="26"/>
      <c r="E362" s="29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31"/>
      <c r="AB362" s="30"/>
      <c r="AC362" s="14"/>
      <c r="AD362" s="13"/>
    </row>
    <row r="363" spans="1:30">
      <c r="A363" s="20"/>
      <c r="B363" s="11"/>
      <c r="C363" s="28"/>
      <c r="D363" s="26"/>
      <c r="E363" s="29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31"/>
      <c r="AB363" s="30"/>
      <c r="AC363" s="14"/>
      <c r="AD363" s="13"/>
    </row>
    <row r="364" spans="1:30">
      <c r="A364" s="20"/>
      <c r="B364" s="11"/>
      <c r="C364" s="28"/>
      <c r="D364" s="26"/>
      <c r="E364" s="29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30"/>
      <c r="AC364" s="14"/>
      <c r="AD364" s="13"/>
    </row>
    <row r="365" spans="1:30">
      <c r="A365" s="20"/>
      <c r="B365" s="11"/>
      <c r="C365" s="28"/>
      <c r="D365" s="26"/>
      <c r="E365" s="29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30"/>
      <c r="AC365" s="14"/>
      <c r="AD365" s="13"/>
    </row>
    <row r="366" spans="1:30">
      <c r="A366" s="20"/>
      <c r="B366" s="11"/>
      <c r="C366" s="28"/>
      <c r="D366" s="26"/>
      <c r="E366" s="29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31"/>
      <c r="AB366" s="30"/>
      <c r="AC366" s="14"/>
      <c r="AD366" s="13"/>
    </row>
    <row r="367" spans="1:30">
      <c r="A367" s="20"/>
      <c r="B367" s="11"/>
      <c r="C367" s="28"/>
      <c r="D367" s="26"/>
      <c r="E367" s="29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31"/>
      <c r="AB367" s="30"/>
      <c r="AC367" s="14"/>
      <c r="AD367" s="13"/>
    </row>
    <row r="368" spans="1:30">
      <c r="A368" s="20"/>
      <c r="B368" s="11"/>
      <c r="C368" s="28"/>
      <c r="D368" s="26"/>
      <c r="E368" s="29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30"/>
      <c r="AC368" s="14"/>
      <c r="AD368" s="13"/>
    </row>
    <row r="369" spans="1:30">
      <c r="A369" s="20"/>
      <c r="B369" s="11"/>
      <c r="C369" s="28"/>
      <c r="D369" s="26"/>
      <c r="E369" s="29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30"/>
      <c r="AC369" s="14"/>
      <c r="AD369" s="13"/>
    </row>
    <row r="370" spans="1:30">
      <c r="A370" s="20"/>
      <c r="B370" s="11"/>
      <c r="C370" s="28"/>
      <c r="D370" s="26"/>
      <c r="E370" s="29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31"/>
      <c r="AB370" s="30"/>
      <c r="AC370" s="14"/>
      <c r="AD370" s="13"/>
    </row>
    <row r="371" spans="1:30">
      <c r="A371" s="20"/>
      <c r="B371" s="11"/>
      <c r="C371" s="28"/>
      <c r="D371" s="26"/>
      <c r="E371" s="29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31"/>
      <c r="AB371" s="30"/>
      <c r="AC371" s="14"/>
      <c r="AD371" s="13"/>
    </row>
    <row r="372" spans="1:30">
      <c r="A372" s="20"/>
      <c r="B372" s="11"/>
      <c r="C372" s="28"/>
      <c r="D372" s="26"/>
      <c r="E372" s="29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30"/>
      <c r="AC372" s="14"/>
      <c r="AD372" s="13"/>
    </row>
    <row r="373" spans="1:30">
      <c r="A373" s="20"/>
      <c r="B373" s="11"/>
      <c r="C373" s="28"/>
      <c r="D373" s="26"/>
      <c r="E373" s="29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30"/>
      <c r="AC373" s="14"/>
      <c r="AD373" s="13"/>
    </row>
    <row r="374" spans="1:30">
      <c r="A374" s="20"/>
      <c r="B374" s="11"/>
      <c r="C374" s="28"/>
      <c r="D374" s="26"/>
      <c r="E374" s="29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31"/>
      <c r="AB374" s="30"/>
      <c r="AC374" s="14"/>
      <c r="AD374" s="13"/>
    </row>
    <row r="375" spans="1:30">
      <c r="A375" s="20"/>
      <c r="B375" s="11"/>
      <c r="C375" s="28"/>
      <c r="D375" s="26"/>
      <c r="E375" s="29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31"/>
      <c r="AB375" s="30"/>
      <c r="AC375" s="14"/>
      <c r="AD375" s="13"/>
    </row>
    <row r="376" spans="1:30">
      <c r="A376" s="20"/>
      <c r="B376" s="11"/>
      <c r="C376" s="28"/>
      <c r="D376" s="26"/>
      <c r="E376" s="29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30"/>
      <c r="AC376" s="14"/>
      <c r="AD376" s="13"/>
    </row>
    <row r="377" spans="1:30">
      <c r="A377" s="20"/>
      <c r="B377" s="11"/>
      <c r="C377" s="28"/>
      <c r="D377" s="26"/>
      <c r="E377" s="29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30"/>
      <c r="AC377" s="14"/>
      <c r="AD377" s="13"/>
    </row>
    <row r="378" spans="1:30">
      <c r="A378" s="20"/>
      <c r="B378" s="11"/>
      <c r="C378" s="28"/>
      <c r="D378" s="26"/>
      <c r="E378" s="29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31"/>
      <c r="AB378" s="30"/>
      <c r="AC378" s="14"/>
      <c r="AD378" s="13"/>
    </row>
    <row r="379" spans="1:30">
      <c r="A379" s="20"/>
      <c r="B379" s="11"/>
      <c r="C379" s="28"/>
      <c r="D379" s="26"/>
      <c r="E379" s="29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31"/>
      <c r="AB379" s="30"/>
      <c r="AC379" s="14"/>
      <c r="AD379" s="13"/>
    </row>
    <row r="380" spans="1:30">
      <c r="A380" s="20"/>
      <c r="B380" s="11"/>
      <c r="C380" s="28"/>
      <c r="D380" s="26"/>
      <c r="E380" s="29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31"/>
      <c r="AB380" s="30"/>
      <c r="AC380" s="14"/>
      <c r="AD380" s="13"/>
    </row>
    <row r="381" spans="1:30">
      <c r="A381" s="20"/>
      <c r="B381" s="11"/>
      <c r="C381" s="28"/>
      <c r="D381" s="26"/>
      <c r="E381" s="29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30"/>
      <c r="AC381" s="14"/>
      <c r="AD381" s="13"/>
    </row>
    <row r="382" spans="1:30">
      <c r="A382" s="20"/>
      <c r="B382" s="11"/>
      <c r="C382" s="28"/>
      <c r="D382" s="26"/>
      <c r="E382" s="29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31"/>
      <c r="AB382" s="30"/>
      <c r="AC382" s="32"/>
      <c r="AD382" s="13"/>
    </row>
    <row r="383" spans="1:30">
      <c r="A383" s="20"/>
      <c r="B383" s="11"/>
      <c r="C383" s="28"/>
      <c r="D383" s="26"/>
      <c r="E383" s="29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30"/>
      <c r="AC383" s="14"/>
      <c r="AD383" s="13"/>
    </row>
    <row r="384" spans="1:30">
      <c r="A384" s="20"/>
      <c r="B384" s="11"/>
      <c r="C384" s="28"/>
      <c r="D384" s="26"/>
      <c r="E384" s="29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31"/>
      <c r="AB384" s="30"/>
      <c r="AC384" s="14"/>
      <c r="AD384" s="13"/>
    </row>
    <row r="385" spans="1:30">
      <c r="A385" s="20"/>
      <c r="B385" s="11"/>
      <c r="C385" s="28"/>
      <c r="D385" s="26"/>
      <c r="E385" s="29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30"/>
      <c r="AC385" s="14"/>
      <c r="AD385" s="13"/>
    </row>
    <row r="386" spans="1:30">
      <c r="A386" s="20"/>
      <c r="B386" s="11"/>
      <c r="C386" s="28"/>
      <c r="D386" s="26"/>
      <c r="E386" s="29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31"/>
      <c r="AB386" s="30"/>
      <c r="AC386" s="14"/>
      <c r="AD386" s="13"/>
    </row>
    <row r="387" spans="1:30">
      <c r="A387" s="20"/>
      <c r="B387" s="11"/>
      <c r="C387" s="28"/>
      <c r="D387" s="26"/>
      <c r="E387" s="29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26"/>
      <c r="AC387" s="14"/>
      <c r="AD387" s="13"/>
    </row>
    <row r="388" spans="1:30">
      <c r="A388" s="20"/>
      <c r="B388" s="11"/>
      <c r="C388" s="28"/>
      <c r="D388" s="26"/>
      <c r="E388" s="27"/>
      <c r="G388" s="25"/>
      <c r="H388" s="25"/>
      <c r="I388" s="25"/>
      <c r="J388" s="25"/>
      <c r="K388" s="25"/>
      <c r="L388" s="24"/>
      <c r="M388" s="24"/>
      <c r="N388" s="24"/>
      <c r="O388" s="24"/>
      <c r="P388" s="24"/>
      <c r="R388" s="23"/>
      <c r="S388" s="23"/>
      <c r="T388" s="23"/>
      <c r="U388" s="23"/>
      <c r="V388" s="23"/>
      <c r="W388" s="23"/>
      <c r="X388" s="23"/>
      <c r="Y388" s="23"/>
      <c r="Z388" s="22"/>
      <c r="AA388" s="21"/>
      <c r="AB388" s="26"/>
      <c r="AC388" s="14"/>
      <c r="AD388" s="13"/>
    </row>
    <row r="389" spans="1:30">
      <c r="A389" s="20"/>
      <c r="B389" s="11"/>
      <c r="C389" s="10"/>
      <c r="D389" s="10"/>
      <c r="E389" s="10"/>
      <c r="G389" s="25"/>
      <c r="H389" s="25"/>
      <c r="I389" s="25"/>
      <c r="J389" s="25"/>
      <c r="K389" s="25"/>
      <c r="L389" s="24"/>
      <c r="M389" s="24"/>
      <c r="N389" s="24"/>
      <c r="O389" s="24"/>
      <c r="P389" s="24"/>
      <c r="R389" s="23"/>
      <c r="S389" s="23"/>
      <c r="T389" s="23"/>
      <c r="U389" s="23"/>
      <c r="V389" s="23"/>
      <c r="W389" s="23"/>
      <c r="X389" s="23"/>
      <c r="Y389" s="23"/>
      <c r="Z389" s="22"/>
      <c r="AA389" s="21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25"/>
      <c r="H392" s="25"/>
      <c r="I392" s="25"/>
      <c r="J392" s="25"/>
      <c r="K392" s="25"/>
      <c r="L392" s="24"/>
      <c r="M392" s="24"/>
      <c r="N392" s="24"/>
      <c r="O392" s="24"/>
      <c r="P392" s="24"/>
      <c r="R392" s="23"/>
      <c r="S392" s="23"/>
      <c r="T392" s="23"/>
      <c r="U392" s="23"/>
      <c r="V392" s="23"/>
      <c r="W392" s="23"/>
      <c r="X392" s="23"/>
      <c r="Y392" s="23"/>
      <c r="Z392" s="22"/>
      <c r="AA392" s="21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20"/>
      <c r="B474" s="11"/>
      <c r="C474" s="10"/>
      <c r="D474" s="10"/>
      <c r="E474" s="10"/>
      <c r="G474" s="19"/>
      <c r="H474" s="19"/>
      <c r="I474" s="19"/>
      <c r="J474" s="19"/>
      <c r="K474" s="19"/>
      <c r="L474" s="18"/>
      <c r="M474" s="18"/>
      <c r="N474" s="18"/>
      <c r="O474" s="18"/>
      <c r="P474" s="18"/>
      <c r="R474" s="17"/>
      <c r="S474" s="17"/>
      <c r="T474" s="17"/>
      <c r="U474" s="17"/>
      <c r="V474" s="17"/>
      <c r="W474" s="17"/>
      <c r="X474" s="17"/>
      <c r="Y474" s="17"/>
      <c r="Z474" s="16"/>
      <c r="AA474" s="15"/>
      <c r="AB474" s="4"/>
      <c r="AC474" s="14"/>
      <c r="AD474" s="13"/>
    </row>
    <row r="475" spans="1:30">
      <c r="A475" s="20"/>
      <c r="B475" s="11"/>
      <c r="C475" s="10"/>
      <c r="D475" s="10"/>
      <c r="E475" s="10"/>
      <c r="G475" s="19"/>
      <c r="H475" s="19"/>
      <c r="I475" s="19"/>
      <c r="J475" s="19"/>
      <c r="K475" s="19"/>
      <c r="L475" s="18"/>
      <c r="M475" s="18"/>
      <c r="N475" s="18"/>
      <c r="O475" s="18"/>
      <c r="P475" s="18"/>
      <c r="R475" s="17"/>
      <c r="S475" s="17"/>
      <c r="T475" s="17"/>
      <c r="U475" s="17"/>
      <c r="V475" s="17"/>
      <c r="W475" s="17"/>
      <c r="X475" s="17"/>
      <c r="Y475" s="17"/>
      <c r="Z475" s="16"/>
      <c r="AA475" s="15"/>
      <c r="AB475" s="4"/>
      <c r="AC475" s="14"/>
      <c r="AD475" s="13"/>
    </row>
    <row r="476" spans="1:30">
      <c r="A476" s="20"/>
      <c r="B476" s="11"/>
      <c r="C476" s="10"/>
      <c r="D476" s="10"/>
      <c r="E476" s="10"/>
      <c r="G476" s="19"/>
      <c r="H476" s="19"/>
      <c r="I476" s="19"/>
      <c r="J476" s="19"/>
      <c r="K476" s="19"/>
      <c r="L476" s="18"/>
      <c r="M476" s="18"/>
      <c r="N476" s="18"/>
      <c r="O476" s="18"/>
      <c r="P476" s="18"/>
      <c r="R476" s="17"/>
      <c r="S476" s="17"/>
      <c r="T476" s="17"/>
      <c r="U476" s="17"/>
      <c r="V476" s="17"/>
      <c r="W476" s="17"/>
      <c r="X476" s="17"/>
      <c r="Y476" s="17"/>
      <c r="Z476" s="16"/>
      <c r="AA476" s="15"/>
      <c r="AB476" s="4"/>
      <c r="AC476" s="14"/>
      <c r="AD476" s="13"/>
    </row>
    <row r="477" spans="1:30">
      <c r="A477" s="20"/>
      <c r="B477" s="11"/>
      <c r="C477" s="10"/>
      <c r="D477" s="10"/>
      <c r="E477" s="10"/>
      <c r="G477" s="19"/>
      <c r="H477" s="19"/>
      <c r="I477" s="19"/>
      <c r="J477" s="19"/>
      <c r="K477" s="19"/>
      <c r="L477" s="18"/>
      <c r="M477" s="18"/>
      <c r="N477" s="18"/>
      <c r="O477" s="18"/>
      <c r="P477" s="18"/>
      <c r="R477" s="17"/>
      <c r="S477" s="17"/>
      <c r="T477" s="17"/>
      <c r="U477" s="17"/>
      <c r="V477" s="17"/>
      <c r="W477" s="17"/>
      <c r="X477" s="17"/>
      <c r="Y477" s="17"/>
      <c r="Z477" s="16"/>
      <c r="AA477" s="15"/>
      <c r="AB477" s="4"/>
      <c r="AC477" s="14"/>
      <c r="AD477" s="13"/>
    </row>
    <row r="478" spans="1:30">
      <c r="A478" s="20"/>
      <c r="B478" s="11"/>
      <c r="C478" s="10"/>
      <c r="D478" s="10"/>
      <c r="E478" s="10"/>
      <c r="G478" s="19"/>
      <c r="H478" s="19"/>
      <c r="I478" s="19"/>
      <c r="J478" s="19"/>
      <c r="K478" s="19"/>
      <c r="L478" s="18"/>
      <c r="M478" s="18"/>
      <c r="N478" s="18"/>
      <c r="O478" s="18"/>
      <c r="P478" s="18"/>
      <c r="R478" s="17"/>
      <c r="S478" s="17"/>
      <c r="T478" s="17"/>
      <c r="U478" s="17"/>
      <c r="V478" s="17"/>
      <c r="W478" s="17"/>
      <c r="X478" s="17"/>
      <c r="Y478" s="17"/>
      <c r="Z478" s="16"/>
      <c r="AA478" s="15"/>
      <c r="AB478" s="4"/>
      <c r="AC478" s="14"/>
      <c r="AD478" s="13"/>
    </row>
    <row r="479" spans="1:30">
      <c r="A479" s="20"/>
      <c r="B479" s="11"/>
      <c r="C479" s="10"/>
      <c r="D479" s="10"/>
      <c r="E479" s="10"/>
      <c r="G479" s="19"/>
      <c r="H479" s="19"/>
      <c r="I479" s="19"/>
      <c r="J479" s="19"/>
      <c r="K479" s="19"/>
      <c r="L479" s="18"/>
      <c r="M479" s="18"/>
      <c r="N479" s="18"/>
      <c r="O479" s="18"/>
      <c r="P479" s="18"/>
      <c r="R479" s="17"/>
      <c r="S479" s="17"/>
      <c r="T479" s="17"/>
      <c r="U479" s="17"/>
      <c r="V479" s="17"/>
      <c r="W479" s="17"/>
      <c r="X479" s="17"/>
      <c r="Y479" s="17"/>
      <c r="Z479" s="16"/>
      <c r="AA479" s="15"/>
      <c r="AB479" s="4"/>
      <c r="AC479" s="14"/>
      <c r="AD479" s="13"/>
    </row>
    <row r="480" spans="1:30">
      <c r="A480" s="20"/>
      <c r="B480" s="11"/>
      <c r="C480" s="10"/>
      <c r="D480" s="10"/>
      <c r="E480" s="10"/>
      <c r="G480" s="19"/>
      <c r="H480" s="19"/>
      <c r="I480" s="19"/>
      <c r="J480" s="19"/>
      <c r="K480" s="19"/>
      <c r="L480" s="18"/>
      <c r="M480" s="18"/>
      <c r="N480" s="18"/>
      <c r="O480" s="18"/>
      <c r="P480" s="18"/>
      <c r="R480" s="17"/>
      <c r="S480" s="17"/>
      <c r="T480" s="17"/>
      <c r="U480" s="17"/>
      <c r="V480" s="17"/>
      <c r="W480" s="17"/>
      <c r="X480" s="17"/>
      <c r="Y480" s="17"/>
      <c r="Z480" s="16"/>
      <c r="AA480" s="15"/>
      <c r="AB480" s="4"/>
      <c r="AC480" s="14"/>
      <c r="AD480" s="13"/>
    </row>
    <row r="481" spans="1:30">
      <c r="A481" s="20"/>
      <c r="B481" s="11"/>
      <c r="C481" s="10"/>
      <c r="D481" s="10"/>
      <c r="E481" s="10"/>
      <c r="G481" s="19"/>
      <c r="H481" s="19"/>
      <c r="I481" s="19"/>
      <c r="J481" s="19"/>
      <c r="K481" s="19"/>
      <c r="L481" s="18"/>
      <c r="M481" s="18"/>
      <c r="N481" s="18"/>
      <c r="O481" s="18"/>
      <c r="P481" s="18"/>
      <c r="R481" s="17"/>
      <c r="S481" s="17"/>
      <c r="T481" s="17"/>
      <c r="U481" s="17"/>
      <c r="V481" s="17"/>
      <c r="W481" s="17"/>
      <c r="X481" s="17"/>
      <c r="Y481" s="17"/>
      <c r="Z481" s="16"/>
      <c r="AA481" s="15"/>
      <c r="AB481" s="4"/>
      <c r="AC481" s="14"/>
      <c r="AD481" s="13"/>
    </row>
    <row r="482" spans="1:30">
      <c r="A482" s="20"/>
      <c r="B482" s="11"/>
      <c r="C482" s="10"/>
      <c r="D482" s="10"/>
      <c r="E482" s="10"/>
      <c r="G482" s="19"/>
      <c r="H482" s="19"/>
      <c r="I482" s="19"/>
      <c r="J482" s="19"/>
      <c r="K482" s="19"/>
      <c r="L482" s="18"/>
      <c r="M482" s="18"/>
      <c r="N482" s="18"/>
      <c r="O482" s="18"/>
      <c r="P482" s="18"/>
      <c r="R482" s="17"/>
      <c r="S482" s="17"/>
      <c r="T482" s="17"/>
      <c r="U482" s="17"/>
      <c r="V482" s="17"/>
      <c r="W482" s="17"/>
      <c r="X482" s="17"/>
      <c r="Y482" s="17"/>
      <c r="Z482" s="16"/>
      <c r="AA482" s="15"/>
      <c r="AB482" s="4"/>
      <c r="AC482" s="14"/>
      <c r="AD482" s="13"/>
    </row>
    <row r="483" spans="1:30">
      <c r="A483" s="20"/>
      <c r="B483" s="11"/>
      <c r="C483" s="10"/>
      <c r="D483" s="10"/>
      <c r="E483" s="10"/>
      <c r="G483" s="19"/>
      <c r="H483" s="19"/>
      <c r="I483" s="19"/>
      <c r="J483" s="19"/>
      <c r="K483" s="19"/>
      <c r="L483" s="18"/>
      <c r="M483" s="18"/>
      <c r="N483" s="18"/>
      <c r="O483" s="18"/>
      <c r="P483" s="18"/>
      <c r="R483" s="17"/>
      <c r="S483" s="17"/>
      <c r="T483" s="17"/>
      <c r="U483" s="17"/>
      <c r="V483" s="17"/>
      <c r="W483" s="17"/>
      <c r="X483" s="17"/>
      <c r="Y483" s="17"/>
      <c r="Z483" s="16"/>
      <c r="AA483" s="15"/>
      <c r="AB483" s="4"/>
      <c r="AC483" s="14"/>
      <c r="AD483" s="13"/>
    </row>
    <row r="484" spans="1:30">
      <c r="A484" s="20"/>
      <c r="B484" s="11"/>
      <c r="C484" s="10"/>
      <c r="D484" s="10"/>
      <c r="E484" s="10"/>
      <c r="G484" s="19"/>
      <c r="H484" s="19"/>
      <c r="I484" s="19"/>
      <c r="J484" s="19"/>
      <c r="K484" s="19"/>
      <c r="L484" s="18"/>
      <c r="M484" s="18"/>
      <c r="N484" s="18"/>
      <c r="O484" s="18"/>
      <c r="P484" s="18"/>
      <c r="R484" s="17"/>
      <c r="S484" s="17"/>
      <c r="T484" s="17"/>
      <c r="U484" s="17"/>
      <c r="V484" s="17"/>
      <c r="W484" s="17"/>
      <c r="X484" s="17"/>
      <c r="Y484" s="17"/>
      <c r="Z484" s="16"/>
      <c r="AA484" s="15"/>
      <c r="AB484" s="4"/>
      <c r="AC484" s="14"/>
      <c r="AD484" s="13"/>
    </row>
    <row r="485" spans="1:30">
      <c r="A485" s="20"/>
      <c r="B485" s="11"/>
      <c r="C485" s="10"/>
      <c r="D485" s="10"/>
      <c r="E485" s="10"/>
      <c r="G485" s="19"/>
      <c r="H485" s="19"/>
      <c r="I485" s="19"/>
      <c r="J485" s="19"/>
      <c r="K485" s="19"/>
      <c r="L485" s="18"/>
      <c r="M485" s="18"/>
      <c r="N485" s="18"/>
      <c r="O485" s="18"/>
      <c r="P485" s="18"/>
      <c r="R485" s="17"/>
      <c r="S485" s="17"/>
      <c r="T485" s="17"/>
      <c r="U485" s="17"/>
      <c r="V485" s="17"/>
      <c r="W485" s="17"/>
      <c r="X485" s="17"/>
      <c r="Y485" s="17"/>
      <c r="Z485" s="16"/>
      <c r="AA485" s="15"/>
      <c r="AB485" s="4"/>
      <c r="AC485" s="14"/>
      <c r="AD485" s="13"/>
    </row>
    <row r="486" spans="1:30">
      <c r="A486" s="20"/>
      <c r="B486" s="11"/>
      <c r="C486" s="10"/>
      <c r="D486" s="10"/>
      <c r="E486" s="10"/>
      <c r="G486" s="19"/>
      <c r="H486" s="19"/>
      <c r="I486" s="19"/>
      <c r="J486" s="19"/>
      <c r="K486" s="19"/>
      <c r="L486" s="18"/>
      <c r="M486" s="18"/>
      <c r="N486" s="18"/>
      <c r="O486" s="18"/>
      <c r="P486" s="18"/>
      <c r="R486" s="17"/>
      <c r="S486" s="17"/>
      <c r="T486" s="17"/>
      <c r="U486" s="17"/>
      <c r="V486" s="17"/>
      <c r="W486" s="17"/>
      <c r="X486" s="17"/>
      <c r="Y486" s="17"/>
      <c r="Z486" s="16"/>
      <c r="AA486" s="15"/>
      <c r="AB486" s="4"/>
      <c r="AC486" s="14"/>
      <c r="AD486" s="13"/>
    </row>
    <row r="487" spans="1:30">
      <c r="A487" s="20"/>
      <c r="B487" s="11"/>
      <c r="C487" s="10"/>
      <c r="D487" s="10"/>
      <c r="E487" s="10"/>
      <c r="G487" s="19"/>
      <c r="H487" s="19"/>
      <c r="I487" s="19"/>
      <c r="J487" s="19"/>
      <c r="K487" s="19"/>
      <c r="L487" s="18"/>
      <c r="M487" s="18"/>
      <c r="N487" s="18"/>
      <c r="O487" s="18"/>
      <c r="P487" s="18"/>
      <c r="R487" s="17"/>
      <c r="S487" s="17"/>
      <c r="T487" s="17"/>
      <c r="U487" s="17"/>
      <c r="V487" s="17"/>
      <c r="W487" s="17"/>
      <c r="X487" s="17"/>
      <c r="Y487" s="17"/>
      <c r="Z487" s="16"/>
      <c r="AA487" s="15"/>
      <c r="AB487" s="4"/>
      <c r="AC487" s="14"/>
      <c r="AD487" s="13"/>
    </row>
    <row r="488" spans="1:30">
      <c r="A488" s="20"/>
      <c r="B488" s="11"/>
      <c r="C488" s="10"/>
      <c r="D488" s="10"/>
      <c r="E488" s="10"/>
      <c r="G488" s="19"/>
      <c r="H488" s="19"/>
      <c r="I488" s="19"/>
      <c r="J488" s="19"/>
      <c r="K488" s="19"/>
      <c r="L488" s="18"/>
      <c r="M488" s="18"/>
      <c r="N488" s="18"/>
      <c r="O488" s="18"/>
      <c r="P488" s="18"/>
      <c r="R488" s="17"/>
      <c r="S488" s="17"/>
      <c r="T488" s="17"/>
      <c r="U488" s="17"/>
      <c r="V488" s="17"/>
      <c r="W488" s="17"/>
      <c r="X488" s="17"/>
      <c r="Y488" s="17"/>
      <c r="Z488" s="16"/>
      <c r="AA488" s="15"/>
      <c r="AB488" s="4"/>
      <c r="AC488" s="14"/>
      <c r="AD488" s="13"/>
    </row>
    <row r="489" spans="1:30">
      <c r="A489" s="20"/>
      <c r="B489" s="11"/>
      <c r="C489" s="10"/>
      <c r="D489" s="10"/>
      <c r="E489" s="10"/>
      <c r="G489" s="19"/>
      <c r="H489" s="19"/>
      <c r="I489" s="19"/>
      <c r="J489" s="19"/>
      <c r="K489" s="19"/>
      <c r="L489" s="18"/>
      <c r="M489" s="18"/>
      <c r="N489" s="18"/>
      <c r="O489" s="18"/>
      <c r="P489" s="18"/>
      <c r="R489" s="17"/>
      <c r="S489" s="17"/>
      <c r="T489" s="17"/>
      <c r="U489" s="17"/>
      <c r="V489" s="17"/>
      <c r="W489" s="17"/>
      <c r="X489" s="17"/>
      <c r="Y489" s="17"/>
      <c r="Z489" s="16"/>
      <c r="AA489" s="15"/>
      <c r="AB489" s="4"/>
      <c r="AC489" s="14"/>
      <c r="AD489" s="13"/>
    </row>
    <row r="490" spans="1:30">
      <c r="A490" s="20"/>
      <c r="B490" s="11"/>
      <c r="C490" s="10"/>
      <c r="D490" s="10"/>
      <c r="E490" s="10"/>
      <c r="G490" s="19"/>
      <c r="H490" s="19"/>
      <c r="I490" s="19"/>
      <c r="J490" s="19"/>
      <c r="K490" s="19"/>
      <c r="L490" s="18"/>
      <c r="M490" s="18"/>
      <c r="N490" s="18"/>
      <c r="O490" s="18"/>
      <c r="P490" s="18"/>
      <c r="R490" s="17"/>
      <c r="S490" s="17"/>
      <c r="T490" s="17"/>
      <c r="U490" s="17"/>
      <c r="V490" s="17"/>
      <c r="W490" s="17"/>
      <c r="X490" s="17"/>
      <c r="Y490" s="17"/>
      <c r="Z490" s="16"/>
      <c r="AA490" s="15"/>
      <c r="AB490" s="4"/>
      <c r="AC490" s="14"/>
      <c r="AD490" s="13"/>
    </row>
    <row r="491" spans="1:30">
      <c r="A491" s="20"/>
      <c r="B491" s="11"/>
      <c r="C491" s="10"/>
      <c r="D491" s="10"/>
      <c r="E491" s="10"/>
      <c r="G491" s="19"/>
      <c r="H491" s="19"/>
      <c r="I491" s="19"/>
      <c r="J491" s="19"/>
      <c r="K491" s="19"/>
      <c r="L491" s="18"/>
      <c r="M491" s="18"/>
      <c r="N491" s="18"/>
      <c r="O491" s="18"/>
      <c r="P491" s="18"/>
      <c r="R491" s="17"/>
      <c r="S491" s="17"/>
      <c r="T491" s="17"/>
      <c r="U491" s="17"/>
      <c r="V491" s="17"/>
      <c r="W491" s="17"/>
      <c r="X491" s="17"/>
      <c r="Y491" s="17"/>
      <c r="Z491" s="16"/>
      <c r="AA491" s="15"/>
      <c r="AB491" s="4"/>
      <c r="AC491" s="14"/>
      <c r="AD491" s="13"/>
    </row>
    <row r="492" spans="1:30">
      <c r="A492" s="20"/>
      <c r="B492" s="11"/>
      <c r="C492" s="10"/>
      <c r="D492" s="10"/>
      <c r="E492" s="10"/>
      <c r="G492" s="19"/>
      <c r="H492" s="19"/>
      <c r="I492" s="19"/>
      <c r="J492" s="19"/>
      <c r="K492" s="19"/>
      <c r="L492" s="18"/>
      <c r="M492" s="18"/>
      <c r="N492" s="18"/>
      <c r="O492" s="18"/>
      <c r="P492" s="18"/>
      <c r="R492" s="17"/>
      <c r="S492" s="17"/>
      <c r="T492" s="17"/>
      <c r="U492" s="17"/>
      <c r="V492" s="17"/>
      <c r="W492" s="17"/>
      <c r="X492" s="17"/>
      <c r="Y492" s="17"/>
      <c r="Z492" s="16"/>
      <c r="AA492" s="15"/>
      <c r="AB492" s="4"/>
      <c r="AC492" s="14"/>
      <c r="AD492" s="13"/>
    </row>
    <row r="493" spans="1:30">
      <c r="A493" s="20"/>
      <c r="B493" s="11"/>
      <c r="C493" s="10"/>
      <c r="D493" s="10"/>
      <c r="E493" s="10"/>
      <c r="G493" s="19"/>
      <c r="H493" s="19"/>
      <c r="I493" s="19"/>
      <c r="J493" s="19"/>
      <c r="K493" s="19"/>
      <c r="L493" s="18"/>
      <c r="M493" s="18"/>
      <c r="N493" s="18"/>
      <c r="O493" s="18"/>
      <c r="P493" s="18"/>
      <c r="R493" s="17"/>
      <c r="S493" s="17"/>
      <c r="T493" s="17"/>
      <c r="U493" s="17"/>
      <c r="V493" s="17"/>
      <c r="W493" s="17"/>
      <c r="X493" s="17"/>
      <c r="Y493" s="17"/>
      <c r="Z493" s="16"/>
      <c r="AA493" s="15"/>
      <c r="AB493" s="4"/>
      <c r="AC493" s="14"/>
      <c r="AD493" s="13"/>
    </row>
    <row r="494" spans="1:30">
      <c r="A494" s="20"/>
      <c r="B494" s="11"/>
      <c r="C494" s="10"/>
      <c r="D494" s="10"/>
      <c r="E494" s="10"/>
      <c r="G494" s="19"/>
      <c r="H494" s="19"/>
      <c r="I494" s="19"/>
      <c r="J494" s="19"/>
      <c r="K494" s="19"/>
      <c r="L494" s="18"/>
      <c r="M494" s="18"/>
      <c r="N494" s="18"/>
      <c r="O494" s="18"/>
      <c r="P494" s="18"/>
      <c r="R494" s="17"/>
      <c r="S494" s="17"/>
      <c r="T494" s="17"/>
      <c r="U494" s="17"/>
      <c r="V494" s="17"/>
      <c r="W494" s="17"/>
      <c r="X494" s="17"/>
      <c r="Y494" s="17"/>
      <c r="Z494" s="16"/>
      <c r="AA494" s="15"/>
      <c r="AB494" s="4"/>
      <c r="AC494" s="14"/>
      <c r="AD494" s="13"/>
    </row>
    <row r="495" spans="1:30">
      <c r="A495" s="20"/>
      <c r="B495" s="11"/>
      <c r="C495" s="10"/>
      <c r="D495" s="10"/>
      <c r="E495" s="10"/>
      <c r="G495" s="19"/>
      <c r="H495" s="19"/>
      <c r="I495" s="19"/>
      <c r="J495" s="19"/>
      <c r="K495" s="19"/>
      <c r="L495" s="18"/>
      <c r="M495" s="18"/>
      <c r="N495" s="18"/>
      <c r="O495" s="18"/>
      <c r="P495" s="18"/>
      <c r="R495" s="17"/>
      <c r="S495" s="17"/>
      <c r="T495" s="17"/>
      <c r="U495" s="17"/>
      <c r="V495" s="17"/>
      <c r="W495" s="17"/>
      <c r="X495" s="17"/>
      <c r="Y495" s="17"/>
      <c r="Z495" s="16"/>
      <c r="AA495" s="15"/>
      <c r="AB495" s="4"/>
      <c r="AC495" s="14"/>
      <c r="AD495" s="13"/>
    </row>
    <row r="496" spans="1:30">
      <c r="A496" s="20"/>
      <c r="B496" s="11"/>
      <c r="C496" s="10"/>
      <c r="D496" s="10"/>
      <c r="E496" s="10"/>
      <c r="G496" s="19"/>
      <c r="H496" s="19"/>
      <c r="I496" s="19"/>
      <c r="J496" s="19"/>
      <c r="K496" s="19"/>
      <c r="L496" s="18"/>
      <c r="M496" s="18"/>
      <c r="N496" s="18"/>
      <c r="O496" s="18"/>
      <c r="P496" s="18"/>
      <c r="R496" s="17"/>
      <c r="S496" s="17"/>
      <c r="T496" s="17"/>
      <c r="U496" s="17"/>
      <c r="V496" s="17"/>
      <c r="W496" s="17"/>
      <c r="X496" s="17"/>
      <c r="Y496" s="17"/>
      <c r="Z496" s="16"/>
      <c r="AA496" s="15"/>
      <c r="AB496" s="4"/>
      <c r="AC496" s="14"/>
      <c r="AD496" s="13"/>
    </row>
    <row r="497" spans="1:30">
      <c r="A497" s="20"/>
      <c r="B497" s="11"/>
      <c r="C497" s="10"/>
      <c r="D497" s="10"/>
      <c r="E497" s="10"/>
      <c r="G497" s="19"/>
      <c r="H497" s="19"/>
      <c r="I497" s="19"/>
      <c r="J497" s="19"/>
      <c r="K497" s="19"/>
      <c r="L497" s="18"/>
      <c r="M497" s="18"/>
      <c r="N497" s="18"/>
      <c r="O497" s="18"/>
      <c r="P497" s="18"/>
      <c r="R497" s="17"/>
      <c r="S497" s="17"/>
      <c r="T497" s="17"/>
      <c r="U497" s="17"/>
      <c r="V497" s="17"/>
      <c r="W497" s="17"/>
      <c r="X497" s="17"/>
      <c r="Y497" s="17"/>
      <c r="Z497" s="16"/>
      <c r="AA497" s="15"/>
      <c r="AB497" s="4"/>
      <c r="AC497" s="14"/>
      <c r="AD497" s="13"/>
    </row>
    <row r="498" spans="1:30">
      <c r="A498" s="20"/>
      <c r="B498" s="11"/>
      <c r="C498" s="10"/>
      <c r="D498" s="10"/>
      <c r="E498" s="10"/>
      <c r="G498" s="19"/>
      <c r="H498" s="19"/>
      <c r="I498" s="19"/>
      <c r="J498" s="19"/>
      <c r="K498" s="19"/>
      <c r="L498" s="18"/>
      <c r="M498" s="18"/>
      <c r="N498" s="18"/>
      <c r="O498" s="18"/>
      <c r="P498" s="18"/>
      <c r="R498" s="17"/>
      <c r="S498" s="17"/>
      <c r="T498" s="17"/>
      <c r="U498" s="17"/>
      <c r="V498" s="17"/>
      <c r="W498" s="17"/>
      <c r="X498" s="17"/>
      <c r="Y498" s="17"/>
      <c r="Z498" s="16"/>
      <c r="AA498" s="15"/>
      <c r="AB498" s="4"/>
      <c r="AC498" s="14"/>
      <c r="AD498" s="13"/>
    </row>
    <row r="499" spans="1:30">
      <c r="A499" s="20"/>
      <c r="B499" s="11"/>
      <c r="C499" s="10"/>
      <c r="D499" s="10"/>
      <c r="E499" s="10"/>
      <c r="G499" s="19"/>
      <c r="H499" s="19"/>
      <c r="I499" s="19"/>
      <c r="J499" s="19"/>
      <c r="K499" s="19"/>
      <c r="L499" s="18"/>
      <c r="M499" s="18"/>
      <c r="N499" s="18"/>
      <c r="O499" s="18"/>
      <c r="P499" s="18"/>
      <c r="R499" s="17"/>
      <c r="S499" s="17"/>
      <c r="T499" s="17"/>
      <c r="U499" s="17"/>
      <c r="V499" s="17"/>
      <c r="W499" s="17"/>
      <c r="X499" s="17"/>
      <c r="Y499" s="17"/>
      <c r="Z499" s="16"/>
      <c r="AA499" s="15"/>
      <c r="AB499" s="4"/>
      <c r="AC499" s="14"/>
      <c r="AD499" s="13"/>
    </row>
    <row r="500" spans="1:30">
      <c r="A500" s="20"/>
      <c r="B500" s="11"/>
      <c r="C500" s="10"/>
      <c r="D500" s="10"/>
      <c r="E500" s="10"/>
      <c r="G500" s="19"/>
      <c r="H500" s="19"/>
      <c r="I500" s="19"/>
      <c r="J500" s="19"/>
      <c r="K500" s="19"/>
      <c r="L500" s="18"/>
      <c r="M500" s="18"/>
      <c r="N500" s="18"/>
      <c r="O500" s="18"/>
      <c r="P500" s="18"/>
      <c r="R500" s="17"/>
      <c r="S500" s="17"/>
      <c r="T500" s="17"/>
      <c r="U500" s="17"/>
      <c r="V500" s="17"/>
      <c r="W500" s="17"/>
      <c r="X500" s="17"/>
      <c r="Y500" s="17"/>
      <c r="Z500" s="16"/>
      <c r="AA500" s="15"/>
      <c r="AB500" s="4"/>
      <c r="AC500" s="14"/>
      <c r="AD500" s="13"/>
    </row>
    <row r="501" spans="1:30">
      <c r="A501" s="20"/>
      <c r="B501" s="11"/>
      <c r="C501" s="10"/>
      <c r="D501" s="10"/>
      <c r="E501" s="10"/>
      <c r="G501" s="19"/>
      <c r="H501" s="19"/>
      <c r="I501" s="19"/>
      <c r="J501" s="19"/>
      <c r="K501" s="19"/>
      <c r="L501" s="18"/>
      <c r="M501" s="18"/>
      <c r="N501" s="18"/>
      <c r="O501" s="18"/>
      <c r="P501" s="18"/>
      <c r="R501" s="17"/>
      <c r="S501" s="17"/>
      <c r="T501" s="17"/>
      <c r="U501" s="17"/>
      <c r="V501" s="17"/>
      <c r="W501" s="17"/>
      <c r="X501" s="17"/>
      <c r="Y501" s="17"/>
      <c r="Z501" s="16"/>
      <c r="AA501" s="15"/>
      <c r="AB501" s="4"/>
      <c r="AC501" s="14"/>
      <c r="AD501" s="13"/>
    </row>
    <row r="502" spans="1:30">
      <c r="A502" s="20"/>
      <c r="B502" s="11"/>
      <c r="C502" s="10"/>
      <c r="D502" s="10"/>
      <c r="E502" s="10"/>
      <c r="G502" s="19"/>
      <c r="H502" s="19"/>
      <c r="I502" s="19"/>
      <c r="J502" s="19"/>
      <c r="K502" s="19"/>
      <c r="L502" s="18"/>
      <c r="M502" s="18"/>
      <c r="N502" s="18"/>
      <c r="O502" s="18"/>
      <c r="P502" s="18"/>
      <c r="R502" s="17"/>
      <c r="S502" s="17"/>
      <c r="T502" s="17"/>
      <c r="U502" s="17"/>
      <c r="V502" s="17"/>
      <c r="W502" s="17"/>
      <c r="X502" s="17"/>
      <c r="Y502" s="17"/>
      <c r="Z502" s="16"/>
      <c r="AA502" s="15"/>
      <c r="AB502" s="4"/>
      <c r="AC502" s="14"/>
      <c r="AD502" s="13"/>
    </row>
    <row r="503" spans="1:30">
      <c r="A503" s="20"/>
      <c r="B503" s="11"/>
      <c r="C503" s="10"/>
      <c r="D503" s="10"/>
      <c r="E503" s="10"/>
      <c r="G503" s="19"/>
      <c r="H503" s="19"/>
      <c r="I503" s="19"/>
      <c r="J503" s="19"/>
      <c r="K503" s="19"/>
      <c r="L503" s="18"/>
      <c r="M503" s="18"/>
      <c r="N503" s="18"/>
      <c r="O503" s="18"/>
      <c r="P503" s="18"/>
      <c r="R503" s="17"/>
      <c r="S503" s="17"/>
      <c r="T503" s="17"/>
      <c r="U503" s="17"/>
      <c r="V503" s="17"/>
      <c r="W503" s="17"/>
      <c r="X503" s="17"/>
      <c r="Y503" s="17"/>
      <c r="Z503" s="16"/>
      <c r="AA503" s="15"/>
      <c r="AB503" s="4"/>
      <c r="AC503" s="14"/>
      <c r="AD503" s="13"/>
    </row>
    <row r="504" spans="1:30">
      <c r="A504" s="20"/>
      <c r="B504" s="11"/>
      <c r="C504" s="10"/>
      <c r="D504" s="10"/>
      <c r="E504" s="10"/>
      <c r="G504" s="19"/>
      <c r="H504" s="19"/>
      <c r="I504" s="19"/>
      <c r="J504" s="19"/>
      <c r="K504" s="19"/>
      <c r="L504" s="18"/>
      <c r="M504" s="18"/>
      <c r="N504" s="18"/>
      <c r="O504" s="18"/>
      <c r="P504" s="18"/>
      <c r="R504" s="17"/>
      <c r="S504" s="17"/>
      <c r="T504" s="17"/>
      <c r="U504" s="17"/>
      <c r="V504" s="17"/>
      <c r="W504" s="17"/>
      <c r="X504" s="17"/>
      <c r="Y504" s="17"/>
      <c r="Z504" s="16"/>
      <c r="AA504" s="15"/>
      <c r="AB504" s="4"/>
      <c r="AC504" s="14"/>
      <c r="AD504" s="13"/>
    </row>
    <row r="505" spans="1:30">
      <c r="A505" s="20"/>
      <c r="B505" s="11"/>
      <c r="C505" s="10"/>
      <c r="D505" s="10"/>
      <c r="E505" s="10"/>
      <c r="G505" s="19"/>
      <c r="H505" s="19"/>
      <c r="I505" s="19"/>
      <c r="J505" s="19"/>
      <c r="K505" s="19"/>
      <c r="L505" s="18"/>
      <c r="M505" s="18"/>
      <c r="N505" s="18"/>
      <c r="O505" s="18"/>
      <c r="P505" s="18"/>
      <c r="R505" s="17"/>
      <c r="S505" s="17"/>
      <c r="T505" s="17"/>
      <c r="U505" s="17"/>
      <c r="V505" s="17"/>
      <c r="W505" s="17"/>
      <c r="X505" s="17"/>
      <c r="Y505" s="17"/>
      <c r="Z505" s="16"/>
      <c r="AA505" s="15"/>
      <c r="AB505" s="4"/>
      <c r="AC505" s="14"/>
      <c r="AD505" s="13"/>
    </row>
    <row r="506" spans="1:30">
      <c r="A506" s="20"/>
      <c r="B506" s="11"/>
      <c r="C506" s="10"/>
      <c r="D506" s="10"/>
      <c r="E506" s="10"/>
      <c r="G506" s="19"/>
      <c r="H506" s="19"/>
      <c r="I506" s="19"/>
      <c r="J506" s="19"/>
      <c r="K506" s="19"/>
      <c r="L506" s="18"/>
      <c r="M506" s="18"/>
      <c r="N506" s="18"/>
      <c r="O506" s="18"/>
      <c r="P506" s="18"/>
      <c r="R506" s="17"/>
      <c r="S506" s="17"/>
      <c r="T506" s="17"/>
      <c r="U506" s="17"/>
      <c r="V506" s="17"/>
      <c r="W506" s="17"/>
      <c r="X506" s="17"/>
      <c r="Y506" s="17"/>
      <c r="Z506" s="16"/>
      <c r="AA506" s="15"/>
      <c r="AB506" s="4"/>
      <c r="AC506" s="14"/>
      <c r="AD506" s="13"/>
    </row>
    <row r="507" spans="1:30">
      <c r="A507" s="20"/>
      <c r="B507" s="11"/>
      <c r="C507" s="10"/>
      <c r="D507" s="10"/>
      <c r="E507" s="10"/>
      <c r="G507" s="19"/>
      <c r="H507" s="19"/>
      <c r="I507" s="19"/>
      <c r="J507" s="19"/>
      <c r="K507" s="19"/>
      <c r="L507" s="18"/>
      <c r="M507" s="18"/>
      <c r="N507" s="18"/>
      <c r="O507" s="18"/>
      <c r="P507" s="18"/>
      <c r="R507" s="17"/>
      <c r="S507" s="17"/>
      <c r="T507" s="17"/>
      <c r="U507" s="17"/>
      <c r="V507" s="17"/>
      <c r="W507" s="17"/>
      <c r="X507" s="17"/>
      <c r="Y507" s="17"/>
      <c r="Z507" s="16"/>
      <c r="AA507" s="15"/>
      <c r="AB507" s="4"/>
      <c r="AC507" s="14"/>
      <c r="AD507" s="13"/>
    </row>
    <row r="508" spans="1:30">
      <c r="A508" s="20"/>
      <c r="B508" s="11"/>
      <c r="C508" s="10"/>
      <c r="D508" s="10"/>
      <c r="E508" s="10"/>
      <c r="G508" s="19"/>
      <c r="H508" s="19"/>
      <c r="I508" s="19"/>
      <c r="J508" s="19"/>
      <c r="K508" s="19"/>
      <c r="L508" s="18"/>
      <c r="M508" s="18"/>
      <c r="N508" s="18"/>
      <c r="O508" s="18"/>
      <c r="P508" s="18"/>
      <c r="R508" s="17"/>
      <c r="S508" s="17"/>
      <c r="T508" s="17"/>
      <c r="U508" s="17"/>
      <c r="V508" s="17"/>
      <c r="W508" s="17"/>
      <c r="X508" s="17"/>
      <c r="Y508" s="17"/>
      <c r="Z508" s="16"/>
      <c r="AA508" s="15"/>
      <c r="AB508" s="4"/>
      <c r="AC508" s="14"/>
      <c r="AD508" s="13"/>
    </row>
    <row r="509" spans="1:30">
      <c r="A509" s="20"/>
      <c r="B509" s="11"/>
      <c r="C509" s="10"/>
      <c r="D509" s="10"/>
      <c r="E509" s="10"/>
      <c r="G509" s="19"/>
      <c r="H509" s="19"/>
      <c r="I509" s="19"/>
      <c r="J509" s="19"/>
      <c r="K509" s="19"/>
      <c r="L509" s="18"/>
      <c r="M509" s="18"/>
      <c r="N509" s="18"/>
      <c r="O509" s="18"/>
      <c r="P509" s="18"/>
      <c r="R509" s="17"/>
      <c r="S509" s="17"/>
      <c r="T509" s="17"/>
      <c r="U509" s="17"/>
      <c r="V509" s="17"/>
      <c r="W509" s="17"/>
      <c r="X509" s="17"/>
      <c r="Y509" s="17"/>
      <c r="Z509" s="16"/>
      <c r="AA509" s="15"/>
      <c r="AB509" s="4"/>
      <c r="AC509" s="14"/>
      <c r="AD509" s="13"/>
    </row>
    <row r="510" spans="1:30">
      <c r="A510" s="12"/>
      <c r="B510" s="11"/>
      <c r="C510" s="10"/>
      <c r="D510" s="10"/>
      <c r="E510" s="10"/>
      <c r="G510" s="9"/>
      <c r="H510" s="9"/>
      <c r="I510" s="9"/>
      <c r="J510" s="9"/>
      <c r="K510" s="9"/>
      <c r="L510" s="8"/>
      <c r="M510" s="8"/>
      <c r="N510" s="8"/>
      <c r="O510" s="8"/>
      <c r="P510" s="8"/>
      <c r="R510" s="7"/>
      <c r="S510" s="7"/>
      <c r="T510" s="7"/>
      <c r="U510" s="7"/>
      <c r="V510" s="7"/>
      <c r="W510" s="7"/>
      <c r="X510" s="7"/>
      <c r="Y510" s="7"/>
      <c r="Z510" s="6"/>
      <c r="AA510" s="5"/>
      <c r="AB510" s="4"/>
      <c r="AC510" s="3"/>
      <c r="AD510" s="2"/>
    </row>
    <row r="511" spans="1:30">
      <c r="A511" s="12"/>
      <c r="B511" s="11"/>
      <c r="C511" s="10"/>
      <c r="D511" s="10"/>
      <c r="E511" s="10"/>
      <c r="G511" s="9"/>
      <c r="H511" s="9"/>
      <c r="I511" s="9"/>
      <c r="J511" s="9"/>
      <c r="K511" s="9"/>
      <c r="L511" s="8"/>
      <c r="M511" s="8"/>
      <c r="N511" s="8"/>
      <c r="O511" s="8"/>
      <c r="P511" s="8"/>
      <c r="R511" s="7"/>
      <c r="S511" s="7"/>
      <c r="T511" s="7"/>
      <c r="U511" s="7"/>
      <c r="V511" s="7"/>
      <c r="W511" s="7"/>
      <c r="X511" s="7"/>
      <c r="Y511" s="7"/>
      <c r="Z511" s="6"/>
      <c r="AA511" s="5"/>
      <c r="AB511" s="4"/>
      <c r="AC511" s="3"/>
      <c r="AD511" s="2"/>
    </row>
  </sheetData>
  <mergeCells count="6">
    <mergeCell ref="V3:Y3"/>
    <mergeCell ref="G215:J215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68" fitToHeight="6" orientation="landscape" r:id="rId1"/>
  <headerFooter>
    <oddFooter>&amp;RPage &amp;P of &amp;N
Rev 2, 15 September 2009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67" sqref="C167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195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44" t="s">
        <v>189</v>
      </c>
      <c r="D3" s="344"/>
      <c r="E3" s="315" t="s">
        <v>188</v>
      </c>
      <c r="F3" s="314" t="s">
        <v>187</v>
      </c>
      <c r="G3" s="345" t="s">
        <v>186</v>
      </c>
      <c r="H3" s="345"/>
      <c r="I3" s="345"/>
      <c r="J3" s="345"/>
      <c r="K3" s="345"/>
      <c r="L3" s="346" t="s">
        <v>185</v>
      </c>
      <c r="M3" s="346"/>
      <c r="N3" s="346"/>
      <c r="O3" s="346"/>
      <c r="P3" s="346"/>
      <c r="Q3" s="313" t="s">
        <v>184</v>
      </c>
      <c r="R3" s="347" t="s">
        <v>183</v>
      </c>
      <c r="S3" s="347"/>
      <c r="T3" s="347"/>
      <c r="U3" s="347"/>
      <c r="V3" s="347" t="s">
        <v>182</v>
      </c>
      <c r="W3" s="347"/>
      <c r="X3" s="347"/>
      <c r="Y3" s="34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1.25">
      <c r="A4" s="340" t="s">
        <v>196</v>
      </c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/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400</v>
      </c>
      <c r="D7" s="207" t="s">
        <v>3</v>
      </c>
      <c r="E7" s="230">
        <v>50</v>
      </c>
      <c r="F7" s="259">
        <f>E7*C7</f>
        <v>20000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1000</v>
      </c>
      <c r="M7" s="171">
        <f>(F7+L7)*H7</f>
        <v>420</v>
      </c>
      <c r="N7" s="171">
        <f>(F7+L7+M7)*I7</f>
        <v>1071</v>
      </c>
      <c r="O7" s="171">
        <f>(F7+L7+M7+N7)*J7</f>
        <v>2743.902</v>
      </c>
      <c r="P7" s="171">
        <f>(F7+L7+M7+N7+O7)*K7</f>
        <v>2523.4902000000002</v>
      </c>
      <c r="Q7" s="170">
        <f>F7+SUM(L7:P7)</f>
        <v>27758.392200000002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1387.9196100000001</v>
      </c>
      <c r="W7" s="167">
        <f>Q7*S7</f>
        <v>1387.9196100000001</v>
      </c>
      <c r="X7" s="167">
        <f>Q7*T7</f>
        <v>1387.9196100000001</v>
      </c>
      <c r="Y7" s="167">
        <f>U7*(V7+W7)</f>
        <v>277.58392200000003</v>
      </c>
      <c r="Z7" s="183">
        <f>Q7+SUM(V7:Y7)</f>
        <v>32199.734952000003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400</v>
      </c>
      <c r="D9" s="207" t="s">
        <v>3</v>
      </c>
      <c r="E9" s="230">
        <v>75</v>
      </c>
      <c r="F9" s="259">
        <f>E9*C9</f>
        <v>30000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1500</v>
      </c>
      <c r="M9" s="171">
        <f>(F9+L9)*H9</f>
        <v>630</v>
      </c>
      <c r="N9" s="171">
        <f>(F9+L9+M9)*I9</f>
        <v>1606.5</v>
      </c>
      <c r="O9" s="171">
        <f>(F9+L9+M9+N9)*J9</f>
        <v>4115.8530000000001</v>
      </c>
      <c r="P9" s="171">
        <f>(F9+L9+M9+N9+O9)*K9</f>
        <v>3785.2353000000003</v>
      </c>
      <c r="Q9" s="170">
        <f>F9+SUM(L9:P9)</f>
        <v>41637.588300000003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2081.8794150000003</v>
      </c>
      <c r="W9" s="167">
        <f>Q9*S9</f>
        <v>2081.8794150000003</v>
      </c>
      <c r="X9" s="167">
        <f>Q9*T9</f>
        <v>2081.8794150000003</v>
      </c>
      <c r="Y9" s="167">
        <f>U9*(V9+W9)</f>
        <v>416.3758830000001</v>
      </c>
      <c r="Z9" s="183">
        <f>Q9+SUM(V9:Y9)</f>
        <v>48299.602428000006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400</v>
      </c>
      <c r="D18" s="207" t="s">
        <v>3</v>
      </c>
      <c r="E18" s="249">
        <v>233</v>
      </c>
      <c r="F18" s="174">
        <f t="shared" si="0"/>
        <v>93200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4660</v>
      </c>
      <c r="M18" s="171">
        <f t="shared" si="2"/>
        <v>1957.2</v>
      </c>
      <c r="N18" s="171">
        <f t="shared" si="3"/>
        <v>4990.8600000000006</v>
      </c>
      <c r="O18" s="171">
        <f t="shared" si="4"/>
        <v>12786.58332</v>
      </c>
      <c r="P18" s="171">
        <f t="shared" si="5"/>
        <v>11759.464332000001</v>
      </c>
      <c r="Q18" s="170">
        <f t="shared" si="6"/>
        <v>129354.10765200001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6467.705382600001</v>
      </c>
      <c r="W18" s="167">
        <f t="shared" si="8"/>
        <v>6467.705382600001</v>
      </c>
      <c r="X18" s="167">
        <f t="shared" si="9"/>
        <v>6467.705382600001</v>
      </c>
      <c r="Y18" s="167">
        <f t="shared" si="10"/>
        <v>1293.5410765200004</v>
      </c>
      <c r="Z18" s="183">
        <f t="shared" si="11"/>
        <v>150050.76487632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400</v>
      </c>
      <c r="D34" s="207" t="s">
        <v>3</v>
      </c>
      <c r="E34" s="230">
        <v>205</v>
      </c>
      <c r="F34" s="174">
        <f t="shared" si="12"/>
        <v>82000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4100</v>
      </c>
      <c r="M34" s="171">
        <f t="shared" si="14"/>
        <v>1722</v>
      </c>
      <c r="N34" s="171">
        <f t="shared" si="15"/>
        <v>4391.1000000000004</v>
      </c>
      <c r="O34" s="171">
        <f t="shared" si="16"/>
        <v>11249.9982</v>
      </c>
      <c r="P34" s="171">
        <f t="shared" si="17"/>
        <v>10346.309820000002</v>
      </c>
      <c r="Q34" s="170">
        <f t="shared" si="18"/>
        <v>113809.40802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5690.4704010000005</v>
      </c>
      <c r="W34" s="167">
        <f t="shared" si="20"/>
        <v>5690.4704010000005</v>
      </c>
      <c r="X34" s="167">
        <f t="shared" si="21"/>
        <v>5690.4704010000005</v>
      </c>
      <c r="Y34" s="167">
        <f t="shared" si="22"/>
        <v>1138.0940802000002</v>
      </c>
      <c r="Z34" s="183">
        <f t="shared" si="23"/>
        <v>132018.91330320001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400</v>
      </c>
      <c r="D51" s="207" t="s">
        <v>3</v>
      </c>
      <c r="E51" s="230">
        <v>254</v>
      </c>
      <c r="F51" s="174">
        <f t="shared" si="24"/>
        <v>101600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5080</v>
      </c>
      <c r="M51" s="171">
        <f t="shared" si="26"/>
        <v>2133.6</v>
      </c>
      <c r="N51" s="171">
        <f t="shared" si="27"/>
        <v>5440.68</v>
      </c>
      <c r="O51" s="171">
        <f t="shared" si="28"/>
        <v>13939.02216</v>
      </c>
      <c r="P51" s="171">
        <f t="shared" si="29"/>
        <v>12819.330216</v>
      </c>
      <c r="Q51" s="170">
        <f t="shared" si="30"/>
        <v>141012.63237599999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7050.6316188000001</v>
      </c>
      <c r="W51" s="167">
        <f t="shared" si="32"/>
        <v>7050.6316188000001</v>
      </c>
      <c r="X51" s="167">
        <f t="shared" si="33"/>
        <v>7050.6316188000001</v>
      </c>
      <c r="Y51" s="167">
        <f t="shared" si="34"/>
        <v>1410.1263237600001</v>
      </c>
      <c r="Z51" s="183">
        <f t="shared" si="35"/>
        <v>163574.65355615999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0</v>
      </c>
      <c r="D64" s="207" t="s">
        <v>3</v>
      </c>
      <c r="E64" s="230">
        <v>254</v>
      </c>
      <c r="F64" s="174">
        <f t="shared" si="36"/>
        <v>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0</v>
      </c>
      <c r="M64" s="171">
        <f t="shared" si="38"/>
        <v>0</v>
      </c>
      <c r="N64" s="171">
        <f t="shared" si="39"/>
        <v>0</v>
      </c>
      <c r="O64" s="171">
        <f t="shared" si="40"/>
        <v>0</v>
      </c>
      <c r="P64" s="171">
        <f t="shared" si="41"/>
        <v>0</v>
      </c>
      <c r="Q64" s="170">
        <f t="shared" si="42"/>
        <v>0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0</v>
      </c>
      <c r="W64" s="167">
        <f t="shared" si="44"/>
        <v>0</v>
      </c>
      <c r="X64" s="167">
        <f t="shared" si="45"/>
        <v>0</v>
      </c>
      <c r="Y64" s="167">
        <f t="shared" si="46"/>
        <v>0</v>
      </c>
      <c r="Z64" s="183">
        <f t="shared" si="47"/>
        <v>0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50</v>
      </c>
      <c r="D84" s="207" t="s">
        <v>3</v>
      </c>
      <c r="E84" s="230">
        <v>125</v>
      </c>
      <c r="F84" s="174">
        <f t="shared" ref="F84:F89" si="60">E84*C84</f>
        <v>6250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312.5</v>
      </c>
      <c r="M84" s="171">
        <f t="shared" ref="M84:M89" si="62">(F84+L84)*H84</f>
        <v>131.25</v>
      </c>
      <c r="N84" s="171">
        <f t="shared" ref="N84:N89" si="63">(F84+L84+M84)*I84</f>
        <v>334.6875</v>
      </c>
      <c r="O84" s="171">
        <f t="shared" ref="O84:O89" si="64">(F84+L84+M84+N84)*J84</f>
        <v>857.46937500000001</v>
      </c>
      <c r="P84" s="171">
        <f t="shared" ref="P84:P89" si="65">(F84+L84+M84+N84+O84)*K84</f>
        <v>788.59068750000006</v>
      </c>
      <c r="Q84" s="170">
        <f t="shared" ref="Q84:Q89" si="66">F84+SUM(L84:P84)</f>
        <v>8674.4975625000006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433.72487812500003</v>
      </c>
      <c r="W84" s="167">
        <f t="shared" ref="W84:W89" si="68">Q84*S84</f>
        <v>433.72487812500003</v>
      </c>
      <c r="X84" s="167">
        <f t="shared" ref="X84:X89" si="69">Q84*T84</f>
        <v>433.72487812500003</v>
      </c>
      <c r="Y84" s="167">
        <f t="shared" ref="Y84:Y89" si="70">U84*(V84+W84)</f>
        <v>86.744975625000009</v>
      </c>
      <c r="Z84" s="183">
        <f t="shared" ref="Z84:Z89" si="71">Q84+SUM(V84:Y84)</f>
        <v>10062.417172500001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4</v>
      </c>
      <c r="D85" s="207" t="s">
        <v>5</v>
      </c>
      <c r="E85" s="188">
        <v>1750</v>
      </c>
      <c r="F85" s="174">
        <f t="shared" si="60"/>
        <v>7000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350</v>
      </c>
      <c r="M85" s="171">
        <f t="shared" si="62"/>
        <v>147</v>
      </c>
      <c r="N85" s="171">
        <f t="shared" si="63"/>
        <v>374.85</v>
      </c>
      <c r="O85" s="171">
        <f t="shared" si="64"/>
        <v>960.36570000000006</v>
      </c>
      <c r="P85" s="171">
        <f t="shared" si="65"/>
        <v>883.22157000000016</v>
      </c>
      <c r="Q85" s="170">
        <f t="shared" si="66"/>
        <v>9715.4372700000004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485.77186350000005</v>
      </c>
      <c r="W85" s="167">
        <f t="shared" si="68"/>
        <v>485.77186350000005</v>
      </c>
      <c r="X85" s="167">
        <f t="shared" si="69"/>
        <v>485.77186350000005</v>
      </c>
      <c r="Y85" s="167">
        <f t="shared" si="70"/>
        <v>97.15437270000001</v>
      </c>
      <c r="Z85" s="183">
        <f t="shared" si="71"/>
        <v>11269.9072332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4</v>
      </c>
      <c r="D86" s="207" t="s">
        <v>5</v>
      </c>
      <c r="E86" s="188">
        <v>2200</v>
      </c>
      <c r="F86" s="174">
        <f t="shared" si="60"/>
        <v>8800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440</v>
      </c>
      <c r="M86" s="171">
        <f t="shared" si="62"/>
        <v>184.8</v>
      </c>
      <c r="N86" s="171">
        <f t="shared" si="63"/>
        <v>471.24</v>
      </c>
      <c r="O86" s="171">
        <f t="shared" si="64"/>
        <v>1207.3168799999999</v>
      </c>
      <c r="P86" s="171">
        <f t="shared" si="65"/>
        <v>1110.3356879999999</v>
      </c>
      <c r="Q86" s="170">
        <f t="shared" si="66"/>
        <v>12213.692567999999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610.68462839999995</v>
      </c>
      <c r="W86" s="167">
        <f t="shared" si="68"/>
        <v>610.68462839999995</v>
      </c>
      <c r="X86" s="167">
        <f t="shared" si="69"/>
        <v>610.68462839999995</v>
      </c>
      <c r="Y86" s="167">
        <f t="shared" si="70"/>
        <v>122.13692567999999</v>
      </c>
      <c r="Z86" s="183">
        <f t="shared" si="71"/>
        <v>14167.883378879998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4</v>
      </c>
      <c r="D87" s="207" t="s">
        <v>5</v>
      </c>
      <c r="E87" s="188">
        <v>1800</v>
      </c>
      <c r="F87" s="174">
        <f t="shared" si="60"/>
        <v>7200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360</v>
      </c>
      <c r="M87" s="171">
        <f t="shared" si="62"/>
        <v>151.20000000000002</v>
      </c>
      <c r="N87" s="171">
        <f t="shared" si="63"/>
        <v>385.56</v>
      </c>
      <c r="O87" s="171">
        <f t="shared" si="64"/>
        <v>987.80471999999997</v>
      </c>
      <c r="P87" s="171">
        <f t="shared" si="65"/>
        <v>908.45647200000008</v>
      </c>
      <c r="Q87" s="170">
        <f t="shared" si="66"/>
        <v>9993.0211920000002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499.65105960000005</v>
      </c>
      <c r="W87" s="167">
        <f t="shared" si="68"/>
        <v>499.65105960000005</v>
      </c>
      <c r="X87" s="167">
        <f t="shared" si="69"/>
        <v>499.65105960000005</v>
      </c>
      <c r="Y87" s="167">
        <f t="shared" si="70"/>
        <v>99.930211920000019</v>
      </c>
      <c r="Z87" s="183">
        <f t="shared" si="71"/>
        <v>11591.904582720001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4</v>
      </c>
      <c r="D89" s="207" t="s">
        <v>5</v>
      </c>
      <c r="E89" s="188">
        <v>3065</v>
      </c>
      <c r="F89" s="174">
        <f t="shared" si="60"/>
        <v>12260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613</v>
      </c>
      <c r="M89" s="171">
        <f t="shared" si="62"/>
        <v>257.45999999999998</v>
      </c>
      <c r="N89" s="171">
        <f t="shared" si="63"/>
        <v>656.52300000000002</v>
      </c>
      <c r="O89" s="171">
        <f t="shared" si="64"/>
        <v>1682.0119259999997</v>
      </c>
      <c r="P89" s="171">
        <f t="shared" si="65"/>
        <v>1546.8994925999998</v>
      </c>
      <c r="Q89" s="170">
        <f t="shared" si="66"/>
        <v>17015.894418600001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850.79472093000004</v>
      </c>
      <c r="W89" s="167">
        <f t="shared" si="68"/>
        <v>850.79472093000004</v>
      </c>
      <c r="X89" s="167">
        <f t="shared" si="69"/>
        <v>850.79472093000004</v>
      </c>
      <c r="Y89" s="167">
        <f t="shared" si="70"/>
        <v>170.15894418600001</v>
      </c>
      <c r="Z89" s="183">
        <f t="shared" si="71"/>
        <v>19738.437525576002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>
        <v>410</v>
      </c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400</v>
      </c>
      <c r="D118" s="207" t="s">
        <v>3</v>
      </c>
      <c r="E118" s="188">
        <v>265</v>
      </c>
      <c r="F118" s="174">
        <f t="shared" si="72"/>
        <v>106000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5300</v>
      </c>
      <c r="M118" s="171">
        <f t="shared" si="74"/>
        <v>2226</v>
      </c>
      <c r="N118" s="171">
        <f t="shared" si="75"/>
        <v>5676.3</v>
      </c>
      <c r="O118" s="171">
        <f t="shared" si="76"/>
        <v>14542.6806</v>
      </c>
      <c r="P118" s="171">
        <f t="shared" si="77"/>
        <v>13374.498060000002</v>
      </c>
      <c r="Q118" s="170">
        <f t="shared" si="78"/>
        <v>147119.47865999999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7355.9739330000002</v>
      </c>
      <c r="W118" s="167">
        <f t="shared" si="80"/>
        <v>7355.9739330000002</v>
      </c>
      <c r="X118" s="167">
        <f t="shared" si="81"/>
        <v>7355.9739330000002</v>
      </c>
      <c r="Y118" s="167">
        <f t="shared" si="82"/>
        <v>1471.1947866</v>
      </c>
      <c r="Z118" s="183">
        <f t="shared" si="83"/>
        <v>170658.59524559998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100</v>
      </c>
      <c r="D131" s="207" t="s">
        <v>3</v>
      </c>
      <c r="E131" s="188">
        <v>110</v>
      </c>
      <c r="F131" s="174">
        <f t="shared" si="84"/>
        <v>11000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550</v>
      </c>
      <c r="M131" s="171">
        <f t="shared" si="86"/>
        <v>231</v>
      </c>
      <c r="N131" s="171">
        <f t="shared" si="87"/>
        <v>589.05000000000007</v>
      </c>
      <c r="O131" s="171">
        <f t="shared" si="88"/>
        <v>1509.1460999999999</v>
      </c>
      <c r="P131" s="171">
        <f t="shared" si="89"/>
        <v>1387.9196099999999</v>
      </c>
      <c r="Q131" s="170">
        <f t="shared" si="90"/>
        <v>15267.11571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763.35578550000002</v>
      </c>
      <c r="W131" s="167">
        <f t="shared" si="92"/>
        <v>763.35578550000002</v>
      </c>
      <c r="X131" s="167">
        <f t="shared" si="93"/>
        <v>763.35578550000002</v>
      </c>
      <c r="Y131" s="167">
        <f t="shared" si="94"/>
        <v>152.67115710000002</v>
      </c>
      <c r="Z131" s="183">
        <f t="shared" si="95"/>
        <v>17709.854223599999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375</v>
      </c>
      <c r="D145" s="207" t="s">
        <v>3</v>
      </c>
      <c r="E145" s="188">
        <v>254</v>
      </c>
      <c r="F145" s="174">
        <f t="shared" si="96"/>
        <v>95250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4762.5</v>
      </c>
      <c r="M145" s="171">
        <f t="shared" si="98"/>
        <v>2000.25</v>
      </c>
      <c r="N145" s="171">
        <f t="shared" si="99"/>
        <v>5100.6375000000007</v>
      </c>
      <c r="O145" s="171">
        <f t="shared" si="100"/>
        <v>13067.833274999999</v>
      </c>
      <c r="P145" s="171">
        <f t="shared" si="101"/>
        <v>12018.1220775</v>
      </c>
      <c r="Q145" s="170">
        <f t="shared" si="102"/>
        <v>132199.34285250001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6609.9671426250006</v>
      </c>
      <c r="W145" s="167">
        <f t="shared" si="104"/>
        <v>6609.9671426250006</v>
      </c>
      <c r="X145" s="167">
        <f t="shared" si="105"/>
        <v>6609.9671426250006</v>
      </c>
      <c r="Y145" s="167">
        <f t="shared" si="106"/>
        <v>1321.9934285250001</v>
      </c>
      <c r="Z145" s="183">
        <f t="shared" si="107"/>
        <v>153351.23770890001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0</v>
      </c>
      <c r="D166" s="189" t="s">
        <v>5</v>
      </c>
      <c r="E166" s="188">
        <v>52250</v>
      </c>
      <c r="F166" s="174">
        <f t="shared" si="120"/>
        <v>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0</v>
      </c>
      <c r="M166" s="171">
        <f t="shared" si="122"/>
        <v>0</v>
      </c>
      <c r="N166" s="171">
        <f t="shared" si="123"/>
        <v>0</v>
      </c>
      <c r="O166" s="171">
        <f t="shared" si="124"/>
        <v>0</v>
      </c>
      <c r="P166" s="171">
        <f t="shared" si="125"/>
        <v>0</v>
      </c>
      <c r="Q166" s="170">
        <f t="shared" si="126"/>
        <v>0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0</v>
      </c>
      <c r="Y166" s="167">
        <f t="shared" si="130"/>
        <v>0</v>
      </c>
      <c r="Z166" s="183">
        <f t="shared" si="131"/>
        <v>0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2</v>
      </c>
      <c r="D167" s="189" t="s">
        <v>5</v>
      </c>
      <c r="E167" s="188">
        <v>17500</v>
      </c>
      <c r="F167" s="174">
        <f t="shared" si="120"/>
        <v>35000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1750</v>
      </c>
      <c r="M167" s="171">
        <f t="shared" si="122"/>
        <v>735</v>
      </c>
      <c r="N167" s="171">
        <f t="shared" si="123"/>
        <v>1874.25</v>
      </c>
      <c r="O167" s="171">
        <f t="shared" si="124"/>
        <v>4801.8284999999996</v>
      </c>
      <c r="P167" s="171">
        <f t="shared" si="125"/>
        <v>4416.1078500000003</v>
      </c>
      <c r="Q167" s="170">
        <f t="shared" si="126"/>
        <v>48577.186350000004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2428.8593175000001</v>
      </c>
      <c r="W167" s="167">
        <f t="shared" si="128"/>
        <v>2428.8593175000001</v>
      </c>
      <c r="X167" s="167">
        <f t="shared" si="129"/>
        <v>2428.8593175000001</v>
      </c>
      <c r="Y167" s="167">
        <f t="shared" si="130"/>
        <v>485.77186350000005</v>
      </c>
      <c r="Z167" s="183">
        <f t="shared" si="131"/>
        <v>56349.536166000005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615560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854347.79513160011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42717.38975658</v>
      </c>
      <c r="Y171" s="152"/>
      <c r="Z171" s="151">
        <f>SUM(Z7:Z170)</f>
        <v>991043.44235265604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51260.867707896003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42717.38975658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8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339">
        <f>Z171-'FTW336A Service Lateral'!Z171</f>
        <v>416012.52564610203</v>
      </c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42"/>
      <c r="H179" s="343"/>
      <c r="I179" s="343"/>
      <c r="J179" s="343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V3:Y3"/>
    <mergeCell ref="G179:J179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74" fitToHeight="6" orientation="landscape" r:id="rId1"/>
  <headerFooter>
    <oddFooter>&amp;RPage &amp;P of &amp;N
Rev 2, 15 September 2009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79" sqref="E179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193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44" t="s">
        <v>189</v>
      </c>
      <c r="D3" s="344"/>
      <c r="E3" s="315" t="s">
        <v>188</v>
      </c>
      <c r="F3" s="314" t="s">
        <v>187</v>
      </c>
      <c r="G3" s="345" t="s">
        <v>186</v>
      </c>
      <c r="H3" s="345"/>
      <c r="I3" s="345"/>
      <c r="J3" s="345"/>
      <c r="K3" s="345"/>
      <c r="L3" s="346" t="s">
        <v>185</v>
      </c>
      <c r="M3" s="346"/>
      <c r="N3" s="346"/>
      <c r="O3" s="346"/>
      <c r="P3" s="346"/>
      <c r="Q3" s="313" t="s">
        <v>184</v>
      </c>
      <c r="R3" s="347" t="s">
        <v>183</v>
      </c>
      <c r="S3" s="347"/>
      <c r="T3" s="347"/>
      <c r="U3" s="347"/>
      <c r="V3" s="347" t="s">
        <v>182</v>
      </c>
      <c r="W3" s="347"/>
      <c r="X3" s="347"/>
      <c r="Y3" s="34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9.5">
      <c r="A4" s="308"/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 t="s">
        <v>165</v>
      </c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400</v>
      </c>
      <c r="D7" s="207" t="s">
        <v>3</v>
      </c>
      <c r="E7" s="230">
        <v>50</v>
      </c>
      <c r="F7" s="259">
        <f>E7*C7</f>
        <v>20000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1000</v>
      </c>
      <c r="M7" s="171">
        <f>(F7+L7)*H7</f>
        <v>420</v>
      </c>
      <c r="N7" s="171">
        <f>(F7+L7+M7)*I7</f>
        <v>1071</v>
      </c>
      <c r="O7" s="171">
        <f>(F7+L7+M7+N7)*J7</f>
        <v>2743.902</v>
      </c>
      <c r="P7" s="171">
        <f>(F7+L7+M7+N7+O7)*K7</f>
        <v>2523.4902000000002</v>
      </c>
      <c r="Q7" s="170">
        <f>F7+SUM(L7:P7)</f>
        <v>27758.392200000002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1387.9196100000001</v>
      </c>
      <c r="W7" s="167">
        <f>Q7*S7</f>
        <v>1387.9196100000001</v>
      </c>
      <c r="X7" s="167">
        <f>Q7*T7</f>
        <v>1387.9196100000001</v>
      </c>
      <c r="Y7" s="167">
        <f>U7*(V7+W7)</f>
        <v>277.58392200000003</v>
      </c>
      <c r="Z7" s="183">
        <f>Q7+SUM(V7:Y7)</f>
        <v>32199.734952000003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400</v>
      </c>
      <c r="D9" s="207" t="s">
        <v>3</v>
      </c>
      <c r="E9" s="230">
        <v>75</v>
      </c>
      <c r="F9" s="259">
        <f>E9*C9</f>
        <v>30000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1500</v>
      </c>
      <c r="M9" s="171">
        <f>(F9+L9)*H9</f>
        <v>630</v>
      </c>
      <c r="N9" s="171">
        <f>(F9+L9+M9)*I9</f>
        <v>1606.5</v>
      </c>
      <c r="O9" s="171">
        <f>(F9+L9+M9+N9)*J9</f>
        <v>4115.8530000000001</v>
      </c>
      <c r="P9" s="171">
        <f>(F9+L9+M9+N9+O9)*K9</f>
        <v>3785.2353000000003</v>
      </c>
      <c r="Q9" s="170">
        <f>F9+SUM(L9:P9)</f>
        <v>41637.588300000003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2081.8794150000003</v>
      </c>
      <c r="W9" s="167">
        <f>Q9*S9</f>
        <v>2081.8794150000003</v>
      </c>
      <c r="X9" s="167">
        <f>Q9*T9</f>
        <v>2081.8794150000003</v>
      </c>
      <c r="Y9" s="167">
        <f>U9*(V9+W9)</f>
        <v>416.3758830000001</v>
      </c>
      <c r="Z9" s="183">
        <f>Q9+SUM(V9:Y9)</f>
        <v>48299.602428000006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400</v>
      </c>
      <c r="D18" s="207" t="s">
        <v>3</v>
      </c>
      <c r="E18" s="249">
        <v>233</v>
      </c>
      <c r="F18" s="174">
        <f t="shared" si="0"/>
        <v>93200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4660</v>
      </c>
      <c r="M18" s="171">
        <f t="shared" si="2"/>
        <v>1957.2</v>
      </c>
      <c r="N18" s="171">
        <f t="shared" si="3"/>
        <v>4990.8600000000006</v>
      </c>
      <c r="O18" s="171">
        <f t="shared" si="4"/>
        <v>12786.58332</v>
      </c>
      <c r="P18" s="171">
        <f t="shared" si="5"/>
        <v>11759.464332000001</v>
      </c>
      <c r="Q18" s="170">
        <f t="shared" si="6"/>
        <v>129354.10765200001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6467.705382600001</v>
      </c>
      <c r="W18" s="167">
        <f t="shared" si="8"/>
        <v>6467.705382600001</v>
      </c>
      <c r="X18" s="167">
        <f t="shared" si="9"/>
        <v>6467.705382600001</v>
      </c>
      <c r="Y18" s="167">
        <f t="shared" si="10"/>
        <v>1293.5410765200004</v>
      </c>
      <c r="Z18" s="183">
        <f t="shared" si="11"/>
        <v>150050.76487632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400</v>
      </c>
      <c r="D34" s="207" t="s">
        <v>3</v>
      </c>
      <c r="E34" s="230">
        <v>205</v>
      </c>
      <c r="F34" s="174">
        <f t="shared" si="12"/>
        <v>82000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4100</v>
      </c>
      <c r="M34" s="171">
        <f t="shared" si="14"/>
        <v>1722</v>
      </c>
      <c r="N34" s="171">
        <f t="shared" si="15"/>
        <v>4391.1000000000004</v>
      </c>
      <c r="O34" s="171">
        <f t="shared" si="16"/>
        <v>11249.9982</v>
      </c>
      <c r="P34" s="171">
        <f t="shared" si="17"/>
        <v>10346.309820000002</v>
      </c>
      <c r="Q34" s="170">
        <f t="shared" si="18"/>
        <v>113809.40802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5690.4704010000005</v>
      </c>
      <c r="W34" s="167">
        <f t="shared" si="20"/>
        <v>5690.4704010000005</v>
      </c>
      <c r="X34" s="167">
        <f t="shared" si="21"/>
        <v>5690.4704010000005</v>
      </c>
      <c r="Y34" s="167">
        <f t="shared" si="22"/>
        <v>1138.0940802000002</v>
      </c>
      <c r="Z34" s="183">
        <f t="shared" si="23"/>
        <v>132018.91330320001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400</v>
      </c>
      <c r="D50" s="207" t="s">
        <v>3</v>
      </c>
      <c r="E50" s="230">
        <v>221</v>
      </c>
      <c r="F50" s="174">
        <f t="shared" si="24"/>
        <v>88400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4420</v>
      </c>
      <c r="M50" s="171">
        <f t="shared" si="26"/>
        <v>1856.4</v>
      </c>
      <c r="N50" s="171">
        <f t="shared" si="27"/>
        <v>4733.82</v>
      </c>
      <c r="O50" s="171">
        <f t="shared" si="28"/>
        <v>12128.046839999999</v>
      </c>
      <c r="P50" s="171">
        <f t="shared" si="29"/>
        <v>11153.826684</v>
      </c>
      <c r="Q50" s="170">
        <f t="shared" si="30"/>
        <v>122692.093524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6134.6046762000005</v>
      </c>
      <c r="W50" s="167">
        <f t="shared" si="32"/>
        <v>6134.6046762000005</v>
      </c>
      <c r="X50" s="167">
        <f t="shared" si="33"/>
        <v>6134.6046762000005</v>
      </c>
      <c r="Y50" s="167">
        <f t="shared" si="34"/>
        <v>1226.9209352400001</v>
      </c>
      <c r="Z50" s="183">
        <f t="shared" si="35"/>
        <v>142322.82848783999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0</v>
      </c>
      <c r="D51" s="207" t="s">
        <v>3</v>
      </c>
      <c r="E51" s="230">
        <v>254</v>
      </c>
      <c r="F51" s="174">
        <f t="shared" si="24"/>
        <v>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0</v>
      </c>
      <c r="M51" s="171">
        <f t="shared" si="26"/>
        <v>0</v>
      </c>
      <c r="N51" s="171">
        <f t="shared" si="27"/>
        <v>0</v>
      </c>
      <c r="O51" s="171">
        <f t="shared" si="28"/>
        <v>0</v>
      </c>
      <c r="P51" s="171">
        <f t="shared" si="29"/>
        <v>0</v>
      </c>
      <c r="Q51" s="170">
        <f t="shared" si="30"/>
        <v>0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0</v>
      </c>
      <c r="Y51" s="167">
        <f t="shared" si="34"/>
        <v>0</v>
      </c>
      <c r="Z51" s="183">
        <f t="shared" si="35"/>
        <v>0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400</v>
      </c>
      <c r="D64" s="207" t="s">
        <v>3</v>
      </c>
      <c r="E64" s="230">
        <v>254</v>
      </c>
      <c r="F64" s="174">
        <f t="shared" si="36"/>
        <v>101600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5080</v>
      </c>
      <c r="M64" s="171">
        <f t="shared" si="38"/>
        <v>2133.6</v>
      </c>
      <c r="N64" s="171">
        <f t="shared" si="39"/>
        <v>5440.68</v>
      </c>
      <c r="O64" s="171">
        <f t="shared" si="40"/>
        <v>13939.02216</v>
      </c>
      <c r="P64" s="171">
        <f t="shared" si="41"/>
        <v>12819.330216</v>
      </c>
      <c r="Q64" s="170">
        <f t="shared" si="42"/>
        <v>141012.63237599999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7050.6316188000001</v>
      </c>
      <c r="W64" s="167">
        <f t="shared" si="44"/>
        <v>7050.6316188000001</v>
      </c>
      <c r="X64" s="167">
        <f t="shared" si="45"/>
        <v>7050.6316188000001</v>
      </c>
      <c r="Y64" s="167">
        <f t="shared" si="46"/>
        <v>1410.1263237600001</v>
      </c>
      <c r="Z64" s="183">
        <f t="shared" si="47"/>
        <v>163574.65355615999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50</v>
      </c>
      <c r="D84" s="207" t="s">
        <v>3</v>
      </c>
      <c r="E84" s="230">
        <v>125</v>
      </c>
      <c r="F84" s="174">
        <f t="shared" ref="F84:F89" si="60">E84*C84</f>
        <v>6250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312.5</v>
      </c>
      <c r="M84" s="171">
        <f t="shared" ref="M84:M89" si="62">(F84+L84)*H84</f>
        <v>131.25</v>
      </c>
      <c r="N84" s="171">
        <f t="shared" ref="N84:N89" si="63">(F84+L84+M84)*I84</f>
        <v>334.6875</v>
      </c>
      <c r="O84" s="171">
        <f t="shared" ref="O84:O89" si="64">(F84+L84+M84+N84)*J84</f>
        <v>857.46937500000001</v>
      </c>
      <c r="P84" s="171">
        <f t="shared" ref="P84:P89" si="65">(F84+L84+M84+N84+O84)*K84</f>
        <v>788.59068750000006</v>
      </c>
      <c r="Q84" s="170">
        <f t="shared" ref="Q84:Q89" si="66">F84+SUM(L84:P84)</f>
        <v>8674.4975625000006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433.72487812500003</v>
      </c>
      <c r="W84" s="167">
        <f t="shared" ref="W84:W89" si="68">Q84*S84</f>
        <v>433.72487812500003</v>
      </c>
      <c r="X84" s="167">
        <f t="shared" ref="X84:X89" si="69">Q84*T84</f>
        <v>433.72487812500003</v>
      </c>
      <c r="Y84" s="167">
        <f t="shared" ref="Y84:Y89" si="70">U84*(V84+W84)</f>
        <v>86.744975625000009</v>
      </c>
      <c r="Z84" s="183">
        <f t="shared" ref="Z84:Z89" si="71">Q84+SUM(V84:Y84)</f>
        <v>10062.417172500001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1</v>
      </c>
      <c r="D85" s="207" t="s">
        <v>5</v>
      </c>
      <c r="E85" s="188">
        <v>1750</v>
      </c>
      <c r="F85" s="174">
        <f t="shared" si="60"/>
        <v>1750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87.5</v>
      </c>
      <c r="M85" s="171">
        <f t="shared" si="62"/>
        <v>36.75</v>
      </c>
      <c r="N85" s="171">
        <f t="shared" si="63"/>
        <v>93.712500000000006</v>
      </c>
      <c r="O85" s="171">
        <f t="shared" si="64"/>
        <v>240.09142500000002</v>
      </c>
      <c r="P85" s="171">
        <f t="shared" si="65"/>
        <v>220.80539250000004</v>
      </c>
      <c r="Q85" s="170">
        <f t="shared" si="66"/>
        <v>2428.8593175000001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121.44296587500001</v>
      </c>
      <c r="W85" s="167">
        <f t="shared" si="68"/>
        <v>121.44296587500001</v>
      </c>
      <c r="X85" s="167">
        <f t="shared" si="69"/>
        <v>121.44296587500001</v>
      </c>
      <c r="Y85" s="167">
        <f t="shared" si="70"/>
        <v>24.288593175000003</v>
      </c>
      <c r="Z85" s="183">
        <f t="shared" si="71"/>
        <v>2817.4768082999999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0</v>
      </c>
      <c r="D86" s="207" t="s">
        <v>5</v>
      </c>
      <c r="E86" s="188">
        <v>2200</v>
      </c>
      <c r="F86" s="174">
        <f t="shared" si="60"/>
        <v>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0</v>
      </c>
      <c r="M86" s="171">
        <f t="shared" si="62"/>
        <v>0</v>
      </c>
      <c r="N86" s="171">
        <f t="shared" si="63"/>
        <v>0</v>
      </c>
      <c r="O86" s="171">
        <f t="shared" si="64"/>
        <v>0</v>
      </c>
      <c r="P86" s="171">
        <f t="shared" si="65"/>
        <v>0</v>
      </c>
      <c r="Q86" s="170">
        <f t="shared" si="66"/>
        <v>0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0</v>
      </c>
      <c r="Y86" s="167">
        <f t="shared" si="70"/>
        <v>0</v>
      </c>
      <c r="Z86" s="183">
        <f t="shared" si="71"/>
        <v>0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0</v>
      </c>
      <c r="D87" s="207" t="s">
        <v>5</v>
      </c>
      <c r="E87" s="188">
        <v>1800</v>
      </c>
      <c r="F87" s="174">
        <f t="shared" si="60"/>
        <v>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0</v>
      </c>
      <c r="M87" s="171">
        <f t="shared" si="62"/>
        <v>0</v>
      </c>
      <c r="N87" s="171">
        <f t="shared" si="63"/>
        <v>0</v>
      </c>
      <c r="O87" s="171">
        <f t="shared" si="64"/>
        <v>0</v>
      </c>
      <c r="P87" s="171">
        <f t="shared" si="65"/>
        <v>0</v>
      </c>
      <c r="Q87" s="170">
        <f t="shared" si="66"/>
        <v>0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0</v>
      </c>
      <c r="Y87" s="167">
        <f t="shared" si="70"/>
        <v>0</v>
      </c>
      <c r="Z87" s="183">
        <f t="shared" si="71"/>
        <v>0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3</v>
      </c>
      <c r="D89" s="207" t="s">
        <v>5</v>
      </c>
      <c r="E89" s="188">
        <v>3065</v>
      </c>
      <c r="F89" s="174">
        <f t="shared" si="60"/>
        <v>9195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459.75</v>
      </c>
      <c r="M89" s="171">
        <f t="shared" si="62"/>
        <v>193.095</v>
      </c>
      <c r="N89" s="171">
        <f t="shared" si="63"/>
        <v>492.39224999999999</v>
      </c>
      <c r="O89" s="171">
        <f t="shared" si="64"/>
        <v>1261.5089445000001</v>
      </c>
      <c r="P89" s="171">
        <f t="shared" si="65"/>
        <v>1160.1746194499999</v>
      </c>
      <c r="Q89" s="170">
        <f t="shared" si="66"/>
        <v>12761.920813950001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638.09604069750003</v>
      </c>
      <c r="W89" s="167">
        <f t="shared" si="68"/>
        <v>638.09604069750003</v>
      </c>
      <c r="X89" s="167">
        <f t="shared" si="69"/>
        <v>638.09604069750003</v>
      </c>
      <c r="Y89" s="167">
        <f t="shared" si="70"/>
        <v>127.61920813950002</v>
      </c>
      <c r="Z89" s="183">
        <f t="shared" si="71"/>
        <v>14803.828144182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400</v>
      </c>
      <c r="D113" s="207" t="s">
        <v>3</v>
      </c>
      <c r="E113" s="188">
        <v>410</v>
      </c>
      <c r="F113" s="174">
        <f t="shared" si="72"/>
        <v>164000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8200</v>
      </c>
      <c r="M113" s="171">
        <f t="shared" si="74"/>
        <v>3444</v>
      </c>
      <c r="N113" s="171">
        <f t="shared" si="75"/>
        <v>8782.2000000000007</v>
      </c>
      <c r="O113" s="171">
        <f t="shared" si="76"/>
        <v>22499.9964</v>
      </c>
      <c r="P113" s="171">
        <f t="shared" si="77"/>
        <v>20692.619640000004</v>
      </c>
      <c r="Q113" s="170">
        <f t="shared" si="78"/>
        <v>227618.81604000001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11380.940802000001</v>
      </c>
      <c r="W113" s="167">
        <f t="shared" si="80"/>
        <v>11380.940802000001</v>
      </c>
      <c r="X113" s="167">
        <f t="shared" si="81"/>
        <v>11380.940802000001</v>
      </c>
      <c r="Y113" s="167">
        <f t="shared" si="82"/>
        <v>2276.1881604000005</v>
      </c>
      <c r="Z113" s="183">
        <f t="shared" si="83"/>
        <v>264037.82660640002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0</v>
      </c>
      <c r="D118" s="207" t="s">
        <v>3</v>
      </c>
      <c r="E118" s="188">
        <v>265</v>
      </c>
      <c r="F118" s="174">
        <f t="shared" si="72"/>
        <v>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0</v>
      </c>
      <c r="M118" s="171">
        <f t="shared" si="74"/>
        <v>0</v>
      </c>
      <c r="N118" s="171">
        <f t="shared" si="75"/>
        <v>0</v>
      </c>
      <c r="O118" s="171">
        <f t="shared" si="76"/>
        <v>0</v>
      </c>
      <c r="P118" s="171">
        <f t="shared" si="77"/>
        <v>0</v>
      </c>
      <c r="Q118" s="170">
        <f t="shared" si="78"/>
        <v>0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0</v>
      </c>
      <c r="W118" s="167">
        <f t="shared" si="80"/>
        <v>0</v>
      </c>
      <c r="X118" s="167">
        <f t="shared" si="81"/>
        <v>0</v>
      </c>
      <c r="Y118" s="167">
        <f t="shared" si="82"/>
        <v>0</v>
      </c>
      <c r="Z118" s="183">
        <f t="shared" si="83"/>
        <v>0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0</v>
      </c>
      <c r="D131" s="207" t="s">
        <v>3</v>
      </c>
      <c r="E131" s="188">
        <v>110</v>
      </c>
      <c r="F131" s="174">
        <f t="shared" si="84"/>
        <v>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0</v>
      </c>
      <c r="M131" s="171">
        <f t="shared" si="86"/>
        <v>0</v>
      </c>
      <c r="N131" s="171">
        <f t="shared" si="87"/>
        <v>0</v>
      </c>
      <c r="O131" s="171">
        <f t="shared" si="88"/>
        <v>0</v>
      </c>
      <c r="P131" s="171">
        <f t="shared" si="89"/>
        <v>0</v>
      </c>
      <c r="Q131" s="170">
        <f t="shared" si="90"/>
        <v>0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0</v>
      </c>
      <c r="Y131" s="167">
        <f t="shared" si="94"/>
        <v>0</v>
      </c>
      <c r="Z131" s="183">
        <f t="shared" si="95"/>
        <v>0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0</v>
      </c>
      <c r="D145" s="207" t="s">
        <v>3</v>
      </c>
      <c r="E145" s="188">
        <v>254</v>
      </c>
      <c r="F145" s="174">
        <f t="shared" si="96"/>
        <v>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0</v>
      </c>
      <c r="M145" s="171">
        <f t="shared" si="98"/>
        <v>0</v>
      </c>
      <c r="N145" s="171">
        <f t="shared" si="99"/>
        <v>0</v>
      </c>
      <c r="O145" s="171">
        <f t="shared" si="100"/>
        <v>0</v>
      </c>
      <c r="P145" s="171">
        <f t="shared" si="101"/>
        <v>0</v>
      </c>
      <c r="Q145" s="170">
        <f t="shared" si="102"/>
        <v>0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0</v>
      </c>
      <c r="Y145" s="167">
        <f t="shared" si="106"/>
        <v>0</v>
      </c>
      <c r="Z145" s="183">
        <f t="shared" si="107"/>
        <v>0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0</v>
      </c>
      <c r="D166" s="189" t="s">
        <v>5</v>
      </c>
      <c r="E166" s="188">
        <v>52250</v>
      </c>
      <c r="F166" s="174">
        <f t="shared" si="120"/>
        <v>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0</v>
      </c>
      <c r="M166" s="171">
        <f t="shared" si="122"/>
        <v>0</v>
      </c>
      <c r="N166" s="171">
        <f t="shared" si="123"/>
        <v>0</v>
      </c>
      <c r="O166" s="171">
        <f t="shared" si="124"/>
        <v>0</v>
      </c>
      <c r="P166" s="171">
        <f t="shared" si="125"/>
        <v>0</v>
      </c>
      <c r="Q166" s="170">
        <f t="shared" si="126"/>
        <v>0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0</v>
      </c>
      <c r="Y166" s="167">
        <f t="shared" si="130"/>
        <v>0</v>
      </c>
      <c r="Z166" s="183">
        <f t="shared" si="131"/>
        <v>0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2</v>
      </c>
      <c r="D167" s="189" t="s">
        <v>5</v>
      </c>
      <c r="E167" s="188">
        <v>17500</v>
      </c>
      <c r="F167" s="174">
        <f t="shared" si="120"/>
        <v>35000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1750</v>
      </c>
      <c r="M167" s="171">
        <f t="shared" si="122"/>
        <v>735</v>
      </c>
      <c r="N167" s="171">
        <f t="shared" si="123"/>
        <v>1874.25</v>
      </c>
      <c r="O167" s="171">
        <f t="shared" si="124"/>
        <v>4801.8284999999996</v>
      </c>
      <c r="P167" s="171">
        <f t="shared" si="125"/>
        <v>4416.1078500000003</v>
      </c>
      <c r="Q167" s="170">
        <f t="shared" si="126"/>
        <v>48577.186350000004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2428.8593175000001</v>
      </c>
      <c r="W167" s="167">
        <f t="shared" si="128"/>
        <v>2428.8593175000001</v>
      </c>
      <c r="X167" s="167">
        <f t="shared" si="129"/>
        <v>2428.8593175000001</v>
      </c>
      <c r="Y167" s="167">
        <f t="shared" si="130"/>
        <v>485.77186350000005</v>
      </c>
      <c r="Z167" s="183">
        <f t="shared" si="131"/>
        <v>56349.536166000005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631395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876325.50215594994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43816.275107797497</v>
      </c>
      <c r="Y171" s="152"/>
      <c r="Z171" s="151">
        <f>SUM(Z7:Z170)</f>
        <v>1016537.582500902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52579.530129357001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43816.275107797497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8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339">
        <f>Z171-'FTW336A Service Lateral'!Z171</f>
        <v>441506.66579434799</v>
      </c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42"/>
      <c r="H179" s="343"/>
      <c r="I179" s="343"/>
      <c r="J179" s="343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V3:Y3"/>
    <mergeCell ref="G179:J179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74" fitToHeight="6" orientation="landscape" r:id="rId1"/>
  <headerFooter>
    <oddFooter>&amp;RPage &amp;P of &amp;N
21 August 2009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34" sqref="C34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193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44" t="s">
        <v>189</v>
      </c>
      <c r="D3" s="344"/>
      <c r="E3" s="315" t="s">
        <v>188</v>
      </c>
      <c r="F3" s="314" t="s">
        <v>187</v>
      </c>
      <c r="G3" s="345" t="s">
        <v>186</v>
      </c>
      <c r="H3" s="345"/>
      <c r="I3" s="345"/>
      <c r="J3" s="345"/>
      <c r="K3" s="345"/>
      <c r="L3" s="346" t="s">
        <v>185</v>
      </c>
      <c r="M3" s="346"/>
      <c r="N3" s="346"/>
      <c r="O3" s="346"/>
      <c r="P3" s="346"/>
      <c r="Q3" s="313" t="s">
        <v>184</v>
      </c>
      <c r="R3" s="347" t="s">
        <v>183</v>
      </c>
      <c r="S3" s="347"/>
      <c r="T3" s="347"/>
      <c r="U3" s="347"/>
      <c r="V3" s="347" t="s">
        <v>182</v>
      </c>
      <c r="W3" s="347"/>
      <c r="X3" s="347"/>
      <c r="Y3" s="34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9.5">
      <c r="A4" s="308"/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 t="s">
        <v>165</v>
      </c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475</v>
      </c>
      <c r="D7" s="207" t="s">
        <v>3</v>
      </c>
      <c r="E7" s="230">
        <v>50</v>
      </c>
      <c r="F7" s="259">
        <f>E7*C7</f>
        <v>23750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1187.5</v>
      </c>
      <c r="M7" s="171">
        <f>(F7+L7)*H7</f>
        <v>498.75</v>
      </c>
      <c r="N7" s="171">
        <f>(F7+L7+M7)*I7</f>
        <v>1271.8125</v>
      </c>
      <c r="O7" s="171">
        <f>(F7+L7+M7+N7)*J7</f>
        <v>3258.3836249999999</v>
      </c>
      <c r="P7" s="171">
        <f>(F7+L7+M7+N7+O7)*K7</f>
        <v>2996.6446125000002</v>
      </c>
      <c r="Q7" s="170">
        <f>F7+SUM(L7:P7)</f>
        <v>32963.090737500002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1648.1545368750003</v>
      </c>
      <c r="W7" s="167">
        <f>Q7*S7</f>
        <v>1648.1545368750003</v>
      </c>
      <c r="X7" s="167">
        <f>Q7*T7</f>
        <v>1648.1545368750003</v>
      </c>
      <c r="Y7" s="167">
        <f>U7*(V7+W7)</f>
        <v>329.63090737500011</v>
      </c>
      <c r="Z7" s="183">
        <f>Q7+SUM(V7:Y7)</f>
        <v>38237.1852555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475</v>
      </c>
      <c r="D9" s="207" t="s">
        <v>3</v>
      </c>
      <c r="E9" s="230">
        <v>75</v>
      </c>
      <c r="F9" s="259">
        <f>E9*C9</f>
        <v>35625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1781.25</v>
      </c>
      <c r="M9" s="171">
        <f>(F9+L9)*H9</f>
        <v>748.125</v>
      </c>
      <c r="N9" s="171">
        <f>(F9+L9+M9)*I9</f>
        <v>1907.71875</v>
      </c>
      <c r="O9" s="171">
        <f>(F9+L9+M9+N9)*J9</f>
        <v>4887.5754374999997</v>
      </c>
      <c r="P9" s="171">
        <f>(F9+L9+M9+N9+O9)*K9</f>
        <v>4494.9669187499994</v>
      </c>
      <c r="Q9" s="170">
        <f>F9+SUM(L9:P9)</f>
        <v>49444.63610625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2472.2318053125</v>
      </c>
      <c r="W9" s="167">
        <f>Q9*S9</f>
        <v>2472.2318053125</v>
      </c>
      <c r="X9" s="167">
        <f>Q9*T9</f>
        <v>2472.2318053125</v>
      </c>
      <c r="Y9" s="167">
        <f>U9*(V9+W9)</f>
        <v>494.44636106250005</v>
      </c>
      <c r="Z9" s="183">
        <f>Q9+SUM(V9:Y9)</f>
        <v>57355.777883249997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300</v>
      </c>
      <c r="D18" s="207" t="s">
        <v>3</v>
      </c>
      <c r="E18" s="249">
        <v>233</v>
      </c>
      <c r="F18" s="174">
        <f t="shared" si="0"/>
        <v>69900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3495</v>
      </c>
      <c r="M18" s="171">
        <f t="shared" si="2"/>
        <v>1467.9</v>
      </c>
      <c r="N18" s="171">
        <f t="shared" si="3"/>
        <v>3743.145</v>
      </c>
      <c r="O18" s="171">
        <f t="shared" si="4"/>
        <v>9589.9374900000003</v>
      </c>
      <c r="P18" s="171">
        <f t="shared" si="5"/>
        <v>8819.5982490000006</v>
      </c>
      <c r="Q18" s="170">
        <f t="shared" si="6"/>
        <v>97015.580738999997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4850.7790369499999</v>
      </c>
      <c r="W18" s="167">
        <f t="shared" si="8"/>
        <v>4850.7790369499999</v>
      </c>
      <c r="X18" s="167">
        <f t="shared" si="9"/>
        <v>4850.7790369499999</v>
      </c>
      <c r="Y18" s="167">
        <f t="shared" si="10"/>
        <v>970.15580739000006</v>
      </c>
      <c r="Z18" s="183">
        <f t="shared" si="11"/>
        <v>112538.07365723999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300</v>
      </c>
      <c r="D34" s="207" t="s">
        <v>3</v>
      </c>
      <c r="E34" s="230">
        <v>205</v>
      </c>
      <c r="F34" s="174">
        <f t="shared" si="12"/>
        <v>61500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3075</v>
      </c>
      <c r="M34" s="171">
        <f t="shared" si="14"/>
        <v>1291.5</v>
      </c>
      <c r="N34" s="171">
        <f t="shared" si="15"/>
        <v>3293.3250000000003</v>
      </c>
      <c r="O34" s="171">
        <f t="shared" si="16"/>
        <v>8437.4986499999995</v>
      </c>
      <c r="P34" s="171">
        <f t="shared" si="17"/>
        <v>7759.7323649999998</v>
      </c>
      <c r="Q34" s="170">
        <f t="shared" si="18"/>
        <v>85357.056015000009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4267.8528007500008</v>
      </c>
      <c r="W34" s="167">
        <f t="shared" si="20"/>
        <v>4267.8528007500008</v>
      </c>
      <c r="X34" s="167">
        <f t="shared" si="21"/>
        <v>4267.8528007500008</v>
      </c>
      <c r="Y34" s="167">
        <f t="shared" si="22"/>
        <v>853.57056015000023</v>
      </c>
      <c r="Z34" s="183">
        <f t="shared" si="23"/>
        <v>99014.184977400015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300</v>
      </c>
      <c r="D44" s="207" t="s">
        <v>3</v>
      </c>
      <c r="E44" s="230">
        <v>54</v>
      </c>
      <c r="F44" s="174">
        <f>E44*C44</f>
        <v>16200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810</v>
      </c>
      <c r="M44" s="171">
        <f>(F44+L44)*H44</f>
        <v>340.2</v>
      </c>
      <c r="N44" s="171">
        <f>(F44+L44+M44)*I44</f>
        <v>867.5100000000001</v>
      </c>
      <c r="O44" s="171">
        <f>(F44+L44+M44+N44)*J44</f>
        <v>2222.5606199999997</v>
      </c>
      <c r="P44" s="171">
        <f>(F44+L44+M44+N44+O44)*K44</f>
        <v>2044.0270620000001</v>
      </c>
      <c r="Q44" s="170">
        <f>F44+SUM(L44:P44)</f>
        <v>22484.297682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1124.2148841000001</v>
      </c>
      <c r="W44" s="167">
        <f>Q44*S44</f>
        <v>1124.2148841000001</v>
      </c>
      <c r="X44" s="167">
        <f>Q44*T44</f>
        <v>1124.2148841000001</v>
      </c>
      <c r="Y44" s="167">
        <f>U44*(V44+W44)</f>
        <v>224.84297682000002</v>
      </c>
      <c r="Z44" s="183">
        <f>Q44+SUM(V44:Y44)</f>
        <v>26081.785311120002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0</v>
      </c>
      <c r="D51" s="207" t="s">
        <v>3</v>
      </c>
      <c r="E51" s="230">
        <v>254</v>
      </c>
      <c r="F51" s="174">
        <f t="shared" si="24"/>
        <v>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0</v>
      </c>
      <c r="M51" s="171">
        <f t="shared" si="26"/>
        <v>0</v>
      </c>
      <c r="N51" s="171">
        <f t="shared" si="27"/>
        <v>0</v>
      </c>
      <c r="O51" s="171">
        <f t="shared" si="28"/>
        <v>0</v>
      </c>
      <c r="P51" s="171">
        <f t="shared" si="29"/>
        <v>0</v>
      </c>
      <c r="Q51" s="170">
        <f t="shared" si="30"/>
        <v>0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0</v>
      </c>
      <c r="Y51" s="167">
        <f t="shared" si="34"/>
        <v>0</v>
      </c>
      <c r="Z51" s="183">
        <f t="shared" si="35"/>
        <v>0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0</v>
      </c>
      <c r="D64" s="207" t="s">
        <v>3</v>
      </c>
      <c r="E64" s="230">
        <v>254</v>
      </c>
      <c r="F64" s="174">
        <f t="shared" si="36"/>
        <v>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0</v>
      </c>
      <c r="M64" s="171">
        <f t="shared" si="38"/>
        <v>0</v>
      </c>
      <c r="N64" s="171">
        <f t="shared" si="39"/>
        <v>0</v>
      </c>
      <c r="O64" s="171">
        <f t="shared" si="40"/>
        <v>0</v>
      </c>
      <c r="P64" s="171">
        <f t="shared" si="41"/>
        <v>0</v>
      </c>
      <c r="Q64" s="170">
        <f t="shared" si="42"/>
        <v>0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0</v>
      </c>
      <c r="W64" s="167">
        <f t="shared" si="44"/>
        <v>0</v>
      </c>
      <c r="X64" s="167">
        <f t="shared" si="45"/>
        <v>0</v>
      </c>
      <c r="Y64" s="167">
        <f t="shared" si="46"/>
        <v>0</v>
      </c>
      <c r="Z64" s="183">
        <f t="shared" si="47"/>
        <v>0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50</v>
      </c>
      <c r="D84" s="207" t="s">
        <v>3</v>
      </c>
      <c r="E84" s="230">
        <v>125</v>
      </c>
      <c r="F84" s="174">
        <f t="shared" ref="F84:F89" si="60">E84*C84</f>
        <v>6250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312.5</v>
      </c>
      <c r="M84" s="171">
        <f t="shared" ref="M84:M89" si="62">(F84+L84)*H84</f>
        <v>131.25</v>
      </c>
      <c r="N84" s="171">
        <f t="shared" ref="N84:N89" si="63">(F84+L84+M84)*I84</f>
        <v>334.6875</v>
      </c>
      <c r="O84" s="171">
        <f t="shared" ref="O84:O89" si="64">(F84+L84+M84+N84)*J84</f>
        <v>857.46937500000001</v>
      </c>
      <c r="P84" s="171">
        <f t="shared" ref="P84:P89" si="65">(F84+L84+M84+N84+O84)*K84</f>
        <v>788.59068750000006</v>
      </c>
      <c r="Q84" s="170">
        <f t="shared" ref="Q84:Q89" si="66">F84+SUM(L84:P84)</f>
        <v>8674.4975625000006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433.72487812500003</v>
      </c>
      <c r="W84" s="167">
        <f t="shared" ref="W84:W89" si="68">Q84*S84</f>
        <v>433.72487812500003</v>
      </c>
      <c r="X84" s="167">
        <f t="shared" ref="X84:X89" si="69">Q84*T84</f>
        <v>433.72487812500003</v>
      </c>
      <c r="Y84" s="167">
        <f t="shared" ref="Y84:Y89" si="70">U84*(V84+W84)</f>
        <v>86.744975625000009</v>
      </c>
      <c r="Z84" s="183">
        <f t="shared" ref="Z84:Z89" si="71">Q84+SUM(V84:Y84)</f>
        <v>10062.417172500001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1</v>
      </c>
      <c r="D85" s="207" t="s">
        <v>5</v>
      </c>
      <c r="E85" s="188">
        <v>1750</v>
      </c>
      <c r="F85" s="174">
        <f t="shared" si="60"/>
        <v>1750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87.5</v>
      </c>
      <c r="M85" s="171">
        <f t="shared" si="62"/>
        <v>36.75</v>
      </c>
      <c r="N85" s="171">
        <f t="shared" si="63"/>
        <v>93.712500000000006</v>
      </c>
      <c r="O85" s="171">
        <f t="shared" si="64"/>
        <v>240.09142500000002</v>
      </c>
      <c r="P85" s="171">
        <f t="shared" si="65"/>
        <v>220.80539250000004</v>
      </c>
      <c r="Q85" s="170">
        <f t="shared" si="66"/>
        <v>2428.8593175000001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121.44296587500001</v>
      </c>
      <c r="W85" s="167">
        <f t="shared" si="68"/>
        <v>121.44296587500001</v>
      </c>
      <c r="X85" s="167">
        <f t="shared" si="69"/>
        <v>121.44296587500001</v>
      </c>
      <c r="Y85" s="167">
        <f t="shared" si="70"/>
        <v>24.288593175000003</v>
      </c>
      <c r="Z85" s="183">
        <f t="shared" si="71"/>
        <v>2817.4768082999999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0</v>
      </c>
      <c r="D86" s="207" t="s">
        <v>5</v>
      </c>
      <c r="E86" s="188">
        <v>2200</v>
      </c>
      <c r="F86" s="174">
        <f t="shared" si="60"/>
        <v>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0</v>
      </c>
      <c r="M86" s="171">
        <f t="shared" si="62"/>
        <v>0</v>
      </c>
      <c r="N86" s="171">
        <f t="shared" si="63"/>
        <v>0</v>
      </c>
      <c r="O86" s="171">
        <f t="shared" si="64"/>
        <v>0</v>
      </c>
      <c r="P86" s="171">
        <f t="shared" si="65"/>
        <v>0</v>
      </c>
      <c r="Q86" s="170">
        <f t="shared" si="66"/>
        <v>0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0</v>
      </c>
      <c r="Y86" s="167">
        <f t="shared" si="70"/>
        <v>0</v>
      </c>
      <c r="Z86" s="183">
        <f t="shared" si="71"/>
        <v>0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0</v>
      </c>
      <c r="D87" s="207" t="s">
        <v>5</v>
      </c>
      <c r="E87" s="188">
        <v>1800</v>
      </c>
      <c r="F87" s="174">
        <f t="shared" si="60"/>
        <v>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0</v>
      </c>
      <c r="M87" s="171">
        <f t="shared" si="62"/>
        <v>0</v>
      </c>
      <c r="N87" s="171">
        <f t="shared" si="63"/>
        <v>0</v>
      </c>
      <c r="O87" s="171">
        <f t="shared" si="64"/>
        <v>0</v>
      </c>
      <c r="P87" s="171">
        <f t="shared" si="65"/>
        <v>0</v>
      </c>
      <c r="Q87" s="170">
        <f t="shared" si="66"/>
        <v>0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0</v>
      </c>
      <c r="Y87" s="167">
        <f t="shared" si="70"/>
        <v>0</v>
      </c>
      <c r="Z87" s="183">
        <f t="shared" si="71"/>
        <v>0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1</v>
      </c>
      <c r="D89" s="207" t="s">
        <v>5</v>
      </c>
      <c r="E89" s="188">
        <v>3065</v>
      </c>
      <c r="F89" s="174">
        <f t="shared" si="60"/>
        <v>3065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153.25</v>
      </c>
      <c r="M89" s="171">
        <f t="shared" si="62"/>
        <v>64.364999999999995</v>
      </c>
      <c r="N89" s="171">
        <f t="shared" si="63"/>
        <v>164.13075000000001</v>
      </c>
      <c r="O89" s="171">
        <f t="shared" si="64"/>
        <v>420.50298149999992</v>
      </c>
      <c r="P89" s="171">
        <f t="shared" si="65"/>
        <v>386.72487314999995</v>
      </c>
      <c r="Q89" s="170">
        <f t="shared" si="66"/>
        <v>4253.9736046500002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212.69868023250001</v>
      </c>
      <c r="W89" s="167">
        <f t="shared" si="68"/>
        <v>212.69868023250001</v>
      </c>
      <c r="X89" s="167">
        <f t="shared" si="69"/>
        <v>212.69868023250001</v>
      </c>
      <c r="Y89" s="167">
        <f t="shared" si="70"/>
        <v>42.539736046500003</v>
      </c>
      <c r="Z89" s="183">
        <f t="shared" si="71"/>
        <v>4934.6093813940006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>
        <v>410</v>
      </c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275</v>
      </c>
      <c r="D118" s="207" t="s">
        <v>3</v>
      </c>
      <c r="E118" s="188">
        <v>265</v>
      </c>
      <c r="F118" s="174">
        <f t="shared" si="72"/>
        <v>72875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3643.75</v>
      </c>
      <c r="M118" s="171">
        <f t="shared" si="74"/>
        <v>1530.375</v>
      </c>
      <c r="N118" s="171">
        <f t="shared" si="75"/>
        <v>3902.4562500000002</v>
      </c>
      <c r="O118" s="171">
        <f t="shared" si="76"/>
        <v>9998.0929125000002</v>
      </c>
      <c r="P118" s="171">
        <f t="shared" si="77"/>
        <v>9194.9674162499996</v>
      </c>
      <c r="Q118" s="170">
        <f t="shared" si="78"/>
        <v>101144.64157875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5057.2320789375008</v>
      </c>
      <c r="W118" s="167">
        <f t="shared" si="80"/>
        <v>5057.2320789375008</v>
      </c>
      <c r="X118" s="167">
        <f t="shared" si="81"/>
        <v>5057.2320789375008</v>
      </c>
      <c r="Y118" s="167">
        <f t="shared" si="82"/>
        <v>1011.4464157875002</v>
      </c>
      <c r="Z118" s="183">
        <f t="shared" si="83"/>
        <v>117327.78423135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0</v>
      </c>
      <c r="D131" s="207" t="s">
        <v>3</v>
      </c>
      <c r="E131" s="188">
        <v>110</v>
      </c>
      <c r="F131" s="174">
        <f t="shared" si="84"/>
        <v>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0</v>
      </c>
      <c r="M131" s="171">
        <f t="shared" si="86"/>
        <v>0</v>
      </c>
      <c r="N131" s="171">
        <f t="shared" si="87"/>
        <v>0</v>
      </c>
      <c r="O131" s="171">
        <f t="shared" si="88"/>
        <v>0</v>
      </c>
      <c r="P131" s="171">
        <f t="shared" si="89"/>
        <v>0</v>
      </c>
      <c r="Q131" s="170">
        <f t="shared" si="90"/>
        <v>0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0</v>
      </c>
      <c r="Y131" s="167">
        <f t="shared" si="94"/>
        <v>0</v>
      </c>
      <c r="Z131" s="183">
        <f t="shared" si="95"/>
        <v>0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200</v>
      </c>
      <c r="D144" s="207" t="s">
        <v>3</v>
      </c>
      <c r="E144" s="188">
        <v>70</v>
      </c>
      <c r="F144" s="174">
        <f t="shared" si="96"/>
        <v>14000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700</v>
      </c>
      <c r="M144" s="171">
        <f t="shared" si="98"/>
        <v>294</v>
      </c>
      <c r="N144" s="171">
        <f t="shared" si="99"/>
        <v>749.7</v>
      </c>
      <c r="O144" s="171">
        <f t="shared" si="100"/>
        <v>1920.7314000000001</v>
      </c>
      <c r="P144" s="171">
        <f t="shared" si="101"/>
        <v>1766.4431400000003</v>
      </c>
      <c r="Q144" s="170">
        <f t="shared" si="102"/>
        <v>19430.874540000001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971.5437270000001</v>
      </c>
      <c r="W144" s="167">
        <f t="shared" si="104"/>
        <v>971.5437270000001</v>
      </c>
      <c r="X144" s="167">
        <f t="shared" si="105"/>
        <v>971.5437270000001</v>
      </c>
      <c r="Y144" s="167">
        <f t="shared" si="106"/>
        <v>194.30874540000002</v>
      </c>
      <c r="Z144" s="183">
        <f t="shared" si="107"/>
        <v>22539.814466399999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0</v>
      </c>
      <c r="D145" s="207" t="s">
        <v>3</v>
      </c>
      <c r="E145" s="188">
        <v>254</v>
      </c>
      <c r="F145" s="174">
        <f t="shared" si="96"/>
        <v>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0</v>
      </c>
      <c r="M145" s="171">
        <f t="shared" si="98"/>
        <v>0</v>
      </c>
      <c r="N145" s="171">
        <f t="shared" si="99"/>
        <v>0</v>
      </c>
      <c r="O145" s="171">
        <f t="shared" si="100"/>
        <v>0</v>
      </c>
      <c r="P145" s="171">
        <f t="shared" si="101"/>
        <v>0</v>
      </c>
      <c r="Q145" s="170">
        <f t="shared" si="102"/>
        <v>0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0</v>
      </c>
      <c r="Y145" s="167">
        <f t="shared" si="106"/>
        <v>0</v>
      </c>
      <c r="Z145" s="183">
        <f t="shared" si="107"/>
        <v>0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1</v>
      </c>
      <c r="D166" s="189" t="s">
        <v>5</v>
      </c>
      <c r="E166" s="188">
        <v>52250</v>
      </c>
      <c r="F166" s="174">
        <f t="shared" si="120"/>
        <v>52250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2612.5</v>
      </c>
      <c r="M166" s="171">
        <f t="shared" si="122"/>
        <v>1097.25</v>
      </c>
      <c r="N166" s="171">
        <f t="shared" si="123"/>
        <v>2797.9875000000002</v>
      </c>
      <c r="O166" s="171">
        <f t="shared" si="124"/>
        <v>7168.4439750000001</v>
      </c>
      <c r="P166" s="171">
        <f t="shared" si="125"/>
        <v>6592.6181475000012</v>
      </c>
      <c r="Q166" s="170">
        <f t="shared" si="126"/>
        <v>72518.799622499995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3625.939981125</v>
      </c>
      <c r="W166" s="167">
        <f t="shared" si="128"/>
        <v>3625.939981125</v>
      </c>
      <c r="X166" s="167">
        <f t="shared" si="129"/>
        <v>3625.939981125</v>
      </c>
      <c r="Y166" s="167">
        <f t="shared" si="130"/>
        <v>725.18799622500001</v>
      </c>
      <c r="Z166" s="183">
        <f t="shared" si="131"/>
        <v>84121.807562100003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0</v>
      </c>
      <c r="D167" s="189" t="s">
        <v>5</v>
      </c>
      <c r="E167" s="188">
        <v>17500</v>
      </c>
      <c r="F167" s="174">
        <f t="shared" si="120"/>
        <v>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0</v>
      </c>
      <c r="M167" s="171">
        <f t="shared" si="122"/>
        <v>0</v>
      </c>
      <c r="N167" s="171">
        <f t="shared" si="123"/>
        <v>0</v>
      </c>
      <c r="O167" s="171">
        <f t="shared" si="124"/>
        <v>0</v>
      </c>
      <c r="P167" s="171">
        <f t="shared" si="125"/>
        <v>0</v>
      </c>
      <c r="Q167" s="170">
        <f t="shared" si="126"/>
        <v>0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0</v>
      </c>
      <c r="W167" s="167">
        <f t="shared" si="128"/>
        <v>0</v>
      </c>
      <c r="X167" s="167">
        <f t="shared" si="129"/>
        <v>0</v>
      </c>
      <c r="Y167" s="167">
        <f t="shared" si="130"/>
        <v>0</v>
      </c>
      <c r="Z167" s="183">
        <f t="shared" si="131"/>
        <v>0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357165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495716.30750564998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24785.815375282502</v>
      </c>
      <c r="Y171" s="152"/>
      <c r="Z171" s="151">
        <f>SUM(Z7:Z170)</f>
        <v>575030.91670655401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29742.978450339004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24785.815375282502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5.75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110"/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42"/>
      <c r="H179" s="343"/>
      <c r="I179" s="343"/>
      <c r="J179" s="343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V3:Y3"/>
    <mergeCell ref="G179:J179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74" fitToHeight="6" orientation="landscape" r:id="rId1"/>
  <headerFooter>
    <oddFooter>&amp;RPage &amp;P of &amp;N
21 August 2009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FTW336A Lateral (30 Oct 09)</vt:lpstr>
      <vt:lpstr>FTW336A Lat (15 Sep 09) </vt:lpstr>
      <vt:lpstr>FTW336A Lat (14 Sep 09)</vt:lpstr>
      <vt:lpstr>FTW336A Service Lateral</vt:lpstr>
      <vt:lpstr>'FTW336A Lat (14 Sep 09)'!Print_Area</vt:lpstr>
      <vt:lpstr>'FTW336A Lat (15 Sep 09) '!Print_Area</vt:lpstr>
      <vt:lpstr>'FTW336A Lateral (30 Oct 09)'!Print_Area</vt:lpstr>
      <vt:lpstr>'FTW336A Service Lateral'!Print_Area</vt:lpstr>
      <vt:lpstr>'FTW336A Lat (14 Sep 09)'!Print_Titles</vt:lpstr>
      <vt:lpstr>'FTW336A Lat (15 Sep 09) '!Print_Titles</vt:lpstr>
      <vt:lpstr>'FTW336A Lateral (30 Oct 09)'!Print_Titles</vt:lpstr>
      <vt:lpstr>'FTW336A Service Lateral'!Print_Titles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Miller</dc:creator>
  <cp:lastModifiedBy>nsather</cp:lastModifiedBy>
  <cp:lastPrinted>2009-10-30T23:13:41Z</cp:lastPrinted>
  <dcterms:created xsi:type="dcterms:W3CDTF">2009-08-21T21:22:00Z</dcterms:created>
  <dcterms:modified xsi:type="dcterms:W3CDTF">2009-10-30T23:59:54Z</dcterms:modified>
</cp:coreProperties>
</file>