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N14" i="9"/>
  <c r="N26" s="1"/>
  <c r="N29" s="1"/>
  <c r="J17"/>
  <c r="E26" i="1"/>
  <c r="B7" i="9"/>
  <c r="B12" s="1"/>
  <c r="E27" i="11"/>
  <c r="E28"/>
  <c r="C3" i="9"/>
  <c r="B5"/>
  <c r="B4"/>
  <c r="C2"/>
  <c r="F29"/>
  <c r="C29"/>
  <c r="M29"/>
  <c r="L29"/>
  <c r="K29"/>
  <c r="J29"/>
  <c r="I29"/>
  <c r="H29"/>
  <c r="G29"/>
  <c r="E29"/>
  <c r="D29"/>
  <c r="B29"/>
  <c r="B17"/>
  <c r="C17"/>
  <c r="D17"/>
  <c r="E17"/>
  <c r="F17"/>
  <c r="G17"/>
  <c r="I17"/>
  <c r="K17"/>
  <c r="L17"/>
  <c r="M17"/>
  <c r="B8"/>
  <c r="E26" i="10"/>
  <c r="E27" s="1"/>
  <c r="B10" i="9"/>
  <c r="H17" l="1"/>
  <c r="N17"/>
  <c r="E19"/>
  <c r="F19" s="1"/>
  <c r="G19" s="1"/>
  <c r="H19" s="1"/>
  <c r="I19" s="1"/>
  <c r="J19" s="1"/>
  <c r="K19" s="1"/>
  <c r="L19" s="1"/>
  <c r="M19" s="1"/>
  <c r="B31"/>
  <c r="C31" s="1"/>
  <c r="D31" s="1"/>
  <c r="E31" s="1"/>
  <c r="F31" s="1"/>
  <c r="G31" s="1"/>
  <c r="H31" s="1"/>
  <c r="I31" s="1"/>
  <c r="J31" s="1"/>
  <c r="K31" s="1"/>
  <c r="L31" s="1"/>
  <c r="M31" s="1"/>
  <c r="D19"/>
  <c r="C12"/>
  <c r="C10"/>
  <c r="B11"/>
  <c r="C11" l="1"/>
  <c r="D10"/>
  <c r="D12"/>
  <c r="E10" l="1"/>
  <c r="D11"/>
  <c r="E12"/>
  <c r="F10" l="1"/>
  <c r="E11"/>
  <c r="F12"/>
  <c r="G10" l="1"/>
  <c r="G12"/>
  <c r="F11"/>
  <c r="H12" l="1"/>
  <c r="H10"/>
  <c r="G11"/>
  <c r="I12" l="1"/>
  <c r="H11"/>
  <c r="I10"/>
  <c r="J12" l="1"/>
  <c r="I11"/>
  <c r="J10"/>
  <c r="J11" l="1"/>
  <c r="K10"/>
  <c r="K12"/>
  <c r="L10" l="1"/>
  <c r="L12"/>
  <c r="K11"/>
  <c r="M12" l="1"/>
  <c r="L11"/>
  <c r="M10"/>
  <c r="M11" l="1"/>
  <c r="B24"/>
  <c r="B22"/>
  <c r="B23" l="1"/>
  <c r="C22" s="1"/>
  <c r="C24"/>
  <c r="C23" l="1"/>
  <c r="D22" s="1"/>
  <c r="D24"/>
  <c r="D23" l="1"/>
  <c r="E22" s="1"/>
  <c r="E24"/>
  <c r="E23" l="1"/>
  <c r="F22" s="1"/>
  <c r="F24"/>
  <c r="G24" l="1"/>
  <c r="F23"/>
  <c r="G22" s="1"/>
  <c r="G23" l="1"/>
  <c r="H22" s="1"/>
  <c r="H24"/>
  <c r="H23" l="1"/>
  <c r="I22" s="1"/>
  <c r="I24"/>
  <c r="I23" l="1"/>
  <c r="J22" s="1"/>
  <c r="J24"/>
  <c r="J23" l="1"/>
  <c r="K22" s="1"/>
  <c r="K24"/>
  <c r="K23" l="1"/>
  <c r="L22" s="1"/>
  <c r="L24"/>
  <c r="L23" l="1"/>
  <c r="M22" s="1"/>
  <c r="M24"/>
  <c r="M23" s="1"/>
</calcChain>
</file>

<file path=xl/sharedStrings.xml><?xml version="1.0" encoding="utf-8"?>
<sst xmlns="http://schemas.openxmlformats.org/spreadsheetml/2006/main" count="2186" uniqueCount="635">
  <si>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</si>
  <si>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</si>
  <si>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</si>
  <si>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</si>
  <si>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</si>
  <si>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</si>
  <si>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</si>
  <si>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</si>
  <si>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</si>
  <si>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</si>
  <si>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</si>
  <si>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</si>
  <si>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</si>
  <si>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</si>
  <si>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</si>
  <si>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</si>
  <si>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</si>
  <si>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</si>
  <si>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</si>
  <si>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</si>
  <si>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</si>
  <si>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</si>
  <si>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</si>
  <si>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</si>
  <si>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</si>
  <si>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</si>
  <si>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</si>
  <si>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</si>
  <si>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</si>
  <si>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</si>
  <si>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</si>
  <si>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</si>
  <si>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</si>
  <si>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</si>
  <si>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</si>
  <si>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</si>
  <si>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</si>
  <si>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</si>
  <si>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</si>
  <si>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</si>
  <si>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</si>
  <si>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</si>
  <si>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</si>
  <si>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</si>
  <si>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</si>
  <si>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</si>
  <si>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</si>
  <si>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</si>
  <si>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</si>
  <si>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</si>
  <si>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</si>
  <si>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</si>
  <si>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</si>
  <si>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</si>
  <si>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</si>
  <si>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</si>
  <si>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</si>
  <si>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</si>
  <si>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</si>
  <si>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</si>
  <si>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</si>
  <si>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</si>
  <si>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</si>
  <si>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</si>
  <si>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</si>
  <si>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</si>
  <si>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</si>
  <si>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</si>
  <si>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</si>
  <si>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</si>
  <si>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</si>
  <si>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</si>
  <si>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</si>
  <si>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</si>
  <si>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</si>
  <si>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</si>
  <si>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</si>
  <si>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</si>
  <si>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</si>
  <si>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</si>
  <si>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</si>
  <si>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</si>
  <si>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</si>
  <si>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</si>
  <si>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</si>
  <si>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</si>
  <si>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</si>
  <si>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</si>
  <si>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</si>
  <si>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</si>
  <si>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</si>
  <si>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</si>
  <si>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</si>
  <si>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</si>
  <si>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</si>
  <si>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</si>
  <si>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</si>
  <si>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</si>
  <si>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</si>
  <si>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</si>
  <si>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</si>
  <si>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</si>
  <si>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</si>
  <si>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</si>
  <si>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</si>
  <si>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</si>
  <si>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</si>
  <si>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</si>
  <si>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</si>
  <si>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</si>
  <si>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</si>
  <si>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</si>
  <si>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</si>
  <si>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</si>
  <si>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</si>
  <si>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</si>
  <si>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</si>
  <si>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</si>
  <si>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</si>
  <si>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</si>
  <si>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</si>
  <si>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</si>
  <si>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</si>
  <si>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</si>
  <si>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</si>
  <si>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</si>
  <si>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</si>
  <si>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</si>
  <si>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</si>
  <si>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</si>
  <si>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</si>
  <si>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</si>
  <si>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</si>
  <si>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</si>
  <si>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</si>
  <si>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</si>
  <si>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</si>
  <si>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</si>
  <si>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</si>
  <si>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</si>
  <si>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</si>
  <si>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</si>
  <si>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</si>
  <si>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</si>
  <si>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</si>
  <si>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</si>
  <si>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</si>
  <si>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</si>
  <si>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</si>
  <si>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</si>
  <si>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</si>
  <si>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</si>
  <si>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</si>
  <si>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</si>
  <si>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</si>
  <si>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</si>
  <si>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</si>
  <si>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</si>
  <si>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</si>
  <si>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</si>
  <si>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</si>
  <si>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</si>
  <si>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</si>
  <si>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</si>
  <si>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</si>
  <si>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</si>
  <si>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</si>
  <si>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</si>
  <si>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</si>
  <si>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</si>
  <si>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</si>
  <si>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</si>
  <si>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</si>
  <si>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</si>
  <si>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</si>
  <si>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</si>
  <si>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</si>
  <si>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</si>
  <si>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</si>
  <si>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</si>
  <si>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</si>
  <si>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</si>
  <si>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</si>
  <si>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</si>
  <si>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</si>
  <si>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</si>
  <si>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</si>
  <si>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</si>
  <si>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</si>
  <si>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</si>
  <si>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</si>
  <si>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</si>
  <si>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</si>
  <si>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</si>
  <si>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</si>
  <si>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</si>
  <si>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</si>
  <si>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</si>
  <si>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</si>
  <si>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</si>
  <si>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</si>
  <si>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</si>
  <si>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</si>
  <si>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</si>
  <si>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</si>
  <si>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</si>
  <si>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</si>
  <si>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</si>
  <si>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</si>
  <si>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</si>
  <si>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</si>
  <si>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</si>
  <si>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</si>
  <si>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</si>
  <si>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</si>
  <si>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</si>
  <si>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</si>
  <si>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</si>
  <si>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</si>
  <si>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</si>
  <si>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</si>
  <si>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</si>
  <si>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</si>
  <si>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</si>
  <si>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</si>
  <si>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</si>
  <si>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</si>
  <si>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</si>
  <si>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</si>
  <si>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</si>
  <si>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</si>
  <si>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</si>
  <si>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</si>
  <si>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</si>
  <si>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</si>
  <si>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</si>
  <si>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</si>
  <si>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</si>
  <si>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</si>
  <si>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</si>
  <si>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</si>
  <si>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</si>
  <si>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</si>
  <si>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</si>
  <si>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</si>
  <si>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</si>
  <si>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</si>
  <si>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</si>
  <si>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</si>
  <si>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</si>
  <si>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</si>
  <si>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</si>
  <si>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</si>
  <si>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</si>
  <si>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</si>
  <si>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</si>
  <si>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</si>
  <si>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</si>
  <si>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</si>
  <si>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</si>
  <si>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</si>
  <si>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</si>
  <si>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</si>
  <si>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</si>
  <si>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</si>
  <si>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</si>
  <si>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</si>
  <si>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</si>
  <si>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</si>
  <si>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</si>
  <si>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</si>
  <si>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</si>
  <si>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</si>
  <si>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</si>
  <si>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</si>
  <si>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</si>
  <si>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</si>
  <si>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</si>
  <si>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</si>
  <si>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</si>
  <si>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</si>
  <si>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</si>
  <si>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</si>
  <si>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</si>
  <si>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</si>
  <si>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</si>
  <si>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</si>
  <si>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</si>
  <si>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</si>
  <si>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</si>
  <si>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</si>
  <si>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</si>
  <si>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</si>
  <si>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</si>
  <si>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</si>
  <si>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</si>
  <si>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</si>
  <si>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</si>
  <si>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</si>
  <si>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</si>
  <si>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</si>
  <si>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</si>
  <si>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</si>
  <si>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</si>
  <si>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</si>
  <si>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</si>
  <si>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</si>
  <si>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</si>
  <si>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</si>
  <si>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</si>
  <si>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</si>
  <si>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</si>
  <si>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</si>
  <si>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</si>
  <si>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</si>
  <si>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</si>
  <si>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</si>
  <si>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</si>
  <si>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</si>
  <si>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</si>
  <si>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</si>
  <si>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</si>
  <si>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</si>
  <si>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</si>
  <si>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</si>
  <si>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</si>
  <si>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</si>
  <si>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</si>
  <si>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</si>
  <si>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</si>
  <si>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</si>
  <si>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</si>
  <si>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</si>
  <si>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</si>
  <si>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</si>
  <si>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</si>
  <si>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</si>
  <si>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</si>
  <si>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</si>
  <si>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</si>
  <si>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</si>
  <si>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</si>
  <si>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</si>
  <si>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</si>
  <si>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</si>
  <si>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</si>
  <si>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</si>
  <si>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</si>
  <si>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</si>
  <si>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</si>
  <si>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</si>
  <si>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</si>
  <si>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</si>
  <si>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</si>
  <si>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</si>
  <si>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</si>
  <si>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</si>
  <si>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</si>
  <si>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</si>
  <si>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</si>
  <si>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</si>
  <si>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</si>
  <si>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</si>
  <si>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</si>
  <si>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</si>
  <si>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</si>
  <si>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</si>
  <si>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</si>
  <si>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</si>
  <si>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</si>
  <si>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</si>
  <si>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</si>
  <si>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</si>
  <si>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</si>
  <si>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</si>
  <si>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</si>
  <si>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</si>
  <si>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</si>
  <si>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</si>
  <si>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</si>
  <si>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</si>
  <si>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</si>
  <si>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</si>
  <si>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</si>
  <si>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</si>
  <si>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</si>
  <si>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</si>
  <si>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</si>
  <si>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</si>
  <si>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</si>
  <si>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</si>
  <si>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</si>
  <si>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</si>
  <si>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</si>
  <si>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</si>
  <si>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</si>
  <si>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</si>
  <si>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</si>
  <si>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</si>
  <si>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</si>
  <si>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</si>
  <si>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</si>
  <si>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</si>
  <si>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</si>
  <si>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</si>
  <si>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</si>
  <si>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</si>
  <si>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</si>
  <si>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</si>
  <si>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</si>
  <si>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</si>
  <si>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</si>
  <si>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</si>
  <si>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</si>
  <si>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</si>
  <si>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</si>
  <si>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</si>
  <si>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</si>
  <si>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</si>
  <si>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</si>
  <si>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</si>
  <si>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</si>
  <si>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</si>
  <si>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</si>
  <si>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</si>
  <si>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</si>
  <si>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</si>
  <si>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</si>
  <si>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</si>
  <si>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</si>
  <si>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</si>
  <si>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</si>
  <si>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</si>
  <si>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</si>
  <si>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</si>
  <si>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</si>
  <si>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</si>
  <si>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</si>
  <si>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</si>
  <si>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</si>
  <si>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</si>
  <si>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</si>
  <si>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</si>
  <si>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</si>
  <si>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</si>
  <si>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</si>
  <si>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</si>
  <si>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</si>
  <si>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</si>
  <si>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</si>
  <si>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</si>
  <si>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</si>
  <si>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</si>
  <si>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</si>
  <si>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</si>
  <si>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</si>
  <si>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</si>
  <si>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</si>
  <si>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</si>
  <si>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</si>
  <si>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</si>
  <si>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</si>
  <si>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</si>
  <si>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</si>
  <si>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</si>
  <si>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</si>
  <si>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</si>
  <si>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</si>
  <si>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</si>
  <si>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</si>
  <si>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</si>
  <si>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</si>
  <si>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</si>
  <si>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</si>
  <si>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</si>
  <si>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</si>
  <si>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</si>
  <si>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</si>
  <si>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</si>
  <si>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</si>
  <si>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</si>
  <si>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</si>
  <si>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</si>
  <si>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</si>
  <si>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</si>
  <si>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</si>
  <si>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</si>
  <si>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</si>
  <si>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</si>
  <si>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</si>
  <si>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</si>
  <si>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</si>
  <si>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</si>
  <si>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</si>
  <si>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</si>
  <si>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</si>
  <si>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</si>
  <si>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</si>
  <si>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</si>
  <si>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</si>
  <si>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</si>
  <si>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</si>
  <si>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</si>
  <si>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</si>
  <si>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</si>
  <si>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</si>
  <si>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</si>
  <si>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</si>
  <si>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</si>
  <si>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</si>
  <si>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</si>
  <si>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</si>
  <si>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</si>
  <si>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</si>
  <si>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</si>
  <si>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</si>
  <si>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</si>
  <si>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</si>
  <si>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</si>
  <si>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</si>
  <si>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</si>
  <si>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</si>
  <si>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</si>
  <si>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</si>
  <si>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</si>
  <si>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</si>
  <si>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</si>
  <si>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</si>
  <si>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</si>
  <si>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</si>
  <si>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</si>
  <si>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</si>
  <si>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</si>
  <si>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</si>
  <si>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</si>
  <si>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</si>
  <si>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</si>
  <si>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</si>
  <si>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</si>
  <si>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</si>
  <si>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</si>
  <si>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</si>
  <si>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</si>
  <si>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</si>
  <si>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</si>
  <si>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</si>
  <si>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</si>
  <si>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</si>
  <si>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</si>
  <si>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</si>
  <si>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</si>
  <si>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</si>
  <si>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</si>
  <si>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</si>
  <si>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</si>
  <si>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</si>
  <si>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</si>
  <si>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</si>
  <si>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</si>
  <si>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</si>
  <si>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</si>
  <si>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</si>
  <si>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</si>
  <si>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</si>
  <si>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</si>
  <si>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</si>
  <si>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</si>
  <si>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</si>
  <si>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</si>
  <si>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</si>
  <si>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</si>
  <si>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</si>
  <si>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</si>
  <si>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</si>
  <si>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</si>
  <si>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</si>
  <si>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</si>
  <si>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</si>
  <si>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</si>
  <si>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</si>
  <si>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</si>
  <si>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</si>
  <si>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</si>
  <si>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</si>
  <si>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</si>
  <si>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</si>
  <si>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</si>
  <si>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</si>
  <si>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</si>
  <si>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</si>
  <si>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</si>
  <si>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</si>
  <si>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</si>
  <si>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</si>
  <si>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</si>
  <si>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</si>
  <si>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</si>
  <si>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</si>
  <si>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</si>
  <si>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</si>
  <si>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</si>
  <si>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</si>
  <si>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</si>
  <si>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</si>
  <si>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</si>
  <si>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</si>
  <si>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</si>
  <si>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</si>
  <si>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</si>
  <si>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</si>
  <si>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</si>
  <si>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</si>
  <si>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</si>
  <si>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</si>
  <si>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</si>
  <si>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</si>
  <si>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</si>
  <si>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</si>
  <si>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</si>
  <si>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</si>
  <si>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</si>
  <si>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</si>
  <si>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</si>
  <si>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</si>
  <si>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</si>
  <si>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</si>
  <si>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</si>
  <si>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</si>
  <si>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</si>
  <si>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</si>
  <si>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</si>
  <si>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</si>
  <si>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</si>
  <si>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</si>
  <si>
    <t>To correct budget.  Original JIF created by someone else w/ incorrect budget.</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</si>
</sst>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3">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0" applyNumberForma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F30" sqref="F30"/>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4">
        <v>40040</v>
      </c>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6" t="s">
        <v>630</v>
      </c>
      <c r="C10" s="116"/>
      <c r="D10" s="116"/>
      <c r="E10" s="11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629</v>
      </c>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09" t="s">
        <v>632</v>
      </c>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t="s">
        <v>633</v>
      </c>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627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opLeftCell="A4" zoomScaleNormal="100" zoomScaleSheetLayoutView="100" workbookViewId="0">
      <selection activeCell="H37" sqref="H37"/>
    </sheetView>
  </sheetViews>
  <sheetFormatPr defaultRowHeight="12.75"/>
  <cols>
    <col min="1" max="1" width="17.85546875" bestFit="1" customWidth="1"/>
    <col min="2" max="14" width="11.7109375" customWidth="1"/>
  </cols>
  <sheetData>
    <row r="1" spans="1:14" s="67" customFormat="1" ht="20.25">
      <c r="A1" s="117" t="s">
        <v>411</v>
      </c>
      <c r="B1" s="117"/>
      <c r="C1" s="66"/>
      <c r="D1" s="66"/>
      <c r="E1" s="66"/>
      <c r="F1" s="66"/>
      <c r="G1" s="66"/>
      <c r="H1" s="66"/>
    </row>
    <row r="2" spans="1:14" s="67" customFormat="1" ht="18" customHeight="1">
      <c r="A2" s="117" t="s">
        <v>428</v>
      </c>
      <c r="B2" s="117"/>
      <c r="C2" s="118" t="str">
        <f>LEFT('Job Initiation Form'!B10,50)</f>
        <v>New WWCS Utility Service for FTW 336A- Aircraft Pa</v>
      </c>
      <c r="D2" s="118"/>
      <c r="E2" s="118"/>
      <c r="F2" s="118"/>
      <c r="G2" s="118"/>
      <c r="H2" s="118"/>
      <c r="I2" s="118"/>
      <c r="J2" s="118"/>
      <c r="K2" s="118"/>
    </row>
    <row r="3" spans="1:14" s="67" customFormat="1" ht="20.25">
      <c r="A3" s="68" t="s">
        <v>413</v>
      </c>
      <c r="B3" s="69"/>
      <c r="C3" s="118">
        <f>'Job Initiation Form'!E38</f>
        <v>0</v>
      </c>
      <c r="D3" s="118"/>
      <c r="E3" s="118"/>
      <c r="F3" s="118"/>
      <c r="G3" s="118"/>
      <c r="H3" s="118"/>
      <c r="I3" s="118"/>
      <c r="J3" s="118"/>
      <c r="K3" s="118"/>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51783.557500000003</v>
      </c>
      <c r="H14" s="96">
        <v>51783.557500000003</v>
      </c>
      <c r="I14" s="96">
        <v>51783.557500000003</v>
      </c>
      <c r="J14" s="96">
        <v>51783.557500000003</v>
      </c>
      <c r="K14" s="88">
        <v>0</v>
      </c>
      <c r="L14" s="80">
        <v>0</v>
      </c>
      <c r="M14" s="96">
        <v>0</v>
      </c>
      <c r="N14" s="81">
        <f>SUM(B14:M14)</f>
        <v>207134.23</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51783.557500000003</v>
      </c>
      <c r="H17" s="91">
        <f t="shared" si="1"/>
        <v>51783.557500000003</v>
      </c>
      <c r="I17" s="83">
        <f t="shared" si="1"/>
        <v>51783.557500000003</v>
      </c>
      <c r="J17" s="98">
        <f t="shared" si="1"/>
        <v>51783.557500000003</v>
      </c>
      <c r="K17" s="91">
        <f t="shared" si="1"/>
        <v>0</v>
      </c>
      <c r="L17" s="83">
        <f t="shared" si="1"/>
        <v>0</v>
      </c>
      <c r="M17" s="98">
        <f t="shared" si="1"/>
        <v>0</v>
      </c>
      <c r="N17" s="83">
        <f>SUM(N13:N16)</f>
        <v>207134.23</v>
      </c>
    </row>
    <row r="18" spans="1:14" s="67" customFormat="1" ht="13.5" thickTop="1">
      <c r="A18" s="70"/>
    </row>
    <row r="19" spans="1:14" s="67" customFormat="1">
      <c r="A19" s="70"/>
      <c r="D19" s="84">
        <f>D17+C17+B17</f>
        <v>0</v>
      </c>
      <c r="E19" s="84">
        <f>E17+D17+C17+B17</f>
        <v>0</v>
      </c>
      <c r="F19" s="84">
        <f>F17+E19</f>
        <v>0</v>
      </c>
      <c r="G19" s="84">
        <f t="shared" ref="G19:M19" si="2">G17+F19</f>
        <v>51783.557500000003</v>
      </c>
      <c r="H19" s="84">
        <f t="shared" si="2"/>
        <v>103567.11500000001</v>
      </c>
      <c r="I19" s="84">
        <f t="shared" si="2"/>
        <v>155350.67250000002</v>
      </c>
      <c r="J19" s="84">
        <f t="shared" si="2"/>
        <v>207134.23</v>
      </c>
      <c r="K19" s="84">
        <f t="shared" si="2"/>
        <v>207134.23</v>
      </c>
      <c r="L19" s="84">
        <f t="shared" si="2"/>
        <v>207134.23</v>
      </c>
      <c r="M19" s="84">
        <f t="shared" si="2"/>
        <v>207134.23</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207134.23</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207134.23</v>
      </c>
    </row>
    <row r="30" spans="1:14" s="67" customFormat="1" ht="13.5" thickTop="1">
      <c r="A30" s="70"/>
    </row>
    <row r="31" spans="1:14" s="67" customFormat="1">
      <c r="A31" s="70"/>
      <c r="B31" s="84">
        <f>B29+N17</f>
        <v>207134.23</v>
      </c>
      <c r="C31" s="84">
        <f>C29+B31</f>
        <v>207134.23</v>
      </c>
      <c r="D31" s="84">
        <f>D29+C31</f>
        <v>207134.23</v>
      </c>
      <c r="E31" s="84">
        <f>E29+D31</f>
        <v>207134.23</v>
      </c>
      <c r="F31" s="84">
        <f>F29+E31</f>
        <v>207134.23</v>
      </c>
      <c r="G31" s="84">
        <f t="shared" ref="G31:L31" si="5">G29+F31</f>
        <v>207134.23</v>
      </c>
      <c r="H31" s="84">
        <f t="shared" si="5"/>
        <v>207134.23</v>
      </c>
      <c r="I31" s="84">
        <f t="shared" si="5"/>
        <v>207134.23</v>
      </c>
      <c r="J31" s="84">
        <f t="shared" si="5"/>
        <v>207134.23</v>
      </c>
      <c r="K31" s="84">
        <f t="shared" si="5"/>
        <v>207134.23</v>
      </c>
      <c r="L31" s="84">
        <f t="shared" si="5"/>
        <v>207134.23</v>
      </c>
      <c r="M31" s="84">
        <f>M29+L31</f>
        <v>207134.23</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topLeftCell="A13" workbookViewId="0">
      <selection activeCell="B13" sqref="B13"/>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412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443</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0" t="s">
        <v>634</v>
      </c>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5">
        <v>207134.23</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207134.23</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-207134.23</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489</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490</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402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2010-11-15T20:15:17Z</dcterms:modified>
</cp:coreProperties>
</file>