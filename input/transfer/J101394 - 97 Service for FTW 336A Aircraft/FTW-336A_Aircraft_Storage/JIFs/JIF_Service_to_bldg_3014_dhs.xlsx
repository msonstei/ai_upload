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codeName="ThisWorkbook" defaultThemeVersion="124226"/>
  <bookViews>
    <workbookView xWindow="-15" yWindow="15" windowWidth="13035" windowHeight="12495" tabRatio="661" activeTab="1"/>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Area" localSheetId="4">Subclasses!$A$2:$G$310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G329" i="1"/>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2"/>
  <c r="G3"/>
  <c r="G4"/>
  <c r="G5"/>
  <c r="G6"/>
  <c r="G7"/>
  <c r="G8"/>
  <c r="G9"/>
  <c r="G10"/>
  <c r="G1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148"/>
  <c r="G149"/>
  <c r="G150"/>
  <c r="G151"/>
  <c r="G152"/>
  <c r="G153"/>
  <c r="G154"/>
  <c r="G155"/>
  <c r="G156"/>
  <c r="G157"/>
  <c r="G158"/>
  <c r="G159"/>
  <c r="G160"/>
  <c r="G161"/>
  <c r="G162"/>
  <c r="G163"/>
  <c r="G164"/>
  <c r="G165"/>
  <c r="G166"/>
  <c r="G167"/>
  <c r="G168"/>
  <c r="G169"/>
  <c r="G170"/>
  <c r="G171"/>
  <c r="G172"/>
  <c r="G173"/>
  <c r="G174"/>
  <c r="G175"/>
  <c r="G176"/>
  <c r="G177"/>
  <c r="G178"/>
  <c r="G179"/>
  <c r="G180"/>
  <c r="G181"/>
  <c r="G182"/>
  <c r="G183"/>
  <c r="G184"/>
  <c r="G185"/>
  <c r="G186"/>
  <c r="G187"/>
  <c r="G188"/>
  <c r="G189"/>
  <c r="G190"/>
  <c r="G191"/>
  <c r="G192"/>
  <c r="G193"/>
  <c r="G194"/>
  <c r="G195"/>
  <c r="G196"/>
  <c r="G197"/>
  <c r="G198"/>
  <c r="G199"/>
  <c r="G200"/>
  <c r="G201"/>
  <c r="G202"/>
  <c r="G203"/>
  <c r="G204"/>
  <c r="G205"/>
  <c r="G206"/>
  <c r="G207"/>
  <c r="G208"/>
  <c r="G209"/>
  <c r="G210"/>
  <c r="G211"/>
  <c r="G212"/>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1"/>
  <c r="E21"/>
  <c r="E26" s="1"/>
  <c r="E27" s="1"/>
  <c r="E27" i="11" l="1"/>
  <c r="B7" i="9"/>
  <c r="B12" s="1"/>
  <c r="E28" i="11"/>
  <c r="B3" i="9"/>
  <c r="B5"/>
  <c r="B4"/>
  <c r="N14"/>
  <c r="N26" s="1"/>
  <c r="N29" s="1"/>
  <c r="B2"/>
  <c r="F29"/>
  <c r="C29"/>
  <c r="M29"/>
  <c r="L29"/>
  <c r="K29"/>
  <c r="J29"/>
  <c r="I29"/>
  <c r="H29"/>
  <c r="G29"/>
  <c r="E29"/>
  <c r="D29"/>
  <c r="B29"/>
  <c r="B17"/>
  <c r="C17"/>
  <c r="C19" s="1"/>
  <c r="D17"/>
  <c r="E17"/>
  <c r="F17"/>
  <c r="G17"/>
  <c r="H17"/>
  <c r="I17"/>
  <c r="J17"/>
  <c r="K17"/>
  <c r="L17"/>
  <c r="M17"/>
  <c r="B8"/>
  <c r="E26" i="10"/>
  <c r="D19" i="9" l="1"/>
  <c r="N17"/>
  <c r="E19"/>
  <c r="F19" s="1"/>
  <c r="G19" s="1"/>
  <c r="H19" s="1"/>
  <c r="I19" s="1"/>
  <c r="J19" s="1"/>
  <c r="K19" s="1"/>
  <c r="L19" s="1"/>
  <c r="M19" s="1"/>
  <c r="B31"/>
  <c r="C10"/>
  <c r="C12"/>
  <c r="B11"/>
  <c r="C31"/>
  <c r="D31" s="1"/>
  <c r="E31" s="1"/>
  <c r="F31" s="1"/>
  <c r="G31" s="1"/>
  <c r="H31" s="1"/>
  <c r="I31" s="1"/>
  <c r="J31" s="1"/>
  <c r="K31" s="1"/>
  <c r="L31" s="1"/>
  <c r="M31" s="1"/>
  <c r="B10"/>
  <c r="D12" l="1"/>
  <c r="C11"/>
  <c r="D10"/>
  <c r="E12" l="1"/>
  <c r="E10"/>
  <c r="D11"/>
  <c r="F12" l="1"/>
  <c r="F10"/>
  <c r="E11"/>
  <c r="G12" l="1"/>
  <c r="G10"/>
  <c r="F11"/>
  <c r="H12" l="1"/>
  <c r="H10"/>
  <c r="G11"/>
  <c r="I10" l="1"/>
  <c r="H11"/>
  <c r="I12"/>
  <c r="J12" l="1"/>
  <c r="J10"/>
  <c r="I11"/>
  <c r="K10" l="1"/>
  <c r="J11"/>
  <c r="K12"/>
  <c r="L12" l="1"/>
  <c r="L10"/>
  <c r="K11"/>
  <c r="L11" l="1"/>
  <c r="M12"/>
  <c r="M10"/>
  <c r="B24" l="1"/>
  <c r="B22"/>
  <c r="M11"/>
  <c r="B23" l="1"/>
  <c r="C22" s="1"/>
  <c r="C24"/>
  <c r="D24" l="1"/>
  <c r="C23"/>
  <c r="D22" s="1"/>
  <c r="D23" l="1"/>
  <c r="E22" s="1"/>
  <c r="E24"/>
  <c r="F24" l="1"/>
  <c r="E23"/>
  <c r="F22" s="1"/>
  <c r="F23" l="1"/>
  <c r="G22" s="1"/>
  <c r="G24"/>
  <c r="H24" l="1"/>
  <c r="G23"/>
  <c r="H22" s="1"/>
  <c r="H23" l="1"/>
  <c r="I22" s="1"/>
  <c r="I24"/>
  <c r="J24" l="1"/>
  <c r="I23"/>
  <c r="J22" s="1"/>
  <c r="K24" l="1"/>
  <c r="J23"/>
  <c r="K22" s="1"/>
  <c r="L24" l="1"/>
  <c r="K23"/>
  <c r="L22" s="1"/>
  <c r="M24" l="1"/>
  <c r="M23" s="1"/>
  <c r="L23"/>
  <c r="M22" s="1"/>
</calcChain>
</file>

<file path=xl/sharedStrings.xml><?xml version="1.0" encoding="utf-8"?>
<sst xmlns="http://schemas.openxmlformats.org/spreadsheetml/2006/main" count="2556" uniqueCount="727">
  <si>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</si>
  <si>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</si>
  <si>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</si>
  <si>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</si>
  <si>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</si>
  <si>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</si>
  <si>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</si>
  <si>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</si>
  <si>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</si>
  <si>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</si>
  <si>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</si>
  <si>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</si>
  <si>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Upon approval, signed documents should be forwarded to Accounting at USA.</t>
  </si>
  <si>
    <t>JI Form - Help</t>
  </si>
  <si>
    <t>NAV Code</t>
  </si>
  <si>
    <t>Cost Center</t>
  </si>
  <si>
    <t>Description</t>
  </si>
  <si>
    <t>GAAP
Life</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</si>
  <si>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</si>
  <si>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</si>
  <si>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</si>
  <si>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</si>
  <si>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</si>
  <si>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</si>
  <si>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</si>
  <si>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</si>
  <si>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</si>
  <si>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</si>
  <si>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</si>
  <si>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</si>
  <si>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</si>
  <si>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</si>
  <si>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</si>
  <si>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</si>
  <si>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</si>
  <si>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</si>
  <si>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</si>
  <si>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</si>
  <si>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</si>
  <si>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</si>
  <si>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</si>
  <si>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</si>
  <si>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</si>
  <si>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</si>
  <si>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</si>
  <si>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</si>
  <si>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</si>
  <si>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</si>
  <si>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</si>
  <si>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</si>
  <si>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</si>
  <si>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</si>
  <si>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</si>
  <si>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</si>
  <si>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</si>
  <si>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</si>
  <si>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</si>
  <si>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</si>
  <si>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</si>
  <si>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</si>
  <si>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</si>
  <si>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</si>
  <si>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</si>
  <si>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</si>
  <si>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</si>
  <si>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</si>
  <si>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</si>
  <si>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</si>
  <si>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</si>
  <si>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</si>
  <si>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</si>
  <si>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</si>
  <si>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</si>
  <si>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</si>
  <si>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</si>
  <si>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</si>
  <si>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</si>
  <si>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</si>
  <si>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</si>
  <si>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</si>
  <si>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</si>
  <si>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</si>
  <si>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</si>
  <si>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</si>
  <si>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</si>
  <si>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</si>
  <si>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</si>
  <si>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</si>
  <si>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</si>
  <si>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</si>
  <si>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</si>
  <si>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</si>
  <si>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</si>
  <si>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</si>
  <si>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</si>
  <si>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</si>
  <si>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</si>
  <si>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</si>
  <si>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</si>
  <si>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</si>
  <si>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</si>
  <si>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</si>
  <si>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</si>
  <si>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</si>
  <si>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</si>
  <si>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</si>
  <si>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</si>
  <si>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</si>
  <si>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</si>
  <si>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</si>
  <si>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</si>
  <si>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</si>
  <si>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</si>
  <si>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</si>
  <si>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</si>
  <si>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</si>
  <si>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</si>
  <si>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</si>
  <si>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</si>
  <si>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</si>
  <si>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</si>
  <si>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</si>
  <si>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</si>
  <si>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</si>
  <si>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</si>
  <si>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</si>
  <si>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</si>
  <si>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</si>
  <si>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</si>
  <si>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</si>
  <si>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</si>
  <si>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</si>
  <si>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</si>
  <si>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</si>
  <si>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</si>
  <si>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</si>
  <si>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</si>
  <si>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</si>
  <si>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</si>
  <si>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</si>
  <si>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</si>
  <si>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</si>
  <si>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</si>
  <si>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</si>
  <si>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</si>
  <si>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</si>
  <si>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</si>
  <si>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</si>
  <si>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</si>
  <si>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</si>
  <si>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</si>
  <si>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</si>
  <si>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</si>
  <si>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</si>
  <si>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</si>
  <si>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</si>
  <si>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</si>
  <si>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</si>
  <si>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</si>
  <si>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</si>
  <si>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</si>
  <si>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</si>
  <si>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</si>
  <si>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</si>
  <si>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</si>
  <si>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</si>
  <si>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</si>
  <si>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</si>
  <si>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</si>
  <si>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</si>
  <si>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</si>
  <si>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</si>
  <si>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</si>
  <si>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</si>
  <si>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</si>
  <si>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</si>
  <si>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</si>
  <si>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</si>
  <si>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</si>
  <si>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</si>
  <si>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</si>
  <si>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</si>
  <si>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</si>
  <si>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</si>
  <si>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</si>
  <si>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</si>
  <si>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</si>
  <si>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</si>
  <si>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</si>
  <si>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</si>
  <si>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</si>
  <si>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</si>
  <si>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</si>
  <si>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</si>
  <si>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</si>
  <si>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</si>
  <si>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</si>
  <si>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</si>
  <si>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</si>
  <si>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</si>
  <si>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</si>
  <si>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</si>
  <si>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</si>
  <si>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</si>
  <si>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</si>
  <si>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</si>
  <si>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</si>
  <si>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</si>
  <si>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</si>
  <si>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</si>
  <si>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</si>
  <si>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</si>
  <si>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</si>
  <si>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</si>
  <si>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</si>
  <si>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</si>
  <si>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</si>
  <si>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</si>
  <si>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</si>
  <si>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</si>
  <si>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</si>
  <si>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</si>
  <si>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</si>
  <si>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</si>
  <si>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</si>
  <si>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</si>
  <si>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</si>
  <si>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</si>
  <si>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</si>
  <si>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</si>
  <si>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</si>
  <si>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</si>
  <si>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</si>
  <si>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</si>
  <si>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</si>
  <si>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</si>
  <si>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</si>
  <si>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</si>
  <si>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</si>
  <si>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</si>
  <si>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</si>
  <si>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</si>
  <si>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</si>
  <si>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</si>
  <si>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Coal Handling</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</si>
  <si>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</si>
  <si>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</si>
  <si>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</si>
  <si>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</si>
  <si>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</si>
  <si>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</si>
  <si>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</si>
  <si>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</si>
  <si>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</si>
  <si>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</si>
  <si>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</si>
  <si>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</si>
  <si>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</si>
  <si>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</si>
  <si>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</si>
  <si>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</si>
  <si>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</si>
  <si>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</si>
  <si>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</si>
  <si>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</si>
  <si>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</si>
  <si>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</si>
  <si>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</si>
  <si>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</si>
  <si>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</si>
  <si>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</si>
  <si>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</si>
  <si>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</si>
  <si>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</si>
  <si>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</si>
  <si>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</si>
  <si>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</si>
  <si>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</si>
  <si>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</si>
  <si>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</si>
  <si>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</si>
  <si>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</si>
  <si>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</si>
  <si>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DHS 353 5</t>
  </si>
  <si>
    <t>Transmission Assets</t>
  </si>
  <si>
    <t>DHS 354 5</t>
  </si>
  <si>
    <t>Steam Lines</t>
  </si>
  <si>
    <t>DHS 355 5</t>
  </si>
  <si>
    <t>Capital Spares</t>
  </si>
  <si>
    <t>DHS 356 5</t>
  </si>
  <si>
    <t>DHS 357 5</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</si>
  <si>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</si>
  <si>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</si>
  <si>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</si>
  <si>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</si>
  <si>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</si>
  <si>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</si>
  <si>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</si>
  <si>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</si>
  <si>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</si>
  <si>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</si>
  <si>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</si>
  <si>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</si>
  <si>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</si>
  <si>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</si>
  <si>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</si>
  <si>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</si>
  <si>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</si>
  <si>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</si>
  <si>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</si>
  <si>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</si>
  <si>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</si>
  <si>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</si>
  <si>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</si>
  <si>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</si>
  <si>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</si>
  <si>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</si>
  <si>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</si>
  <si>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</si>
  <si>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</si>
  <si>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</si>
  <si>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</si>
  <si>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</si>
  <si>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</si>
  <si>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</si>
  <si>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</si>
  <si>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</si>
  <si>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</si>
  <si>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</si>
  <si>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</si>
  <si>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</si>
  <si>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</si>
  <si>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</si>
  <si>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</si>
  <si>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</si>
  <si>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</si>
  <si>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</si>
  <si>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</si>
  <si>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</si>
  <si>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</si>
  <si>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</si>
  <si>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</si>
  <si>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</si>
  <si>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</si>
  <si>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</si>
  <si>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</si>
  <si>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</si>
  <si>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</si>
  <si>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</si>
  <si>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</si>
  <si>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</si>
  <si>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</si>
  <si>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</si>
  <si>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</si>
  <si>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</si>
  <si>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</si>
  <si>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</si>
  <si>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</si>
  <si>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</si>
  <si>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</si>
  <si>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</si>
  <si>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</si>
  <si>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</si>
  <si>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</si>
  <si>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</si>
  <si>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</si>
  <si>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</si>
  <si>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</si>
  <si>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</si>
  <si>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</si>
  <si>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</si>
  <si>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</si>
  <si>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</si>
  <si>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</si>
  <si>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</si>
  <si>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</si>
  <si>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</si>
  <si>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</si>
  <si>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</si>
  <si>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</si>
  <si>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</si>
  <si>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</si>
  <si>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</si>
  <si>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</si>
  <si>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</si>
  <si>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</si>
  <si>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</si>
  <si>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</si>
  <si>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</si>
  <si>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</si>
  <si>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</si>
  <si>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</si>
  <si>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</si>
  <si>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</si>
  <si>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</si>
  <si>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</si>
  <si>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</si>
  <si>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</si>
  <si>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</si>
  <si>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</si>
  <si>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</si>
  <si>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</si>
  <si>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</si>
  <si>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</si>
  <si>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</si>
  <si>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</si>
  <si>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</si>
  <si>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</si>
  <si>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</si>
  <si>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</si>
  <si>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</si>
  <si>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</si>
  <si>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</si>
  <si>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</si>
  <si>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</si>
  <si>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</si>
  <si>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</si>
  <si>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</si>
  <si>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</si>
  <si>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</si>
  <si>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</si>
  <si>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</si>
  <si>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</si>
  <si>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</si>
  <si>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</si>
  <si>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</si>
  <si>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</si>
  <si>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</si>
  <si>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</si>
  <si>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</si>
  <si>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</si>
  <si>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</si>
  <si>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</si>
  <si>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</si>
  <si>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</si>
  <si>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</si>
  <si>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</si>
  <si>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</si>
  <si>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</si>
  <si>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</si>
  <si>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</si>
  <si>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</si>
  <si>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</si>
  <si>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</si>
  <si>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</si>
  <si>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</si>
  <si>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</si>
  <si>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</si>
  <si>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</si>
  <si>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</si>
  <si>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</si>
  <si>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</si>
  <si>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</si>
  <si>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</si>
  <si>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</si>
  <si>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</si>
  <si>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</si>
  <si>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</si>
  <si>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</si>
  <si>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</si>
  <si>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</si>
  <si>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</si>
  <si>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</si>
  <si>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</si>
  <si>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</si>
  <si>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</si>
  <si>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</si>
  <si>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</si>
  <si>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</si>
  <si>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</si>
  <si>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</si>
  <si>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</si>
  <si>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</si>
  <si>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</si>
  <si>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</si>
  <si>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</si>
  <si>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</si>
  <si>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</si>
  <si>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</si>
  <si>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</si>
  <si>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</si>
  <si>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</si>
  <si>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</si>
  <si>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</si>
  <si>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</si>
  <si>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</si>
  <si>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</si>
  <si>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</si>
  <si>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</si>
  <si>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</si>
  <si>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</si>
  <si>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</si>
  <si>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</si>
  <si>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</si>
  <si>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</si>
  <si>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</si>
  <si>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</si>
  <si>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</si>
  <si>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</si>
  <si>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</si>
  <si>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</si>
  <si>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</si>
  <si>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</si>
  <si>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</si>
  <si>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</si>
  <si>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</si>
  <si>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</si>
  <si>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</si>
  <si>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</si>
  <si>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</si>
  <si>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</si>
  <si>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</si>
  <si>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</si>
  <si>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</si>
  <si>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</si>
  <si>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</si>
  <si>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</si>
  <si>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</si>
  <si>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</si>
  <si>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</si>
  <si>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</si>
  <si>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</si>
  <si>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</si>
  <si>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</si>
  <si>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</si>
  <si>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</si>
  <si>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</si>
  <si>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</si>
  <si>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</si>
  <si>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</si>
  <si>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</si>
  <si>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</si>
  <si>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</si>
  <si>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</si>
  <si>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</si>
  <si>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</si>
  <si>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</si>
  <si>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</si>
  <si>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</si>
  <si>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</si>
  <si>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</si>
  <si>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</si>
  <si>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</si>
  <si>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</si>
  <si>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</si>
  <si>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</si>
  <si>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</si>
  <si>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</si>
  <si>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</si>
  <si>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</si>
  <si>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</si>
  <si>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</si>
  <si>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</si>
  <si>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</si>
  <si>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</si>
  <si>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</si>
  <si>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</si>
  <si>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</si>
  <si>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</si>
  <si>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</si>
  <si>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</si>
  <si>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</si>
  <si>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WTD 343 5.1</t>
  </si>
  <si>
    <t>WTD 343 5.2</t>
  </si>
  <si>
    <t>WTD 343 5.3</t>
  </si>
  <si>
    <t>WTD 344 5.1</t>
  </si>
  <si>
    <t>WTD 344 5.2</t>
  </si>
  <si>
    <t>WTD 345 5.1</t>
  </si>
  <si>
    <t>WTD 346 5.1</t>
  </si>
  <si>
    <t>WTD 346 5.2</t>
  </si>
  <si>
    <t>WWC 361 2.1</t>
  </si>
  <si>
    <t>Sewer Mains GV - Manholes</t>
  </si>
  <si>
    <t>WWC 361 2.2</t>
  </si>
  <si>
    <t>WWC 361 2.3</t>
  </si>
  <si>
    <t>Sewer Mains GV - Flushwells</t>
  </si>
  <si>
    <t>Sewer Mains GV - Metering Manholes</t>
  </si>
  <si>
    <t>WWC 390 7.1</t>
  </si>
  <si>
    <t>WWC 390 7.2</t>
  </si>
  <si>
    <t>WWC 391 7.1</t>
  </si>
  <si>
    <t>WWC 391 7.2</t>
  </si>
  <si>
    <t>WWC 393 7.1</t>
  </si>
  <si>
    <t>WWC 395 7.1</t>
  </si>
  <si>
    <t>WWC 395 7.2</t>
  </si>
  <si>
    <t>WWC 396 7.2</t>
  </si>
  <si>
    <t>WWC 396 7.3</t>
  </si>
  <si>
    <t>HDQ 301 1</t>
  </si>
  <si>
    <t>WTD 311 4.4</t>
  </si>
  <si>
    <t>EDS 345 10</t>
  </si>
  <si>
    <t>Estimate</t>
  </si>
  <si>
    <t>The header dates on this worksheet will automatically populate based on the start date of the job noted on the Job Initiation Form</t>
  </si>
  <si>
    <t>WTD 304 5.1</t>
  </si>
  <si>
    <t>Structures and Improvements - 75 yr</t>
  </si>
  <si>
    <t>EDS 346 10</t>
  </si>
  <si>
    <t>WTD 311 2.1</t>
  </si>
  <si>
    <t>WTD 311 2.2</t>
  </si>
  <si>
    <t>WTD 311 2.3</t>
  </si>
  <si>
    <t>WTD 311 2.4</t>
  </si>
  <si>
    <t>Pumping Equipment - Wells - Mechanical</t>
  </si>
  <si>
    <t>Pumping Equipment - Wells - Electrical</t>
  </si>
  <si>
    <t>Pumping Equipment - Wells</t>
  </si>
  <si>
    <t>WWC 354 3</t>
  </si>
  <si>
    <t>System Pumping</t>
  </si>
  <si>
    <t>WWC 367 6</t>
  </si>
  <si>
    <t>WWC 370 3</t>
  </si>
  <si>
    <t>Receiving Wells</t>
  </si>
  <si>
    <t>S Meter</t>
  </si>
  <si>
    <t>DHS 356 5.1</t>
  </si>
  <si>
    <t>DHS 361 5</t>
  </si>
  <si>
    <t>DHS 263 8.1</t>
  </si>
  <si>
    <t>Submit JI Form and Cash Flow to DU President/CEO for approval</t>
  </si>
  <si>
    <t>Submit Job Completion Form to DU President/CEO for approval</t>
  </si>
  <si>
    <t>THIS FORM IS NOT VALID WITHOUT APPROVING SIGNATURE OF DU PRESIDENT/CEO</t>
  </si>
  <si>
    <t>DHS 213 8</t>
  </si>
  <si>
    <t>DHS 213 8.1</t>
  </si>
  <si>
    <t>DHS 213 8.2</t>
  </si>
  <si>
    <t>Boiler Plant Equipment - Other-10 yr</t>
  </si>
  <si>
    <t>Boiler Plant Equipment - Other-35 yr</t>
  </si>
  <si>
    <t>Boiler Plant Equipment - Other-20 year</t>
  </si>
  <si>
    <t>DHS 261 8.4</t>
  </si>
  <si>
    <t>DHS 261 8.5</t>
  </si>
  <si>
    <t>Governors 40YR</t>
  </si>
  <si>
    <t>Control Systems 20YR</t>
  </si>
  <si>
    <t>DHS 263 8.2</t>
  </si>
  <si>
    <t>DHS 263 8.3</t>
  </si>
  <si>
    <t>Accessory Electric Equipment - 15YR</t>
  </si>
  <si>
    <t>Accessory Electric Equipment -SCADA 20YR</t>
  </si>
  <si>
    <t>Accessory Electric Equipment - 20YR</t>
  </si>
  <si>
    <t>DHS 351 5.1</t>
  </si>
  <si>
    <t>Plant Equipment 20YR</t>
  </si>
  <si>
    <t>DHS 357 5.2</t>
  </si>
  <si>
    <t>Computer, Netwrk, Communication Equp 15YR</t>
  </si>
  <si>
    <t>Computer, Netwrk, Communication Equp 5YR</t>
  </si>
  <si>
    <t>Miscellaneous Equipment 5 yr</t>
  </si>
  <si>
    <t>DHS 358 5.1</t>
  </si>
  <si>
    <t>Miscellaneous Equipment 3 yr</t>
  </si>
  <si>
    <t>DHS 358 5.2</t>
  </si>
  <si>
    <t>DHS 358 5.3</t>
  </si>
  <si>
    <t>Miscellaneous Equipment 10 yr</t>
  </si>
  <si>
    <t>Miscellaneous Equipment 20 yr</t>
  </si>
  <si>
    <t>Power Operated Equipment 10 YR</t>
  </si>
  <si>
    <t>EDS 341 10</t>
  </si>
  <si>
    <t>Structures and Improvement</t>
  </si>
  <si>
    <t>EDS 345 14</t>
  </si>
  <si>
    <t>Accessory Electric Equip-SCADA</t>
  </si>
  <si>
    <t>EDS 361 4.1</t>
  </si>
  <si>
    <t>Structures and Improvements 75YR</t>
  </si>
  <si>
    <t>Structures and Improvements 50YR</t>
  </si>
  <si>
    <t>EDS 392 5.1</t>
  </si>
  <si>
    <t>Transportation Equipment 15YR</t>
  </si>
  <si>
    <t>Transportation Equipment 10YR</t>
  </si>
  <si>
    <t>Tools, Shop and Garage Equipment 10YR</t>
  </si>
  <si>
    <t>Tools, Shop and Garage Equipment 20YR</t>
  </si>
  <si>
    <t>EDS 394 5.1</t>
  </si>
  <si>
    <t>EDS 397 5.1</t>
  </si>
  <si>
    <t>Communication Equipment SCADA</t>
  </si>
  <si>
    <t>HDQ 301 1.1</t>
  </si>
  <si>
    <t>Organization 5YR</t>
  </si>
  <si>
    <t>HDQ 304 5.1</t>
  </si>
  <si>
    <t>Structures and Improvements 7YR</t>
  </si>
  <si>
    <t>HDQ 348 5.1</t>
  </si>
  <si>
    <t>Other Tangible Equipment 10YR</t>
  </si>
  <si>
    <t>Other Tangible Equipment 3YR</t>
  </si>
  <si>
    <t>NGD 381 5.1</t>
  </si>
  <si>
    <t>NGD 381 5.5</t>
  </si>
  <si>
    <t>AMR 20YR</t>
  </si>
  <si>
    <t>Meters 40YR</t>
  </si>
  <si>
    <t>WTD 303 2</t>
  </si>
  <si>
    <t>Source of Supply and Pumping</t>
  </si>
  <si>
    <t>WTD 304 5.2</t>
  </si>
  <si>
    <t>Structures and Improvements - 50 yr</t>
  </si>
  <si>
    <t>WTD 334 4.5</t>
  </si>
  <si>
    <t>Hydrant Meters</t>
  </si>
  <si>
    <t>WTD 345 5.2</t>
  </si>
  <si>
    <t>WTD 346 5.3</t>
  </si>
  <si>
    <t>Other Tangible Equipment 10 YR</t>
  </si>
  <si>
    <t>Other Tangible Equipment 5 YR</t>
  </si>
  <si>
    <t>WTD 348 5.1</t>
  </si>
  <si>
    <t>WTD 348 5.2</t>
  </si>
  <si>
    <t>WWC 371 3</t>
  </si>
  <si>
    <t>Pumping Equipment 15 YR</t>
  </si>
  <si>
    <t>WWC 371 3.1</t>
  </si>
  <si>
    <t>WWC 371 3.2</t>
  </si>
  <si>
    <t>WWC 371 3.3</t>
  </si>
  <si>
    <t>Pumping Equipment SCADA 15 YR</t>
  </si>
  <si>
    <t>Pumping Equipment Electrical 20 YR</t>
  </si>
  <si>
    <t>Pumping Equipment Mechanical 20 YR</t>
  </si>
  <si>
    <t>Treatment and Disposal Equipment 50 YR</t>
  </si>
  <si>
    <t>WWC 391 7.3</t>
  </si>
  <si>
    <t>WWC 398 7.1</t>
  </si>
  <si>
    <t>WWC 396 7.4</t>
  </si>
  <si>
    <t>Other Tangible Equipment 15 YR</t>
  </si>
  <si>
    <t>Transportation Equipment 10 YR</t>
  </si>
  <si>
    <t>Transportation Equipment 15 YR</t>
  </si>
  <si>
    <t>Transportation Equipment 7 YR</t>
  </si>
  <si>
    <t>Tools, Shop and Garage Equipment 10 YR</t>
  </si>
  <si>
    <t>Tools, Shop and Garage Equipment 7 YR</t>
  </si>
  <si>
    <t>Tools, Shop and Garage Equipment 5 YR</t>
  </si>
  <si>
    <t>Tools, Shop and Garage Equipment 3 YR</t>
  </si>
  <si>
    <t>Laboratory Equipment 10 YR</t>
  </si>
  <si>
    <t>Laboratory Equipment 15 YR</t>
  </si>
  <si>
    <t>Laboratory Equipment 5 YR</t>
  </si>
  <si>
    <t>Power Operated Equipment 5 YR</t>
  </si>
  <si>
    <t>Power Operated Equipment 20 YR</t>
  </si>
  <si>
    <t>Communication Equipment 5 YR</t>
  </si>
  <si>
    <t>Communication Equipment 7 YR</t>
  </si>
  <si>
    <t>Communication Equipment 10 YR</t>
  </si>
  <si>
    <t>Communication Equipment 15 YR</t>
  </si>
  <si>
    <t>Flow Measuring Devices 15 yr</t>
  </si>
  <si>
    <t>Flow Measuring Devices 10 yr</t>
  </si>
  <si>
    <t>Office Equipment 5 YR</t>
  </si>
  <si>
    <t>Office Furniture 10 YR</t>
  </si>
  <si>
    <t>Office Furniture and Equipment 2 YR</t>
  </si>
  <si>
    <t>Transportation Equipment 5 YR</t>
  </si>
  <si>
    <t>Transportation Equipment 20 YR</t>
  </si>
  <si>
    <t>Tools Shop and Garage Equipment 7 YR</t>
  </si>
  <si>
    <t>Tools Shop and Garage Equipment 5 YR</t>
  </si>
  <si>
    <t>Power Operated Equipment 7 YR</t>
  </si>
  <si>
    <t>DHS 352 5.1</t>
  </si>
  <si>
    <t>DHS 352 5.2</t>
  </si>
  <si>
    <t>DHS 352 5.3</t>
  </si>
  <si>
    <t>Fed
Tax
MACRS
Life</t>
  </si>
  <si>
    <t>Bonus
Depr</t>
  </si>
  <si>
    <t>NARUC
Codes</t>
  </si>
  <si>
    <t>Service to Building 3014</t>
  </si>
  <si>
    <t>Wily Splain</t>
  </si>
  <si>
    <t>Replacing existing laterals w/ new</t>
  </si>
  <si>
    <t>RFP Number:  FWA-10-024:  Upgrading size of pipe from existing utilidor vault H4-1-1 to the mechanical room to handle additional volume of water for the new sprinklers.
Also installing a meter.</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</si>
</sst>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409]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4"/>
      <name val="Arial"/>
      <family val="2"/>
    </font>
    <font>
      <sz val="10"/>
      <color theme="0" tint="-0.249977111117893"/>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14999847407452621"/>
        <bgColor indexed="64"/>
      </patternFill>
    </fill>
  </fills>
  <borders count="23">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right/>
      <top/>
      <bottom style="hair">
        <color indexed="54"/>
      </bottom>
      <diagonal/>
    </border>
    <border>
      <left style="medium">
        <color indexed="9"/>
      </left>
      <right/>
      <top/>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thin">
        <color auto="1"/>
      </bottom>
      <diagonal/>
    </border>
    <border>
      <left/>
      <right style="thin">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3">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7" fillId="0" borderId="0"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wrapText="1" shrinkToFit="1"/>
    </xf>
    <xf numFmtId="165" fontId="24" fillId="0" borderId="0" xfId="2" applyNumberFormat="1" applyFont="1"/>
    <xf numFmtId="165" fontId="1" fillId="0" borderId="0" xfId="2" applyNumberFormat="1"/>
    <xf numFmtId="165" fontId="0" fillId="0" borderId="0" xfId="0" applyNumberFormat="1"/>
    <xf numFmtId="165" fontId="1" fillId="0" borderId="2" xfId="2" applyNumberFormat="1" applyBorder="1"/>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0" fillId="0" borderId="0" xfId="0" applyBorder="1"/>
    <xf numFmtId="0" fontId="23" fillId="0" borderId="0" xfId="0" applyFont="1" applyBorder="1"/>
    <xf numFmtId="165" fontId="24" fillId="0" borderId="0" xfId="2" applyNumberFormat="1" applyFont="1" applyBorder="1"/>
    <xf numFmtId="165" fontId="1" fillId="0" borderId="0" xfId="2" applyNumberFormat="1" applyBorder="1"/>
    <xf numFmtId="0" fontId="7" fillId="0" borderId="14" xfId="0" applyFont="1" applyBorder="1" applyAlignment="1">
      <alignment horizontal="center"/>
    </xf>
    <xf numFmtId="165" fontId="24" fillId="0" borderId="3" xfId="2" applyNumberFormat="1" applyFont="1" applyBorder="1"/>
    <xf numFmtId="165" fontId="1" fillId="0" borderId="15" xfId="2" applyNumberFormat="1" applyBorder="1"/>
    <xf numFmtId="0" fontId="0" fillId="0" borderId="3" xfId="0" applyBorder="1"/>
    <xf numFmtId="165" fontId="1" fillId="0" borderId="3" xfId="2" applyNumberFormat="1" applyBorder="1"/>
    <xf numFmtId="0" fontId="7" fillId="0" borderId="16" xfId="0" applyFont="1" applyBorder="1" applyAlignment="1">
      <alignment horizontal="center" wrapText="1" shrinkToFit="1"/>
    </xf>
    <xf numFmtId="0" fontId="7" fillId="0" borderId="3" xfId="0" applyFont="1" applyBorder="1" applyAlignment="1">
      <alignment horizontal="right"/>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23" fillId="0" borderId="0" xfId="0" applyFont="1" applyAlignment="1">
      <alignment horizontal="center"/>
    </xf>
    <xf numFmtId="0" fontId="7" fillId="0" borderId="0" xfId="0" applyFont="1" applyAlignment="1">
      <alignment horizontal="center"/>
    </xf>
    <xf numFmtId="0" fontId="23" fillId="0" borderId="3" xfId="0" applyFont="1" applyBorder="1" applyAlignment="1">
      <alignment horizontal="center"/>
    </xf>
    <xf numFmtId="0" fontId="0" fillId="0" borderId="0" xfId="0" applyFill="1" applyAlignment="1">
      <alignment horizontal="center"/>
    </xf>
    <xf numFmtId="0" fontId="0" fillId="0" borderId="0" xfId="0" applyFill="1"/>
    <xf numFmtId="0" fontId="26" fillId="0" borderId="0" xfId="3" applyFont="1" applyAlignment="1" applyProtection="1"/>
    <xf numFmtId="0" fontId="25" fillId="0" borderId="0" xfId="0" applyFont="1" applyFill="1"/>
    <xf numFmtId="49" fontId="7" fillId="3" borderId="1" xfId="0" applyNumberFormat="1" applyFont="1" applyFill="1" applyBorder="1" applyAlignment="1">
      <alignment horizontal="center"/>
    </xf>
    <xf numFmtId="0" fontId="10" fillId="4" borderId="19" xfId="0" applyFont="1" applyFill="1" applyBorder="1" applyAlignment="1">
      <alignment horizontal="center" wrapText="1"/>
    </xf>
    <xf numFmtId="0" fontId="11" fillId="0" borderId="20" xfId="0" applyFont="1" applyFill="1" applyBorder="1" applyAlignment="1">
      <alignment horizontal="left" vertical="center"/>
    </xf>
    <xf numFmtId="0" fontId="11" fillId="0" borderId="20" xfId="0" applyFont="1" applyFill="1" applyBorder="1" applyAlignment="1">
      <alignment horizontal="center" vertical="center"/>
    </xf>
    <xf numFmtId="0" fontId="0" fillId="0" borderId="20" xfId="0" applyFill="1" applyBorder="1" applyAlignment="1">
      <alignment horizontal="center" vertical="center"/>
    </xf>
    <xf numFmtId="0" fontId="11" fillId="0" borderId="21" xfId="0" applyFont="1" applyFill="1" applyBorder="1" applyAlignment="1">
      <alignment horizontal="left" vertical="center"/>
    </xf>
    <xf numFmtId="0" fontId="11" fillId="0" borderId="21" xfId="0" applyFont="1" applyFill="1" applyBorder="1" applyAlignment="1">
      <alignment horizontal="center" vertical="center"/>
    </xf>
    <xf numFmtId="0" fontId="0" fillId="0" borderId="21" xfId="0" applyFill="1" applyBorder="1" applyAlignment="1">
      <alignment horizontal="center" vertical="center"/>
    </xf>
    <xf numFmtId="0" fontId="11" fillId="0" borderId="21" xfId="0" applyFont="1" applyFill="1" applyBorder="1" applyAlignment="1">
      <alignment vertical="center"/>
    </xf>
    <xf numFmtId="0" fontId="25" fillId="0" borderId="21" xfId="0" applyFont="1" applyFill="1" applyBorder="1" applyAlignment="1">
      <alignment horizontal="center" vertical="center"/>
    </xf>
    <xf numFmtId="0" fontId="27" fillId="0" borderId="0" xfId="0" applyFont="1" applyAlignment="1">
      <alignment horizontal="left" vertical="center"/>
    </xf>
    <xf numFmtId="0" fontId="0" fillId="0" borderId="0" xfId="0" applyAlignment="1">
      <alignment vertical="center"/>
    </xf>
    <xf numFmtId="49" fontId="27" fillId="0" borderId="0" xfId="0" applyNumberFormat="1" applyFont="1" applyAlignment="1">
      <alignment horizontal="left" vertical="center"/>
    </xf>
    <xf numFmtId="0" fontId="16" fillId="0" borderId="0" xfId="0" applyFont="1" applyAlignment="1">
      <alignment horizontal="left" vertical="center"/>
    </xf>
    <xf numFmtId="0" fontId="25" fillId="0" borderId="0" xfId="0" applyFont="1" applyAlignment="1">
      <alignment vertical="center"/>
    </xf>
    <xf numFmtId="0" fontId="16" fillId="0" borderId="0" xfId="0" applyFont="1" applyAlignment="1">
      <alignment vertical="center"/>
    </xf>
    <xf numFmtId="0" fontId="7" fillId="0" borderId="0" xfId="0" applyFont="1" applyAlignment="1">
      <alignment vertical="center"/>
    </xf>
    <xf numFmtId="0" fontId="7" fillId="0" borderId="22" xfId="0" applyFont="1" applyBorder="1" applyAlignment="1">
      <alignment horizontal="center"/>
    </xf>
    <xf numFmtId="0" fontId="28" fillId="2" borderId="0" xfId="0" applyFont="1" applyFill="1"/>
    <xf numFmtId="0" fontId="1" fillId="3" borderId="0" xfId="0" applyFont="1" applyFill="1"/>
    <xf numFmtId="0" fontId="1" fillId="3" borderId="0" xfId="0" applyFont="1" applyFill="1" applyAlignment="1">
      <alignment horizontal="right"/>
    </xf>
    <xf numFmtId="0" fontId="0" fillId="3" borderId="0" xfId="0" applyFill="1" applyAlignment="1">
      <alignment horizontal="right"/>
    </xf>
    <xf numFmtId="0" fontId="21" fillId="3" borderId="0" xfId="0" applyFont="1" applyFill="1" applyAlignment="1">
      <alignment horizontal="center"/>
    </xf>
    <xf numFmtId="0" fontId="6" fillId="3" borderId="18"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4" fontId="0" fillId="3" borderId="0" xfId="0" applyNumberFormat="1" applyFill="1" applyAlignment="1">
      <alignment horizontal="left"/>
    </xf>
    <xf numFmtId="0" fontId="17" fillId="3" borderId="17" xfId="0" applyFont="1" applyFill="1" applyBorder="1" applyAlignment="1">
      <alignment vertical="top" wrapText="1"/>
    </xf>
    <xf numFmtId="49" fontId="17" fillId="3" borderId="17" xfId="0" applyNumberFormat="1" applyFont="1" applyFill="1" applyBorder="1" applyAlignment="1">
      <alignment vertical="top" wrapText="1"/>
    </xf>
    <xf numFmtId="0" fontId="25" fillId="0" borderId="0" xfId="0" applyFont="1" applyAlignment="1">
      <alignment horizontal="left" vertical="center"/>
    </xf>
    <xf numFmtId="0" fontId="7" fillId="0" borderId="0" xfId="0" applyFont="1" applyAlignment="1">
      <alignment horizontal="left" vertical="center"/>
    </xf>
    <xf numFmtId="0" fontId="22" fillId="0" borderId="0" xfId="0" applyFont="1" applyAlignment="1">
      <alignment horizontal="left"/>
    </xf>
    <xf numFmtId="167" fontId="25" fillId="0" borderId="0" xfId="0" applyNumberFormat="1" applyFont="1" applyAlignment="1">
      <alignment horizontal="left" vertical="center"/>
    </xf>
    <xf numFmtId="0" fontId="7" fillId="3" borderId="18"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074"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076"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50"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4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193"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enableFormatConditionsCalculation="0">
    <tabColor indexed="51"/>
  </sheetPr>
  <dimension ref="A1:C509"/>
  <sheetViews>
    <sheetView topLeftCell="A49" zoomScaleNormal="100" workbookViewId="0">
      <selection activeCell="B65" sqref="B65"/>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425</v>
      </c>
    </row>
    <row r="3" spans="1:2" ht="15.75">
      <c r="A3" s="19" t="s">
        <v>6</v>
      </c>
      <c r="B3" s="11"/>
    </row>
    <row r="4" spans="1:2" ht="63.75">
      <c r="B4" s="12" t="s">
        <v>363</v>
      </c>
    </row>
    <row r="5" spans="1:2" ht="25.5">
      <c r="B5" s="12" t="s">
        <v>7</v>
      </c>
    </row>
    <row r="6" spans="1:2">
      <c r="B6" s="12" t="s">
        <v>8</v>
      </c>
    </row>
    <row r="8" spans="1:2" ht="15.75">
      <c r="A8" s="19" t="s">
        <v>9</v>
      </c>
      <c r="B8" s="11"/>
    </row>
    <row r="9" spans="1:2">
      <c r="B9" s="12" t="s">
        <v>11</v>
      </c>
    </row>
    <row r="10" spans="1:2">
      <c r="B10" s="12" t="s">
        <v>10</v>
      </c>
    </row>
    <row r="11" spans="1:2">
      <c r="B11" s="12" t="s">
        <v>609</v>
      </c>
    </row>
    <row r="12" spans="1:2" ht="76.5">
      <c r="B12" s="12" t="s">
        <v>426</v>
      </c>
    </row>
    <row r="13" spans="1:2">
      <c r="B13" s="12" t="s">
        <v>12</v>
      </c>
    </row>
    <row r="14" spans="1:2">
      <c r="B14" s="12" t="s">
        <v>427</v>
      </c>
    </row>
    <row r="15" spans="1:2" ht="25.5">
      <c r="B15" s="12" t="s">
        <v>428</v>
      </c>
    </row>
    <row r="16" spans="1:2" ht="25.5">
      <c r="B16" s="12" t="s">
        <v>331</v>
      </c>
    </row>
    <row r="17" spans="1:2">
      <c r="B17" s="12"/>
    </row>
    <row r="18" spans="1:2">
      <c r="B18" s="12" t="s">
        <v>333</v>
      </c>
    </row>
    <row r="19" spans="1:2">
      <c r="B19" s="12" t="s">
        <v>332</v>
      </c>
    </row>
    <row r="20" spans="1:2">
      <c r="B20" s="12" t="s">
        <v>429</v>
      </c>
    </row>
    <row r="21" spans="1:2">
      <c r="B21" s="12"/>
    </row>
    <row r="22" spans="1:2" ht="15.75">
      <c r="A22" s="19" t="s">
        <v>13</v>
      </c>
      <c r="B22" s="11"/>
    </row>
    <row r="23" spans="1:2" ht="15">
      <c r="B23" s="20" t="s">
        <v>334</v>
      </c>
    </row>
    <row r="25" spans="1:2">
      <c r="B25" s="11" t="s">
        <v>361</v>
      </c>
    </row>
    <row r="26" spans="1:2">
      <c r="B26" s="11"/>
    </row>
    <row r="27" spans="1:2" ht="38.25">
      <c r="B27" s="14" t="s">
        <v>362</v>
      </c>
    </row>
    <row r="29" spans="1:2" ht="15">
      <c r="B29" s="20" t="s">
        <v>399</v>
      </c>
    </row>
    <row r="31" spans="1:2" ht="38.25">
      <c r="B31" s="14" t="s">
        <v>400</v>
      </c>
    </row>
    <row r="33" spans="2:3" ht="51">
      <c r="B33" s="13" t="s">
        <v>430</v>
      </c>
    </row>
    <row r="36" spans="2:3" ht="15">
      <c r="B36" s="21" t="s">
        <v>335</v>
      </c>
    </row>
    <row r="38" spans="2:3">
      <c r="B38" s="14" t="s">
        <v>385</v>
      </c>
      <c r="C38" s="58" t="s">
        <v>407</v>
      </c>
    </row>
    <row r="39" spans="2:3">
      <c r="C39" s="57"/>
    </row>
    <row r="40" spans="2:3" ht="25.5">
      <c r="B40" s="14" t="s">
        <v>336</v>
      </c>
      <c r="C40" s="58" t="s">
        <v>407</v>
      </c>
    </row>
    <row r="41" spans="2:3">
      <c r="B41" s="13"/>
      <c r="C41" s="57"/>
    </row>
    <row r="42" spans="2:3" ht="25.5">
      <c r="B42" s="14" t="s">
        <v>351</v>
      </c>
      <c r="C42" s="58" t="s">
        <v>407</v>
      </c>
    </row>
    <row r="43" spans="2:3">
      <c r="C43" s="57"/>
    </row>
    <row r="44" spans="2:3" ht="25.5">
      <c r="B44" s="14" t="s">
        <v>337</v>
      </c>
      <c r="C44" s="58" t="s">
        <v>407</v>
      </c>
    </row>
    <row r="45" spans="2:3">
      <c r="C45" s="57"/>
    </row>
    <row r="46" spans="2:3" ht="38.25">
      <c r="B46" s="14" t="s">
        <v>338</v>
      </c>
      <c r="C46" s="58" t="s">
        <v>407</v>
      </c>
    </row>
    <row r="47" spans="2:3">
      <c r="C47" s="57"/>
    </row>
    <row r="48" spans="2:3" ht="51">
      <c r="B48" s="14" t="s">
        <v>408</v>
      </c>
      <c r="C48" s="58" t="s">
        <v>407</v>
      </c>
    </row>
    <row r="49" spans="2:3">
      <c r="C49" s="57"/>
    </row>
    <row r="50" spans="2:3" ht="25.5">
      <c r="B50" s="14" t="s">
        <v>409</v>
      </c>
      <c r="C50" s="58" t="s">
        <v>407</v>
      </c>
    </row>
    <row r="51" spans="2:3">
      <c r="B51" s="10" t="s">
        <v>345</v>
      </c>
      <c r="C51" s="57"/>
    </row>
    <row r="52" spans="2:3">
      <c r="B52" s="10" t="s">
        <v>346</v>
      </c>
      <c r="C52" s="57"/>
    </row>
    <row r="53" spans="2:3">
      <c r="B53" s="10" t="s">
        <v>347</v>
      </c>
      <c r="C53" s="57"/>
    </row>
    <row r="54" spans="2:3">
      <c r="B54" s="10" t="s">
        <v>348</v>
      </c>
      <c r="C54" s="57"/>
    </row>
    <row r="55" spans="2:3">
      <c r="B55" s="10" t="s">
        <v>349</v>
      </c>
      <c r="C55" s="57"/>
    </row>
    <row r="56" spans="2:3">
      <c r="B56" s="10" t="s">
        <v>350</v>
      </c>
      <c r="C56" s="57"/>
    </row>
    <row r="57" spans="2:3">
      <c r="B57" s="16" t="s">
        <v>410</v>
      </c>
      <c r="C57" s="57"/>
    </row>
    <row r="58" spans="2:3">
      <c r="C58" s="57"/>
    </row>
    <row r="59" spans="2:3">
      <c r="B59" s="14" t="s">
        <v>413</v>
      </c>
      <c r="C59" s="58" t="s">
        <v>407</v>
      </c>
    </row>
    <row r="60" spans="2:3">
      <c r="C60" s="57"/>
    </row>
    <row r="61" spans="2:3" ht="25.5">
      <c r="B61" s="14" t="s">
        <v>353</v>
      </c>
      <c r="C61" s="58" t="s">
        <v>407</v>
      </c>
    </row>
    <row r="62" spans="2:3">
      <c r="C62" s="57"/>
    </row>
    <row r="63" spans="2:3" ht="25.5">
      <c r="B63" s="14" t="s">
        <v>431</v>
      </c>
      <c r="C63" s="58" t="s">
        <v>407</v>
      </c>
    </row>
    <row r="64" spans="2:3">
      <c r="C64" s="57"/>
    </row>
    <row r="65" spans="2:3">
      <c r="B65" s="14" t="s">
        <v>355</v>
      </c>
      <c r="C65" s="58" t="s">
        <v>407</v>
      </c>
    </row>
    <row r="66" spans="2:3">
      <c r="B66" s="17" t="s">
        <v>356</v>
      </c>
      <c r="C66" s="57"/>
    </row>
    <row r="67" spans="2:3">
      <c r="B67" s="16" t="s">
        <v>411</v>
      </c>
      <c r="C67" s="57"/>
    </row>
    <row r="68" spans="2:3">
      <c r="C68" s="57"/>
    </row>
    <row r="69" spans="2:3" ht="25.5">
      <c r="B69" s="14" t="s">
        <v>354</v>
      </c>
      <c r="C69" s="58" t="s">
        <v>407</v>
      </c>
    </row>
    <row r="70" spans="2:3">
      <c r="B70" s="16" t="s">
        <v>412</v>
      </c>
      <c r="C70" s="57"/>
    </row>
    <row r="71" spans="2:3">
      <c r="C71" s="57"/>
    </row>
    <row r="72" spans="2:3" ht="38.25">
      <c r="B72" s="14" t="s">
        <v>414</v>
      </c>
      <c r="C72" s="58" t="s">
        <v>407</v>
      </c>
    </row>
    <row r="73" spans="2:3">
      <c r="C73" s="57"/>
    </row>
    <row r="74" spans="2:3" ht="51">
      <c r="B74" s="14" t="s">
        <v>415</v>
      </c>
      <c r="C74" s="58" t="s">
        <v>407</v>
      </c>
    </row>
    <row r="75" spans="2:3">
      <c r="B75" s="15" t="s">
        <v>358</v>
      </c>
      <c r="C75" s="57"/>
    </row>
    <row r="76" spans="2:3">
      <c r="C76" s="57"/>
    </row>
    <row r="77" spans="2:3" ht="63.75">
      <c r="B77" s="14" t="s">
        <v>416</v>
      </c>
      <c r="C77" s="58" t="s">
        <v>407</v>
      </c>
    </row>
    <row r="78" spans="2:3">
      <c r="C78" s="57"/>
    </row>
    <row r="79" spans="2:3" ht="25.5">
      <c r="B79" s="14" t="s">
        <v>359</v>
      </c>
      <c r="C79" s="58" t="s">
        <v>407</v>
      </c>
    </row>
    <row r="80" spans="2:3">
      <c r="C80" s="57"/>
    </row>
    <row r="81" spans="1:3">
      <c r="B81" s="14" t="s">
        <v>360</v>
      </c>
      <c r="C81" s="58" t="s">
        <v>407</v>
      </c>
    </row>
    <row r="86" spans="1:3">
      <c r="A86" s="18"/>
      <c r="B86" s="18"/>
      <c r="C86" s="18"/>
    </row>
    <row r="87" spans="1:3">
      <c r="A87" s="18"/>
      <c r="B87" s="18"/>
      <c r="C87" s="18"/>
    </row>
    <row r="88" spans="1:3" ht="8.25" customHeight="1"/>
    <row r="89" spans="1:3" ht="66" customHeight="1">
      <c r="B89" s="47" t="s">
        <v>513</v>
      </c>
    </row>
    <row r="90" spans="1:3" ht="15.75">
      <c r="A90" s="19" t="s">
        <v>6</v>
      </c>
      <c r="B90" s="11"/>
    </row>
    <row r="91" spans="1:3" ht="76.5">
      <c r="B91" s="12" t="s">
        <v>514</v>
      </c>
    </row>
    <row r="92" spans="1:3" ht="38.25">
      <c r="B92" s="12" t="s">
        <v>515</v>
      </c>
    </row>
    <row r="93" spans="1:3">
      <c r="B93" s="12"/>
    </row>
    <row r="95" spans="1:3" ht="15.75">
      <c r="A95" s="19" t="s">
        <v>9</v>
      </c>
      <c r="B95" s="11"/>
    </row>
    <row r="96" spans="1:3">
      <c r="B96" s="12" t="s">
        <v>516</v>
      </c>
    </row>
    <row r="97" spans="1:2">
      <c r="B97" s="12"/>
    </row>
    <row r="98" spans="1:2">
      <c r="B98" s="12" t="s">
        <v>610</v>
      </c>
    </row>
    <row r="99" spans="1:2" ht="76.5">
      <c r="B99" s="12" t="s">
        <v>426</v>
      </c>
    </row>
    <row r="100" spans="1:2">
      <c r="B100" s="12" t="s">
        <v>12</v>
      </c>
    </row>
    <row r="101" spans="1:2" ht="38.25">
      <c r="B101" s="12" t="s">
        <v>518</v>
      </c>
    </row>
    <row r="102" spans="1:2" ht="25.5">
      <c r="B102" s="12" t="s">
        <v>331</v>
      </c>
    </row>
    <row r="103" spans="1:2" ht="25.5">
      <c r="B103" s="12" t="s">
        <v>517</v>
      </c>
    </row>
    <row r="104" spans="1:2">
      <c r="B104" s="12" t="s">
        <v>519</v>
      </c>
    </row>
    <row r="105" spans="1:2">
      <c r="B105" s="12"/>
    </row>
    <row r="106" spans="1:2">
      <c r="B106" s="12" t="s">
        <v>520</v>
      </c>
    </row>
    <row r="107" spans="1:2">
      <c r="B107" s="12"/>
    </row>
    <row r="108" spans="1:2">
      <c r="B108" s="12"/>
    </row>
    <row r="109" spans="1:2" ht="15.75">
      <c r="A109" s="19" t="s">
        <v>493</v>
      </c>
      <c r="B109" s="11"/>
    </row>
    <row r="110" spans="1:2" ht="15">
      <c r="B110" s="20" t="s">
        <v>334</v>
      </c>
    </row>
    <row r="112" spans="1:2">
      <c r="B112" s="11" t="s">
        <v>494</v>
      </c>
    </row>
    <row r="113" spans="2:3">
      <c r="B113" s="11"/>
    </row>
    <row r="114" spans="2:3" ht="38.25">
      <c r="B114" s="14" t="s">
        <v>362</v>
      </c>
    </row>
    <row r="116" spans="2:3" ht="15">
      <c r="B116" s="20" t="s">
        <v>399</v>
      </c>
    </row>
    <row r="118" spans="2:3" ht="38.25">
      <c r="B118" s="14" t="s">
        <v>495</v>
      </c>
    </row>
    <row r="120" spans="2:3" ht="51">
      <c r="B120" s="13" t="s">
        <v>430</v>
      </c>
    </row>
    <row r="123" spans="2:3" ht="15">
      <c r="B123" s="21" t="s">
        <v>496</v>
      </c>
    </row>
    <row r="125" spans="2:3">
      <c r="B125" s="14" t="s">
        <v>497</v>
      </c>
      <c r="C125" s="58" t="s">
        <v>407</v>
      </c>
    </row>
    <row r="126" spans="2:3">
      <c r="C126" s="57"/>
    </row>
    <row r="127" spans="2:3" ht="25.5">
      <c r="B127" s="14" t="s">
        <v>498</v>
      </c>
      <c r="C127" s="58" t="s">
        <v>407</v>
      </c>
    </row>
    <row r="128" spans="2:3">
      <c r="B128" s="13"/>
      <c r="C128" s="57"/>
    </row>
    <row r="129" spans="2:3" ht="25.5">
      <c r="B129" s="14" t="s">
        <v>499</v>
      </c>
      <c r="C129" s="58" t="s">
        <v>407</v>
      </c>
    </row>
    <row r="130" spans="2:3">
      <c r="C130" s="57"/>
    </row>
    <row r="131" spans="2:3" ht="25.5">
      <c r="B131" s="14" t="s">
        <v>500</v>
      </c>
      <c r="C131" s="58" t="s">
        <v>407</v>
      </c>
    </row>
    <row r="132" spans="2:3">
      <c r="C132" s="57"/>
    </row>
    <row r="133" spans="2:3" ht="38.25">
      <c r="B133" s="14" t="s">
        <v>501</v>
      </c>
      <c r="C133" s="58" t="s">
        <v>407</v>
      </c>
    </row>
    <row r="134" spans="2:3">
      <c r="C134" s="57"/>
    </row>
    <row r="135" spans="2:3" ht="51">
      <c r="B135" s="14" t="s">
        <v>522</v>
      </c>
      <c r="C135" s="58" t="s">
        <v>407</v>
      </c>
    </row>
    <row r="136" spans="2:3">
      <c r="C136" s="57"/>
    </row>
    <row r="137" spans="2:3" ht="25.5">
      <c r="B137" s="14" t="s">
        <v>409</v>
      </c>
      <c r="C137" s="58" t="s">
        <v>407</v>
      </c>
    </row>
    <row r="138" spans="2:3">
      <c r="B138" s="10" t="s">
        <v>345</v>
      </c>
      <c r="C138" s="57"/>
    </row>
    <row r="139" spans="2:3">
      <c r="B139" s="10" t="s">
        <v>346</v>
      </c>
      <c r="C139" s="57"/>
    </row>
    <row r="140" spans="2:3">
      <c r="B140" s="10" t="s">
        <v>347</v>
      </c>
      <c r="C140" s="57"/>
    </row>
    <row r="141" spans="2:3">
      <c r="B141" s="10" t="s">
        <v>348</v>
      </c>
      <c r="C141" s="57"/>
    </row>
    <row r="142" spans="2:3">
      <c r="B142" s="10" t="s">
        <v>349</v>
      </c>
      <c r="C142" s="57"/>
    </row>
    <row r="143" spans="2:3">
      <c r="B143" s="10" t="s">
        <v>350</v>
      </c>
      <c r="C143" s="57"/>
    </row>
    <row r="144" spans="2:3">
      <c r="B144" s="16" t="s">
        <v>410</v>
      </c>
      <c r="C144" s="57"/>
    </row>
    <row r="145" spans="2:3">
      <c r="C145" s="57"/>
    </row>
    <row r="146" spans="2:3">
      <c r="B146" s="14" t="s">
        <v>502</v>
      </c>
      <c r="C146" s="58" t="s">
        <v>407</v>
      </c>
    </row>
    <row r="147" spans="2:3">
      <c r="C147" s="57"/>
    </row>
    <row r="148" spans="2:3" ht="25.5">
      <c r="B148" s="14" t="s">
        <v>523</v>
      </c>
      <c r="C148" s="58" t="s">
        <v>407</v>
      </c>
    </row>
    <row r="149" spans="2:3">
      <c r="C149" s="57"/>
    </row>
    <row r="150" spans="2:3" ht="25.5">
      <c r="B150" s="14" t="s">
        <v>503</v>
      </c>
      <c r="C150" s="58" t="s">
        <v>407</v>
      </c>
    </row>
    <row r="151" spans="2:3">
      <c r="C151" s="57"/>
    </row>
    <row r="152" spans="2:3" ht="25.5">
      <c r="B152" s="14" t="s">
        <v>511</v>
      </c>
      <c r="C152" s="58" t="s">
        <v>407</v>
      </c>
    </row>
    <row r="153" spans="2:3">
      <c r="B153" s="16" t="s">
        <v>506</v>
      </c>
      <c r="C153" s="57"/>
    </row>
    <row r="154" spans="2:3">
      <c r="C154" s="57"/>
    </row>
    <row r="155" spans="2:3">
      <c r="B155" s="14" t="s">
        <v>512</v>
      </c>
      <c r="C155" s="58" t="s">
        <v>407</v>
      </c>
    </row>
    <row r="156" spans="2:3">
      <c r="B156" s="16" t="s">
        <v>506</v>
      </c>
      <c r="C156" s="57"/>
    </row>
    <row r="157" spans="2:3">
      <c r="C157" s="57"/>
    </row>
    <row r="158" spans="2:3" ht="25.5">
      <c r="B158" s="14" t="s">
        <v>521</v>
      </c>
      <c r="C158" s="58" t="s">
        <v>407</v>
      </c>
    </row>
    <row r="159" spans="2:3">
      <c r="B159" s="16" t="s">
        <v>506</v>
      </c>
      <c r="C159" s="57"/>
    </row>
    <row r="160" spans="2:3">
      <c r="C160" s="57"/>
    </row>
    <row r="161" spans="2:3">
      <c r="B161" s="14" t="s">
        <v>510</v>
      </c>
      <c r="C161" s="58" t="s">
        <v>407</v>
      </c>
    </row>
    <row r="162" spans="2:3">
      <c r="B162" s="17" t="s">
        <v>356</v>
      </c>
      <c r="C162" s="57"/>
    </row>
    <row r="163" spans="2:3">
      <c r="B163" s="16" t="s">
        <v>504</v>
      </c>
      <c r="C163" s="57"/>
    </row>
    <row r="164" spans="2:3">
      <c r="C164" s="57"/>
    </row>
    <row r="165" spans="2:3" ht="25.5">
      <c r="B165" s="14" t="s">
        <v>505</v>
      </c>
      <c r="C165" s="58" t="s">
        <v>407</v>
      </c>
    </row>
    <row r="166" spans="2:3">
      <c r="B166" s="16" t="s">
        <v>506</v>
      </c>
      <c r="C166" s="57"/>
    </row>
    <row r="167" spans="2:3">
      <c r="C167" s="57"/>
    </row>
    <row r="168" spans="2:3" ht="38.25">
      <c r="B168" s="14" t="s">
        <v>507</v>
      </c>
      <c r="C168" s="58" t="s">
        <v>407</v>
      </c>
    </row>
    <row r="169" spans="2:3">
      <c r="C169" s="57"/>
    </row>
    <row r="170" spans="2:3">
      <c r="C170" s="57"/>
    </row>
    <row r="171" spans="2:3" ht="63.75">
      <c r="B171" s="14" t="s">
        <v>508</v>
      </c>
      <c r="C171" s="58" t="s">
        <v>407</v>
      </c>
    </row>
    <row r="172" spans="2:3">
      <c r="C172" s="57"/>
    </row>
    <row r="173" spans="2:3" ht="25.5">
      <c r="B173" s="14" t="s">
        <v>509</v>
      </c>
      <c r="C173" s="58" t="s">
        <v>407</v>
      </c>
    </row>
    <row r="174" spans="2:3">
      <c r="C174" s="57"/>
    </row>
    <row r="175" spans="2:3">
      <c r="B175" s="14" t="s">
        <v>360</v>
      </c>
      <c r="C175" s="58" t="s">
        <v>407</v>
      </c>
    </row>
    <row r="180" spans="1:3">
      <c r="A180" s="18"/>
      <c r="B180" s="18"/>
      <c r="C180" s="18"/>
    </row>
    <row r="181" spans="1:3" ht="15.75">
      <c r="A181" s="19" t="s">
        <v>9</v>
      </c>
      <c r="B181" s="18"/>
      <c r="C181" s="18"/>
    </row>
    <row r="182" spans="1:3">
      <c r="A182" s="18"/>
      <c r="B182" s="18" t="s">
        <v>438</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codeName="Sheet2" enableFormatConditionsCalculation="0">
    <tabColor indexed="50"/>
  </sheetPr>
  <dimension ref="A1:BQ602"/>
  <sheetViews>
    <sheetView tabSelected="1" workbookViewId="0">
      <selection activeCell="F10" sqref="F10"/>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03" t="str">
        <f>IF(ISBLANK('form picklists'!G2)=TRUE,"",'form picklists'!G2&amp;",    "&amp;'form picklists'!H2&amp;",    "&amp;'form picklists'!I2)</f>
        <v/>
      </c>
      <c r="H1" s="103"/>
      <c r="I1" s="103"/>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03" t="str">
        <f>IF(ISBLANK('form picklists'!G3)=TRUE,"",'form picklists'!G3&amp;",    "&amp;'form picklists'!H3&amp;",    "&amp;'form picklists'!I3)</f>
        <v>DHS 211 8,    CHPP Plant,    Boiler Plant Equip - 75 years</v>
      </c>
      <c r="H2" s="103"/>
      <c r="I2" s="103"/>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03" t="str">
        <f>IF(ISBLANK('form picklists'!G4)=TRUE,"",'form picklists'!G4&amp;",    "&amp;'form picklists'!H4&amp;",    "&amp;'form picklists'!I4)</f>
        <v>DHS 212 8,    CHPP Plant,    Boiler Plant Equip - 50 years</v>
      </c>
      <c r="H3" s="103"/>
      <c r="I3" s="103"/>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03" t="str">
        <f>IF(ISBLANK('form picklists'!G5)=TRUE,"",'form picklists'!G5&amp;",    "&amp;'form picklists'!H5&amp;",    "&amp;'form picklists'!I5)</f>
        <v>DHS 213 8,    CHPP Plant,    Boiler Plant Equipment - Other-35 yr</v>
      </c>
      <c r="H4" s="103"/>
      <c r="I4" s="103"/>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t="s">
        <v>0</v>
      </c>
      <c r="C5" s="111"/>
      <c r="D5" s="111"/>
      <c r="F5" s="18"/>
      <c r="G5" s="103" t="str">
        <f>IF(ISBLANK('form picklists'!G6)=TRUE,"",'form picklists'!G6&amp;",    "&amp;'form picklists'!H6&amp;",    "&amp;'form picklists'!I6)</f>
        <v>DHS 213 8.1,    CHPP Plant,    Boiler Plant Equipment - Other-10 yr</v>
      </c>
      <c r="H5" s="103"/>
      <c r="I5" s="103"/>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1</v>
      </c>
      <c r="C6" s="112"/>
      <c r="D6" s="112"/>
      <c r="F6" s="18"/>
      <c r="G6" s="103" t="str">
        <f>IF(ISBLANK('form picklists'!G7)=TRUE,"",'form picklists'!G7&amp;",    "&amp;'form picklists'!H7&amp;",    "&amp;'form picklists'!I7)</f>
        <v>DHS 213 8.2,    CHPP Plant,    Boiler Plant Equipment - Other-20 year</v>
      </c>
      <c r="H6" s="103"/>
      <c r="I6" s="103"/>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2</v>
      </c>
      <c r="C7" s="113"/>
      <c r="D7" s="113"/>
      <c r="F7" s="18"/>
      <c r="G7" s="103" t="str">
        <f>IF(ISBLANK('form picklists'!G8)=TRUE,"",'form picklists'!G8&amp;",    "&amp;'form picklists'!H8&amp;",    "&amp;'form picklists'!I8)</f>
        <v>DHS 214 8,    CHPP Plant,    Boiler - Deaeriator</v>
      </c>
      <c r="H7" s="103"/>
      <c r="I7" s="103"/>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70" t="s">
        <v>437</v>
      </c>
      <c r="B8" s="114">
        <v>40318</v>
      </c>
      <c r="C8" s="114"/>
      <c r="D8" s="114"/>
      <c r="E8" s="23"/>
      <c r="F8" s="18"/>
      <c r="G8" s="103" t="str">
        <f>IF(ISBLANK('form picklists'!G9)=TRUE,"",'form picklists'!G9&amp;",    "&amp;'form picklists'!H9&amp;",    "&amp;'form picklists'!I9)</f>
        <v>DHS 215 8,    CHPP Plant,    Boiler - Feedwater Heaters</v>
      </c>
      <c r="H8" s="103"/>
      <c r="I8" s="103"/>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03" t="str">
        <f>IF(ISBLANK('form picklists'!G10)=TRUE,"",'form picklists'!G10&amp;",    "&amp;'form picklists'!H10&amp;",    "&amp;'form picklists'!I10)</f>
        <v>DHS 216 8,    CHPP Plant,    Boiler - Feedwater Pump</v>
      </c>
      <c r="H9" s="103"/>
      <c r="I9" s="103"/>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394</v>
      </c>
      <c r="B10" s="116" t="s">
        <v>723</v>
      </c>
      <c r="C10" s="116"/>
      <c r="D10" s="116"/>
      <c r="E10" s="116"/>
      <c r="F10" s="18"/>
      <c r="G10" s="103" t="str">
        <f>IF(ISBLANK('form picklists'!G11)=TRUE,"",'form picklists'!G11&amp;",    "&amp;'form picklists'!H11&amp;",    "&amp;'form picklists'!I11)</f>
        <v>DHS 221 4,    Distribution,    Steam Meter Installations</v>
      </c>
      <c r="H10" s="103"/>
      <c r="I10" s="103"/>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03" t="str">
        <f>IF(ISBLANK('form picklists'!G12)=TRUE,"",'form picklists'!G12&amp;",    "&amp;'form picklists'!H12&amp;",    "&amp;'form picklists'!I12)</f>
        <v>DHS 222 4,    Distribution,    Steam Meters</v>
      </c>
      <c r="H11" s="103"/>
      <c r="I11" s="103"/>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5" t="s">
        <v>726</v>
      </c>
      <c r="C12" s="115"/>
      <c r="D12" s="115"/>
      <c r="E12" s="115"/>
      <c r="F12" s="46"/>
      <c r="G12" s="103" t="str">
        <f>IF(ISBLANK('form picklists'!G13)=TRUE,"",'form picklists'!G13&amp;",    "&amp;'form picklists'!H13&amp;",    "&amp;'form picklists'!I13)</f>
        <v>DHS 222 4.1,    Distribution,    Steam Meter AMRs</v>
      </c>
      <c r="H12" s="103"/>
      <c r="I12" s="103"/>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03" t="str">
        <f>IF(ISBLANK('form picklists'!G14)=TRUE,"",'form picklists'!G14&amp;",    "&amp;'form picklists'!H14&amp;",    "&amp;'form picklists'!I14)</f>
        <v xml:space="preserve">DHS 231 4,    Distribution,    CHPP Utilidors-Direct Buried- Condensate Lines </v>
      </c>
      <c r="H13" s="103"/>
      <c r="I13" s="103"/>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365</v>
      </c>
      <c r="B14" s="10">
        <v>5</v>
      </c>
      <c r="D14" s="42" t="s">
        <v>4</v>
      </c>
      <c r="E14" s="55">
        <v>2</v>
      </c>
      <c r="F14" s="18"/>
      <c r="G14" s="103" t="str">
        <f>IF(ISBLANK('form picklists'!G15)=TRUE,"",'form picklists'!G15&amp;",    "&amp;'form picklists'!H15&amp;",    "&amp;'form picklists'!I15)</f>
        <v xml:space="preserve">DHS 231 4.1,    Distribution,    CHPP Utilidors - Condensate Lines </v>
      </c>
      <c r="H14" s="103"/>
      <c r="I14" s="103"/>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364</v>
      </c>
      <c r="F15" s="18"/>
      <c r="G15" s="103" t="str">
        <f>IF(ISBLANK('form picklists'!G16)=TRUE,"",'form picklists'!G16&amp;",    "&amp;'form picklists'!H16&amp;",    "&amp;'form picklists'!I16)</f>
        <v xml:space="preserve">DHS 231 4.2,    Distribution,    Direct Buried - Condensate Lines </v>
      </c>
      <c r="H15" s="103"/>
      <c r="I15" s="103"/>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393</v>
      </c>
      <c r="D16" s="42" t="s">
        <v>5</v>
      </c>
      <c r="E16" s="27" t="s">
        <v>724</v>
      </c>
      <c r="F16" s="18"/>
      <c r="G16" s="103" t="str">
        <f>IF(ISBLANK('form picklists'!G17)=TRUE,"",'form picklists'!G17&amp;",    "&amp;'form picklists'!H17&amp;",    "&amp;'form picklists'!I17)</f>
        <v xml:space="preserve">DHS 232 4,    Distribution,    CHPP Utilidors-Direct Buried- Steam Lines </v>
      </c>
      <c r="H16" s="103"/>
      <c r="I16" s="103"/>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352</v>
      </c>
      <c r="B17" s="27" t="s">
        <v>724</v>
      </c>
      <c r="D17" s="41"/>
      <c r="F17" s="18"/>
      <c r="G17" s="103" t="str">
        <f>IF(ISBLANK('form picklists'!G18)=TRUE,"",'form picklists'!G18&amp;",    "&amp;'form picklists'!H18&amp;",    "&amp;'form picklists'!I18)</f>
        <v xml:space="preserve">DHS 232 4.1,    Distribution,    CHPP Utilidors - Steam Lines </v>
      </c>
      <c r="H17" s="103"/>
      <c r="I17" s="103"/>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03" t="str">
        <f>IF(ISBLANK('form picklists'!G19)=TRUE,"",'form picklists'!G19&amp;",    "&amp;'form picklists'!H19&amp;",    "&amp;'form picklists'!I19)</f>
        <v xml:space="preserve">DHS 232 4.2,    Distribution,    Direct Buried- Steam Lines </v>
      </c>
      <c r="H18" s="103"/>
      <c r="I18" s="103"/>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366</v>
      </c>
      <c r="B19" s="26">
        <v>40318</v>
      </c>
      <c r="D19" s="42" t="s">
        <v>379</v>
      </c>
      <c r="E19" s="26">
        <v>40417</v>
      </c>
      <c r="F19" s="18"/>
      <c r="G19" s="103" t="str">
        <f>IF(ISBLANK('form picklists'!G20)=TRUE,"",'form picklists'!G20&amp;",    "&amp;'form picklists'!H20&amp;",    "&amp;'form picklists'!I20)</f>
        <v>DHS 232 4.3,    Distribution,    Utilidors - Steam Traps</v>
      </c>
      <c r="H19" s="103"/>
      <c r="I19" s="103"/>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A20" s="42" t="s">
        <v>492</v>
      </c>
      <c r="D20" s="41"/>
      <c r="E20" s="42" t="s">
        <v>357</v>
      </c>
      <c r="F20" s="18"/>
      <c r="G20" s="103" t="str">
        <f>IF(ISBLANK('form picklists'!G21)=TRUE,"",'form picklists'!G21&amp;",    "&amp;'form picklists'!H21&amp;",    "&amp;'form picklists'!I21)</f>
        <v>DHS 235 8,    CHPP Plant,    Wells and Springs</v>
      </c>
      <c r="H20" s="103"/>
      <c r="I20" s="103"/>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B21" s="105"/>
      <c r="C21" s="104"/>
      <c r="E21" s="28">
        <f>15839-(E22+E23)+12075</f>
        <v>17776</v>
      </c>
      <c r="F21" s="18"/>
      <c r="G21" s="103" t="str">
        <f>IF(ISBLANK('form picklists'!G22)=TRUE,"",'form picklists'!G22&amp;",    "&amp;'form picklists'!H22&amp;",    "&amp;'form picklists'!I22)</f>
        <v>DHS 242 8,    CHPP Plant,    Other-Fuel Holders, Producer</v>
      </c>
      <c r="H21" s="103"/>
      <c r="I21" s="103"/>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B22" s="105"/>
      <c r="D22" s="41"/>
      <c r="E22" s="28">
        <v>9838</v>
      </c>
      <c r="F22" s="18"/>
      <c r="G22" s="103" t="str">
        <f>IF(ISBLANK('form picklists'!G23)=TRUE,"",'form picklists'!G23&amp;",    "&amp;'form picklists'!H23&amp;",    "&amp;'form picklists'!I23)</f>
        <v>DHS 261 8,    CHPP Plant,    Turbogenerator Unit</v>
      </c>
      <c r="H22" s="103"/>
      <c r="I22" s="103"/>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B23" s="105"/>
      <c r="D23" s="41"/>
      <c r="E23" s="28">
        <v>300</v>
      </c>
      <c r="F23" s="18"/>
      <c r="G23" s="103" t="str">
        <f>IF(ISBLANK('form picklists'!G24)=TRUE,"",'form picklists'!G24&amp;",    "&amp;'form picklists'!H24&amp;",    "&amp;'form picklists'!I24)</f>
        <v>DHS 261 8.1,    CHPP Plant,    Steam Turbines</v>
      </c>
      <c r="H23" s="103"/>
      <c r="I23" s="103"/>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B24" s="105"/>
      <c r="E24" s="28">
        <v>5257</v>
      </c>
      <c r="F24" s="18"/>
      <c r="G24" s="103" t="str">
        <f>IF(ISBLANK('form picklists'!G25)=TRUE,"",'form picklists'!G25&amp;",    "&amp;'form picklists'!H25&amp;",    "&amp;'form picklists'!I25)</f>
        <v>DHS 261 8.2,    CHPP Plant,    Generators</v>
      </c>
      <c r="H24" s="103"/>
      <c r="I24" s="103"/>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B25" s="106"/>
      <c r="E25" s="28"/>
      <c r="F25" s="18"/>
      <c r="G25" s="103" t="str">
        <f>IF(ISBLANK('form picklists'!G26)=TRUE,"",'form picklists'!G26&amp;",    "&amp;'form picklists'!H26&amp;",    "&amp;'form picklists'!I26)</f>
        <v>DHS 261 8.3,    CHPP Plant,    Black Start Generators</v>
      </c>
      <c r="H25" s="103"/>
      <c r="I25" s="103"/>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380</v>
      </c>
      <c r="E26" s="29">
        <f>SUM(E21:E25)</f>
        <v>33171</v>
      </c>
      <c r="F26" s="18"/>
      <c r="G26" s="103" t="str">
        <f>IF(ISBLANK('form picklists'!G27)=TRUE,"",'form picklists'!G27&amp;",    "&amp;'form picklists'!H27&amp;",    "&amp;'form picklists'!I27)</f>
        <v>DHS 261 8.4,    CHPP Plant,    Governors 40YR</v>
      </c>
      <c r="H26" s="103"/>
      <c r="I26" s="103"/>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395</v>
      </c>
      <c r="B27" s="28">
        <v>33171</v>
      </c>
      <c r="D27" s="30" t="s">
        <v>381</v>
      </c>
      <c r="E27" s="31">
        <f>B27-E26</f>
        <v>0</v>
      </c>
      <c r="F27" s="18"/>
      <c r="G27" s="103" t="str">
        <f>IF(ISBLANK('form picklists'!G28)=TRUE,"",'form picklists'!G28&amp;",    "&amp;'form picklists'!H28&amp;",    "&amp;'form picklists'!I28)</f>
        <v>DHS 261 8.5,    CHPP Plant,    Control Systems 20YR</v>
      </c>
      <c r="H27" s="103"/>
      <c r="I27" s="103"/>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03" t="str">
        <f>IF(ISBLANK('form picklists'!G29)=TRUE,"",'form picklists'!G29&amp;",    "&amp;'form picklists'!H29&amp;",    "&amp;'form picklists'!I29)</f>
        <v>DHS 262 8,    CHPP Plant,    Engine Driven Generators</v>
      </c>
      <c r="H28" s="103"/>
      <c r="I28" s="103"/>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396</v>
      </c>
      <c r="F29" s="18"/>
      <c r="G29" s="103" t="str">
        <f>IF(ISBLANK('form picklists'!G30)=TRUE,"",'form picklists'!G30&amp;",    "&amp;'form picklists'!H30&amp;",    "&amp;'form picklists'!I30)</f>
        <v>DHS 263 8,    CHPP Plant,    Accessory Electric Equipment</v>
      </c>
      <c r="H29" s="103"/>
      <c r="I29" s="103"/>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392</v>
      </c>
      <c r="B30" s="109"/>
      <c r="C30" s="110" t="s">
        <v>725</v>
      </c>
      <c r="D30" s="110"/>
      <c r="E30" s="110"/>
      <c r="F30" s="18"/>
      <c r="G30" s="103" t="str">
        <f>IF(ISBLANK('form picklists'!G31)=TRUE,"",'form picklists'!G31&amp;",    "&amp;'form picklists'!H31&amp;",    "&amp;'form picklists'!I31)</f>
        <v>DHS 263 8.1,    CHPP Plant,    Accessory Electric Equipment - 15YR</v>
      </c>
      <c r="H30" s="103"/>
      <c r="I30" s="103"/>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03" t="str">
        <f>IF(ISBLANK('form picklists'!G32)=TRUE,"",'form picklists'!G32&amp;",    "&amp;'form picklists'!H32&amp;",    "&amp;'form picklists'!I32)</f>
        <v>DHS 263 8.2,    CHPP Plant,    Accessory Electric Equipment - 20YR</v>
      </c>
      <c r="H31" s="103"/>
      <c r="I31" s="103"/>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397</v>
      </c>
      <c r="C32" s="110"/>
      <c r="D32" s="110"/>
      <c r="E32" s="110"/>
      <c r="F32" s="18"/>
      <c r="G32" s="103" t="str">
        <f>IF(ISBLANK('form picklists'!G33)=TRUE,"",'form picklists'!G33&amp;",    "&amp;'form picklists'!H33&amp;",    "&amp;'form picklists'!I33)</f>
        <v>DHS 263 8.3,    CHPP Plant,    Accessory Electric Equipment -SCADA 20YR</v>
      </c>
      <c r="H32" s="103"/>
      <c r="I32" s="103"/>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03" t="str">
        <f>IF(ISBLANK('form picklists'!G34)=TRUE,"",'form picklists'!G34&amp;",    "&amp;'form picklists'!H34&amp;",    "&amp;'form picklists'!I34)</f>
        <v>DHS 264 8,    CHPP Plant,    Other Systems</v>
      </c>
      <c r="H33" s="103"/>
      <c r="I33" s="103"/>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398</v>
      </c>
      <c r="B34" s="27" t="s">
        <v>724</v>
      </c>
      <c r="F34" s="18"/>
      <c r="G34" s="103" t="str">
        <f>IF(ISBLANK('form picklists'!G35)=TRUE,"",'form picklists'!G35&amp;",    "&amp;'form picklists'!H35&amp;",    "&amp;'form picklists'!I35)</f>
        <v>DHS 271 3,    Water Treatment ,    Chemical Feed System</v>
      </c>
      <c r="H34" s="103"/>
      <c r="I34" s="103"/>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03" t="str">
        <f>IF(ISBLANK('form picklists'!G36)=TRUE,"",'form picklists'!G36&amp;",    "&amp;'form picklists'!H36&amp;",    "&amp;'form picklists'!I36)</f>
        <v>DHS 272 3,    Water Treatment ,    Condensate Polisher</v>
      </c>
      <c r="H35" s="103"/>
      <c r="I35" s="103"/>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611</v>
      </c>
      <c r="B36" s="107"/>
      <c r="C36" s="107"/>
      <c r="D36" s="107"/>
      <c r="E36" s="107"/>
      <c r="F36" s="18"/>
      <c r="G36" s="103" t="str">
        <f>IF(ISBLANK('form picklists'!G37)=TRUE,"",'form picklists'!G37&amp;",    "&amp;'form picklists'!H37&amp;",    "&amp;'form picklists'!I37)</f>
        <v>DHS 273 3,    Water Treatment ,    Condensate Pumps-Storage Tanks</v>
      </c>
      <c r="H36" s="103"/>
      <c r="I36" s="103"/>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391</v>
      </c>
      <c r="B37" s="39"/>
      <c r="C37" s="39"/>
      <c r="D37" s="38" t="s">
        <v>386</v>
      </c>
      <c r="E37" s="40"/>
      <c r="F37" s="18"/>
      <c r="G37" s="103" t="str">
        <f>IF(ISBLANK('form picklists'!G38)=TRUE,"",'form picklists'!G38&amp;",    "&amp;'form picklists'!H38&amp;",    "&amp;'form picklists'!I38)</f>
        <v>DHS 274 3,    Water Treatment ,    Manholes</v>
      </c>
      <c r="H37" s="103"/>
      <c r="I37" s="103"/>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387</v>
      </c>
      <c r="B38" s="32"/>
      <c r="C38" s="32"/>
      <c r="D38" s="33" t="s">
        <v>390</v>
      </c>
      <c r="E38" s="34"/>
      <c r="F38" s="18"/>
      <c r="G38" s="103" t="str">
        <f>IF(ISBLANK('form picklists'!G39)=TRUE,"",'form picklists'!G39&amp;",    "&amp;'form picklists'!H39&amp;",    "&amp;'form picklists'!I39)</f>
        <v>DHS 281 9,    Coal Handling,    Bucket Elevators</v>
      </c>
      <c r="H38" s="103"/>
      <c r="I38" s="103"/>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388</v>
      </c>
      <c r="B39" s="36"/>
      <c r="C39" s="36"/>
      <c r="D39" s="35" t="s">
        <v>389</v>
      </c>
      <c r="E39" s="37"/>
      <c r="F39" s="18"/>
      <c r="G39" s="103" t="str">
        <f>IF(ISBLANK('form picklists'!G40)=TRUE,"",'form picklists'!G40&amp;",    "&amp;'form picklists'!H40&amp;",    "&amp;'form picklists'!I40)</f>
        <v>DHS 282 9,    Coal Handling,    Coal Conveyers</v>
      </c>
      <c r="H39" s="103"/>
      <c r="I39" s="103"/>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03" t="str">
        <f>IF(ISBLANK('form picklists'!G41)=TRUE,"",'form picklists'!G41&amp;",    "&amp;'form picklists'!H41&amp;",    "&amp;'form picklists'!I41)</f>
        <v>DHS 283 9,    Coal Handling,    Coal Crushers</v>
      </c>
      <c r="H40" s="103"/>
      <c r="I40" s="103"/>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03" t="str">
        <f>IF(ISBLANK('form picklists'!G42)=TRUE,"",'form picklists'!G42&amp;",    "&amp;'form picklists'!H42&amp;",    "&amp;'form picklists'!I42)</f>
        <v>DHS 283 9.1,    Coal Handling,    Coal System Dust Collectors</v>
      </c>
      <c r="H41" s="103"/>
      <c r="I41" s="103"/>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03" t="str">
        <f>IF(ISBLANK('form picklists'!G43)=TRUE,"",'form picklists'!G43&amp;",    "&amp;'form picklists'!H43&amp;",    "&amp;'form picklists'!I43)</f>
        <v>DHS 284 9,    Coal Handling,    Coal Feeders</v>
      </c>
      <c r="H42" s="103"/>
      <c r="I42" s="103"/>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03" t="str">
        <f>IF(ISBLANK('form picklists'!G44)=TRUE,"",'form picklists'!G44&amp;",    "&amp;'form picklists'!H44&amp;",    "&amp;'form picklists'!I44)</f>
        <v>DHS 285 9,    Coal Handling,    Screening System</v>
      </c>
      <c r="H43" s="103"/>
      <c r="I43" s="103"/>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03" t="str">
        <f>IF(ISBLANK('form picklists'!G45)=TRUE,"",'form picklists'!G45&amp;",    "&amp;'form picklists'!H45&amp;",    "&amp;'form picklists'!I45)</f>
        <v>DHS 286 9,    Coal Handling,    Track Mobile</v>
      </c>
      <c r="H44" s="103"/>
      <c r="I44" s="103"/>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03" t="str">
        <f>IF(ISBLANK('form picklists'!G46)=TRUE,"",'form picklists'!G46&amp;",    "&amp;'form picklists'!H46&amp;",    "&amp;'form picklists'!I46)</f>
        <v>DHS 287 9,    Coal Handling,    Other Equip</v>
      </c>
      <c r="H45" s="103"/>
      <c r="I45" s="103"/>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03" t="str">
        <f>IF(ISBLANK('form picklists'!G47)=TRUE,"",'form picklists'!G47&amp;",    "&amp;'form picklists'!H47&amp;",    "&amp;'form picklists'!I47)</f>
        <v>DHS 291 11,    Ash Handling ,    Ash Blowers</v>
      </c>
      <c r="H46" s="103"/>
      <c r="I46" s="103"/>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03" t="str">
        <f>IF(ISBLANK('form picklists'!G48)=TRUE,"",'form picklists'!G48&amp;",    "&amp;'form picklists'!H48&amp;",    "&amp;'form picklists'!I48)</f>
        <v>DHS 292 11,    Ash Handling ,    Ash Silo and Unloader</v>
      </c>
      <c r="H47" s="103"/>
      <c r="I47" s="103"/>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03" t="str">
        <f>IF(ISBLANK('form picklists'!G49)=TRUE,"",'form picklists'!G49&amp;",    "&amp;'form picklists'!H49&amp;",    "&amp;'form picklists'!I49)</f>
        <v>DHS 293 11,    Ash Handling ,    Ash System Bag House</v>
      </c>
      <c r="H48" s="103"/>
      <c r="I48" s="103"/>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03" t="str">
        <f>IF(ISBLANK('form picklists'!G50)=TRUE,"",'form picklists'!G50&amp;",    "&amp;'form picklists'!H50&amp;",    "&amp;'form picklists'!I50)</f>
        <v>DHS 293 11.1,    Ash Handling ,    Ash System Dust Collectors</v>
      </c>
      <c r="H49" s="103"/>
      <c r="I49" s="103"/>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03" t="str">
        <f>IF(ISBLANK('form picklists'!G51)=TRUE,"",'form picklists'!G51&amp;",    "&amp;'form picklists'!H51&amp;",    "&amp;'form picklists'!I51)</f>
        <v>DHS 294 11,    Ash Handling ,    Clinker Crushers</v>
      </c>
      <c r="H50" s="103"/>
      <c r="I50" s="103"/>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03" t="str">
        <f>IF(ISBLANK('form picklists'!G52)=TRUE,"",'form picklists'!G52&amp;",    "&amp;'form picklists'!H52&amp;",    "&amp;'form picklists'!I52)</f>
        <v>DHS 301 1,    Intangible,    Organization</v>
      </c>
      <c r="H51" s="103"/>
      <c r="I51" s="103"/>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03" t="str">
        <f>IF(ISBLANK('form picklists'!G53)=TRUE,"",'form picklists'!G53&amp;",    "&amp;'form picklists'!H53&amp;",    "&amp;'form picklists'!I53)</f>
        <v>DHS 303 1,    Intangible,    Miscellaneous Intangible Plant</v>
      </c>
      <c r="H52" s="103"/>
      <c r="I52" s="103"/>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03" t="str">
        <f>IF(ISBLANK('form picklists'!G54)=TRUE,"",'form picklists'!G54&amp;",    "&amp;'form picklists'!H54&amp;",    "&amp;'form picklists'!I54)</f>
        <v>DHS 349 5,    General Plant,    Land and Land Rights</v>
      </c>
      <c r="H53" s="103"/>
      <c r="I53" s="103"/>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03" t="str">
        <f>IF(ISBLANK('form picklists'!G55)=TRUE,"",'form picklists'!G55&amp;",    "&amp;'form picklists'!H55&amp;",    "&amp;'form picklists'!I55)</f>
        <v>DHS 349 8,    CHPP Plant,    Land and Land Rights</v>
      </c>
      <c r="H54" s="103"/>
      <c r="I54" s="103"/>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03" t="str">
        <f>IF(ISBLANK('form picklists'!G56)=TRUE,"",'form picklists'!G56&amp;",    "&amp;'form picklists'!H56&amp;",    "&amp;'form picklists'!I56)</f>
        <v>DHS 350 4,    Distribution,    Structures and Improvements</v>
      </c>
      <c r="H55" s="103"/>
      <c r="I55" s="103"/>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03" t="str">
        <f>IF(ISBLANK('form picklists'!G57)=TRUE,"",'form picklists'!G57&amp;",    "&amp;'form picklists'!H57&amp;",    "&amp;'form picklists'!I57)</f>
        <v>DHS 350 5,    General Plant,    Structures and Improvements</v>
      </c>
      <c r="H56" s="103"/>
      <c r="I56" s="103"/>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03" t="str">
        <f>IF(ISBLANK('form picklists'!G58)=TRUE,"",'form picklists'!G58&amp;",    "&amp;'form picklists'!H58&amp;",    "&amp;'form picklists'!I58)</f>
        <v>DHS 350 8,    CHPP Plant,    Structures and Improvements - 60 yr</v>
      </c>
      <c r="H57" s="103"/>
      <c r="I57" s="103"/>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03" t="str">
        <f>IF(ISBLANK('form picklists'!G59)=TRUE,"",'form picklists'!G59&amp;",    "&amp;'form picklists'!H59&amp;",    "&amp;'form picklists'!I59)</f>
        <v>DHS 350 8.1,    CHPP Plant,    Structures and Improvements - 20 yr</v>
      </c>
      <c r="H58" s="103"/>
      <c r="I58" s="103"/>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03" t="str">
        <f>IF(ISBLANK('form picklists'!G60)=TRUE,"",'form picklists'!G60&amp;",    "&amp;'form picklists'!H60&amp;",    "&amp;'form picklists'!I60)</f>
        <v>DHS 351 5,    General Plant,    Plant Equipment</v>
      </c>
      <c r="H59" s="103"/>
      <c r="I59" s="103"/>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03" t="str">
        <f>IF(ISBLANK('form picklists'!G61)=TRUE,"",'form picklists'!G61&amp;",    "&amp;'form picklists'!H61&amp;",    "&amp;'form picklists'!I61)</f>
        <v>DHS 351 5.1,    General Plant,    Plant Equipment 20YR</v>
      </c>
      <c r="H60" s="103"/>
      <c r="I60" s="103"/>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03" t="str">
        <f>IF(ISBLANK('form picklists'!G62)=TRUE,"",'form picklists'!G62&amp;",    "&amp;'form picklists'!H62&amp;",    "&amp;'form picklists'!I62)</f>
        <v>DHS 352 5,    General Plant,    Transportation Equipment 7 YR</v>
      </c>
      <c r="H61" s="103"/>
      <c r="I61" s="103"/>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03" t="str">
        <f>IF(ISBLANK('form picklists'!G63)=TRUE,"",'form picklists'!G63&amp;",    "&amp;'form picklists'!H63&amp;",    "&amp;'form picklists'!I63)</f>
        <v>DHS 352 5.1,    General Plant,    Transportation Equipment 10 YR</v>
      </c>
      <c r="H62" s="103"/>
      <c r="I62" s="103"/>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03" t="str">
        <f>IF(ISBLANK('form picklists'!G64)=TRUE,"",'form picklists'!G64&amp;",    "&amp;'form picklists'!H64&amp;",    "&amp;'form picklists'!I64)</f>
        <v>DHS 352 5.2,    General Plant,    Transportation Equipment 15 YR</v>
      </c>
      <c r="H63" s="103"/>
      <c r="I63" s="103"/>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03" t="str">
        <f>IF(ISBLANK('form picklists'!G65)=TRUE,"",'form picklists'!G65&amp;",    "&amp;'form picklists'!H65&amp;",    "&amp;'form picklists'!I65)</f>
        <v>DHS 352 5.3,    General Plant,    Transportation Equipment 20 YR</v>
      </c>
      <c r="H64" s="103"/>
      <c r="I64" s="103"/>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03" t="str">
        <f>IF(ISBLANK('form picklists'!G66)=TRUE,"",'form picklists'!G66&amp;",    "&amp;'form picklists'!H66&amp;",    "&amp;'form picklists'!I66)</f>
        <v>DHS 353 5,    General Plant,    Transmission Assets</v>
      </c>
      <c r="H65" s="103"/>
      <c r="I65" s="103"/>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03" t="str">
        <f>IF(ISBLANK('form picklists'!G67)=TRUE,"",'form picklists'!G67&amp;",    "&amp;'form picklists'!H67&amp;",    "&amp;'form picklists'!I67)</f>
        <v>DHS 354 5,    General Plant,    Steam Lines</v>
      </c>
      <c r="H66" s="103"/>
      <c r="I66" s="103"/>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03" t="str">
        <f>IF(ISBLANK('form picklists'!G68)=TRUE,"",'form picklists'!G68&amp;",    "&amp;'form picklists'!H68&amp;",    "&amp;'form picklists'!I68)</f>
        <v>DHS 355 5,    General Plant,    Capital Spares</v>
      </c>
      <c r="H67" s="103"/>
      <c r="I67" s="103"/>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03" t="str">
        <f>IF(ISBLANK('form picklists'!G69)=TRUE,"",'form picklists'!G69&amp;",    "&amp;'form picklists'!H69&amp;",    "&amp;'form picklists'!I69)</f>
        <v>DHS 356 5,    General Plant,    Office Equipment</v>
      </c>
      <c r="H68" s="103"/>
      <c r="I68" s="103"/>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03" t="str">
        <f>IF(ISBLANK('form picklists'!G70)=TRUE,"",'form picklists'!G70&amp;",    "&amp;'form picklists'!H70&amp;",    "&amp;'form picklists'!I70)</f>
        <v>DHS 356 5.1,    General Plant,    Office Furniture</v>
      </c>
      <c r="H69" s="103"/>
      <c r="I69" s="103"/>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03" t="str">
        <f>IF(ISBLANK('form picklists'!G71)=TRUE,"",'form picklists'!G71&amp;",    "&amp;'form picklists'!H71&amp;",    "&amp;'form picklists'!I71)</f>
        <v>DHS 357 5,    General Plant,    Computer, Netwrk, Communication Equp 5YR</v>
      </c>
      <c r="H70" s="103"/>
      <c r="I70" s="103"/>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03" t="str">
        <f>IF(ISBLANK('form picklists'!G72)=TRUE,"",'form picklists'!G72&amp;",    "&amp;'form picklists'!H72&amp;",    "&amp;'form picklists'!I72)</f>
        <v>DHS 357 5.1,    General Plant,    SCADA System</v>
      </c>
      <c r="H71" s="103"/>
      <c r="I71" s="103"/>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03" t="str">
        <f>IF(ISBLANK('form picklists'!G73)=TRUE,"",'form picklists'!G73&amp;",    "&amp;'form picklists'!H73&amp;",    "&amp;'form picklists'!I73)</f>
        <v>DHS 357 5.2,    General Plant,    Computer, Netwrk, Communication Equp 15YR</v>
      </c>
      <c r="H72" s="103"/>
      <c r="I72" s="103"/>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03" t="str">
        <f>IF(ISBLANK('form picklists'!G74)=TRUE,"",'form picklists'!G74&amp;",    "&amp;'form picklists'!H74&amp;",    "&amp;'form picklists'!I74)</f>
        <v>DHS 358 5,    General Plant,    Miscellaneous Equipment 5 yr</v>
      </c>
      <c r="H73" s="103"/>
      <c r="I73" s="103"/>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03" t="str">
        <f>IF(ISBLANK('form picklists'!G75)=TRUE,"",'form picklists'!G75&amp;",    "&amp;'form picklists'!H75&amp;",    "&amp;'form picklists'!I75)</f>
        <v>DHS 358 5.1,    General Plant,    Miscellaneous Equipment 3 yr</v>
      </c>
      <c r="H74" s="103"/>
      <c r="I74" s="103"/>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03" t="str">
        <f>IF(ISBLANK('form picklists'!G76)=TRUE,"",'form picklists'!G76&amp;",    "&amp;'form picklists'!H76&amp;",    "&amp;'form picklists'!I76)</f>
        <v>DHS 358 5.2,    General Plant,    Miscellaneous Equipment 10 yr</v>
      </c>
      <c r="H75" s="103"/>
      <c r="I75" s="103"/>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03" t="str">
        <f>IF(ISBLANK('form picklists'!G77)=TRUE,"",'form picklists'!G77&amp;",    "&amp;'form picklists'!H77&amp;",    "&amp;'form picklists'!I77)</f>
        <v>DHS 358 5.3,    General Plant,    Miscellaneous Equipment 20 yr</v>
      </c>
      <c r="H76" s="103"/>
      <c r="I76" s="103"/>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03" t="str">
        <f>IF(ISBLANK('form picklists'!G78)=TRUE,"",'form picklists'!G78&amp;",    "&amp;'form picklists'!H78&amp;",    "&amp;'form picklists'!I78)</f>
        <v>DHS 359 5,    General Plant,    Other Tangible Equipment</v>
      </c>
      <c r="H77" s="103"/>
      <c r="I77" s="103"/>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03" t="str">
        <f>IF(ISBLANK('form picklists'!G79)=TRUE,"",'form picklists'!G79&amp;",    "&amp;'form picklists'!H79&amp;",    "&amp;'form picklists'!I79)</f>
        <v>DHS 360 5,    General Plant,    Tools, Shop and Garage Equipment</v>
      </c>
      <c r="H78" s="103"/>
      <c r="I78" s="103"/>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03" t="str">
        <f>IF(ISBLANK('form picklists'!G80)=TRUE,"",'form picklists'!G80&amp;",    "&amp;'form picklists'!H80&amp;",    "&amp;'form picklists'!I80)</f>
        <v>DHS 361 5,    General Plant,    Power Operated Equipment 10 YR</v>
      </c>
      <c r="H79" s="103"/>
      <c r="I79" s="103"/>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03" t="str">
        <f>IF(ISBLANK('form picklists'!G81)=TRUE,"",'form picklists'!G81&amp;",    "&amp;'form picklists'!H81&amp;",    "&amp;'form picklists'!I81)</f>
        <v>EDS 301 1,    Intangible,    Organization</v>
      </c>
      <c r="H80" s="103"/>
      <c r="I80" s="103"/>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03" t="str">
        <f>IF(ISBLANK('form picklists'!G82)=TRUE,"",'form picklists'!G82&amp;",    "&amp;'form picklists'!H82&amp;",    "&amp;'form picklists'!I82)</f>
        <v>EDS 303 1,    Intangible,    Miscellaneous Intangible Plant</v>
      </c>
      <c r="H81" s="103"/>
      <c r="I81" s="103"/>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03" t="str">
        <f>IF(ISBLANK('form picklists'!G83)=TRUE,"",'form picklists'!G83&amp;",    "&amp;'form picklists'!H83&amp;",    "&amp;'form picklists'!I83)</f>
        <v>EDS 310 10,    Production Plant/Steam Prod,    Land and Land Rights</v>
      </c>
      <c r="H82" s="103"/>
      <c r="I82" s="103"/>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03" t="str">
        <f>IF(ISBLANK('form picklists'!G84)=TRUE,"",'form picklists'!G84&amp;",    "&amp;'form picklists'!H84&amp;",    "&amp;'form picklists'!I84)</f>
        <v>EDS 311 10,    Production Plant/Steam Prod,    Structures Improvement</v>
      </c>
      <c r="H83" s="103"/>
      <c r="I83" s="103"/>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03" t="str">
        <f>IF(ISBLANK('form picklists'!G85)=TRUE,"",'form picklists'!G85&amp;",    "&amp;'form picklists'!H85&amp;",    "&amp;'form picklists'!I85)</f>
        <v>EDS 312 10,    Production Plant/Steam Prod,    Boiler Plant Equip</v>
      </c>
      <c r="H84" s="103"/>
      <c r="I84" s="103"/>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03" t="str">
        <f>IF(ISBLANK('form picklists'!G86)=TRUE,"",'form picklists'!G86&amp;",    "&amp;'form picklists'!H86&amp;",    "&amp;'form picklists'!I86)</f>
        <v>EDS 313 10,    Production Plant/Steam Prod,    Eng, Engin Driven Generators</v>
      </c>
      <c r="H85" s="103"/>
      <c r="I85" s="103"/>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03" t="str">
        <f>IF(ISBLANK('form picklists'!G87)=TRUE,"",'form picklists'!G87&amp;",    "&amp;'form picklists'!H87&amp;",    "&amp;'form picklists'!I87)</f>
        <v>EDS 314 10,    Production Plant/Steam Prod,    Turbogenerator Units</v>
      </c>
      <c r="H86" s="103"/>
      <c r="I86" s="103"/>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03" t="str">
        <f>IF(ISBLANK('form picklists'!G88)=TRUE,"",'form picklists'!G88&amp;",    "&amp;'form picklists'!H88&amp;",    "&amp;'form picklists'!I88)</f>
        <v>EDS 315 10,    Production Plant/Steam Prod,    Accessory Electric Equipment</v>
      </c>
      <c r="H87" s="103"/>
      <c r="I87" s="103"/>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03" t="str">
        <f>IF(ISBLANK('form picklists'!G89)=TRUE,"",'form picklists'!G89&amp;",    "&amp;'form picklists'!H89&amp;",    "&amp;'form picklists'!I89)</f>
        <v>EDS 316 10,    Production Plant/Steam Prod,    Misc Power Plant Equip</v>
      </c>
      <c r="H88" s="103"/>
      <c r="I88" s="103"/>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03" t="str">
        <f>IF(ISBLANK('form picklists'!G90)=TRUE,"",'form picklists'!G90&amp;",    "&amp;'form picklists'!H90&amp;",    "&amp;'form picklists'!I90)</f>
        <v>EDS 341 10,    Production Plant/Other Production ,    Structures and Improvement</v>
      </c>
      <c r="H89" s="103"/>
      <c r="I89" s="103"/>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03" t="str">
        <f>IF(ISBLANK('form picklists'!G91)=TRUE,"",'form picklists'!G91&amp;",    "&amp;'form picklists'!H91&amp;",    "&amp;'form picklists'!I91)</f>
        <v>EDS 342 10,    Production Plant/Other Production ,    Fuel Holders, Producer</v>
      </c>
      <c r="H90" s="103"/>
      <c r="I90" s="103"/>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03" t="str">
        <f>IF(ISBLANK('form picklists'!G92)=TRUE,"",'form picklists'!G92&amp;",    "&amp;'form picklists'!H92&amp;",    "&amp;'form picklists'!I92)</f>
        <v>EDS 344 10,    Production Plant/Other Production ,    Generators</v>
      </c>
      <c r="H91" s="103"/>
      <c r="I91" s="103"/>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03" t="str">
        <f>IF(ISBLANK('form picklists'!G93)=TRUE,"",'form picklists'!G93&amp;",    "&amp;'form picklists'!H93&amp;",    "&amp;'form picklists'!I93)</f>
        <v>EDS 345 10,    Production Plant/Other Production ,    Accessory Electric Equipment</v>
      </c>
      <c r="H92" s="103"/>
      <c r="I92" s="103"/>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03" t="str">
        <f>IF(ISBLANK('form picklists'!G94)=TRUE,"",'form picklists'!G94&amp;",    "&amp;'form picklists'!H94&amp;",    "&amp;'form picklists'!I94)</f>
        <v>EDS 345 14,    Production Plant/Other Production ,    Accessory Electric Equip-SCADA</v>
      </c>
      <c r="H93" s="103"/>
      <c r="I93" s="103"/>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03" t="str">
        <f>IF(ISBLANK('form picklists'!G95)=TRUE,"",'form picklists'!G95&amp;",    "&amp;'form picklists'!H95&amp;",    "&amp;'form picklists'!I95)</f>
        <v>EDS 346 10,    Production Plant/Other Production ,    Misc Power Plant Equip</v>
      </c>
      <c r="H94" s="103"/>
      <c r="I94" s="103"/>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03" t="str">
        <f>IF(ISBLANK('form picklists'!G96)=TRUE,"",'form picklists'!G96&amp;",    "&amp;'form picklists'!H96&amp;",    "&amp;'form picklists'!I96)</f>
        <v>EDS 350 3,    Transmission,    Land and Land Rights</v>
      </c>
      <c r="H95" s="103"/>
      <c r="I95" s="103"/>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03" t="str">
        <f>IF(ISBLANK('form picklists'!G97)=TRUE,"",'form picklists'!G97&amp;",    "&amp;'form picklists'!H97&amp;",    "&amp;'form picklists'!I97)</f>
        <v>EDS 352 3,    Transmission,    Structures &amp; Improvements</v>
      </c>
      <c r="H96" s="103"/>
      <c r="I96" s="103"/>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03" t="str">
        <f>IF(ISBLANK('form picklists'!G98)=TRUE,"",'form picklists'!G98&amp;",    "&amp;'form picklists'!H98&amp;",    "&amp;'form picklists'!I98)</f>
        <v>EDS 353 3,    Transmission,    Station Equipment</v>
      </c>
      <c r="H97" s="103"/>
      <c r="I97" s="103"/>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03" t="str">
        <f>IF(ISBLANK('form picklists'!G99)=TRUE,"",'form picklists'!G99&amp;",    "&amp;'form picklists'!H99&amp;",    "&amp;'form picklists'!I99)</f>
        <v>EDS 354 3,    Transmission,    Towers and Fixtures</v>
      </c>
      <c r="H98" s="103"/>
      <c r="I98" s="103"/>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03" t="str">
        <f>IF(ISBLANK('form picklists'!G100)=TRUE,"",'form picklists'!G100&amp;",    "&amp;'form picklists'!H100&amp;",    "&amp;'form picklists'!I100)</f>
        <v>EDS 355 3,    Transmission,    Poles and Fixtures</v>
      </c>
      <c r="H99" s="103"/>
      <c r="I99" s="103"/>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03" t="str">
        <f>IF(ISBLANK('form picklists'!G101)=TRUE,"",'form picklists'!G101&amp;",    "&amp;'form picklists'!H101&amp;",    "&amp;'form picklists'!I101)</f>
        <v>EDS 356 3,    Transmission,    Overhead Conductors &amp; Devices</v>
      </c>
      <c r="H100" s="103"/>
      <c r="I100" s="103"/>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03" t="str">
        <f>IF(ISBLANK('form picklists'!G102)=TRUE,"",'form picklists'!G102&amp;",    "&amp;'form picklists'!H102&amp;",    "&amp;'form picklists'!I102)</f>
        <v>EDS 357 3,    Transmission,    Underground Conduit</v>
      </c>
      <c r="H101" s="103"/>
      <c r="I101" s="103"/>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03" t="str">
        <f>IF(ISBLANK('form picklists'!G103)=TRUE,"",'form picklists'!G103&amp;",    "&amp;'form picklists'!H103&amp;",    "&amp;'form picklists'!I103)</f>
        <v>EDS 358 3,    Transmission,    Underground Conductors &amp; Devices</v>
      </c>
      <c r="H102" s="103"/>
      <c r="I102" s="103"/>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03" t="str">
        <f>IF(ISBLANK('form picklists'!G104)=TRUE,"",'form picklists'!G104&amp;",    "&amp;'form picklists'!H104&amp;",    "&amp;'form picklists'!I104)</f>
        <v>EDS 359 3,    Transmission,    Road and Trails</v>
      </c>
      <c r="H103" s="103"/>
      <c r="I103" s="103"/>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03" t="str">
        <f>IF(ISBLANK('form picklists'!G105)=TRUE,"",'form picklists'!G105&amp;",    "&amp;'form picklists'!H105&amp;",    "&amp;'form picklists'!I105)</f>
        <v>EDS 360 4,    Distribution,    Land and Land Rights</v>
      </c>
      <c r="H104" s="103"/>
      <c r="I104" s="103"/>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03" t="str">
        <f>IF(ISBLANK('form picklists'!G106)=TRUE,"",'form picklists'!G106&amp;",    "&amp;'form picklists'!H106&amp;",    "&amp;'form picklists'!I106)</f>
        <v>EDS 361 4,    Distribution,    Structures and Improvements 75YR</v>
      </c>
      <c r="H105" s="103"/>
      <c r="I105" s="103"/>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03" t="str">
        <f>IF(ISBLANK('form picklists'!G107)=TRUE,"",'form picklists'!G107&amp;",    "&amp;'form picklists'!H107&amp;",    "&amp;'form picklists'!I107)</f>
        <v>EDS 361 4.1,    Distribution,    Structures and Improvements 50YR</v>
      </c>
      <c r="H106" s="103"/>
      <c r="I106" s="103"/>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03" t="str">
        <f>IF(ISBLANK('form picklists'!G108)=TRUE,"",'form picklists'!G108&amp;",    "&amp;'form picklists'!H108&amp;",    "&amp;'form picklists'!I108)</f>
        <v>EDS 362 4,    Distribution,    Station Equipment</v>
      </c>
      <c r="H107" s="103"/>
      <c r="I107" s="103"/>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03" t="str">
        <f>IF(ISBLANK('form picklists'!G109)=TRUE,"",'form picklists'!G109&amp;",    "&amp;'form picklists'!H109&amp;",    "&amp;'form picklists'!I109)</f>
        <v>EDS 362 4.1,    Distribution,    Station Equip-SCADA</v>
      </c>
      <c r="H108" s="103"/>
      <c r="I108" s="103"/>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03" t="str">
        <f>IF(ISBLANK('form picklists'!G110)=TRUE,"",'form picklists'!G110&amp;",    "&amp;'form picklists'!H110&amp;",    "&amp;'form picklists'!I110)</f>
        <v>EDS 363 4,    Distribution,    Storage Battery Equipment</v>
      </c>
      <c r="H109" s="103"/>
      <c r="I109" s="103"/>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03" t="str">
        <f>IF(ISBLANK('form picklists'!G111)=TRUE,"",'form picklists'!G111&amp;",    "&amp;'form picklists'!H111&amp;",    "&amp;'form picklists'!I111)</f>
        <v>EDS 364 4,    Distribution,    Poles, Towers, and Fixtures</v>
      </c>
      <c r="H110" s="103"/>
      <c r="I110" s="103"/>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03" t="str">
        <f>IF(ISBLANK('form picklists'!G112)=TRUE,"",'form picklists'!G112&amp;",    "&amp;'form picklists'!H112&amp;",    "&amp;'form picklists'!I112)</f>
        <v>EDS 365 4,    Distribution,    Overhead Conductors and Devices</v>
      </c>
      <c r="H111" s="103"/>
      <c r="I111" s="103"/>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03" t="str">
        <f>IF(ISBLANK('form picklists'!G113)=TRUE,"",'form picklists'!G113&amp;",    "&amp;'form picklists'!H113&amp;",    "&amp;'form picklists'!I113)</f>
        <v>EDS 366 4,    Distribution,    Underground Conduit</v>
      </c>
      <c r="H112" s="103"/>
      <c r="I112" s="103"/>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03" t="str">
        <f>IF(ISBLANK('form picklists'!G114)=TRUE,"",'form picklists'!G114&amp;",    "&amp;'form picklists'!H114&amp;",    "&amp;'form picklists'!I114)</f>
        <v>EDS 367 4,    Distribution,    Underground Conductors and Devices</v>
      </c>
      <c r="H113" s="103"/>
      <c r="I113" s="103"/>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03" t="str">
        <f>IF(ISBLANK('form picklists'!G115)=TRUE,"",'form picklists'!G115&amp;",    "&amp;'form picklists'!H115&amp;",    "&amp;'form picklists'!I115)</f>
        <v>EDS 368 4,    Distribution,    Line Transformers</v>
      </c>
      <c r="H114" s="103"/>
      <c r="I114" s="103"/>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03" t="str">
        <f>IF(ISBLANK('form picklists'!G116)=TRUE,"",'form picklists'!G116&amp;",    "&amp;'form picklists'!H116&amp;",    "&amp;'form picklists'!I116)</f>
        <v>EDS 369 4,    Distribution,    Services</v>
      </c>
      <c r="H115" s="103"/>
      <c r="I115" s="103"/>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03" t="str">
        <f>IF(ISBLANK('form picklists'!G117)=TRUE,"",'form picklists'!G117&amp;",    "&amp;'form picklists'!H117&amp;",    "&amp;'form picklists'!I117)</f>
        <v>EDS 370 4,    Distribution,    Meters</v>
      </c>
      <c r="H116" s="103"/>
      <c r="I116" s="103"/>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03" t="str">
        <f>IF(ISBLANK('form picklists'!G118)=TRUE,"",'form picklists'!G118&amp;",    "&amp;'form picklists'!H118&amp;",    "&amp;'form picklists'!I118)</f>
        <v>EDS 370 4.1,    Distribution,    Meter AMRs</v>
      </c>
      <c r="H117" s="103"/>
      <c r="I117" s="103"/>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03" t="str">
        <f>IF(ISBLANK('form picklists'!G119)=TRUE,"",'form picklists'!G119&amp;",    "&amp;'form picklists'!H119&amp;",    "&amp;'form picklists'!I119)</f>
        <v>EDS 371 4,    Distribution,    Installation on Customer's Premises</v>
      </c>
      <c r="H118" s="103"/>
      <c r="I118" s="103"/>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03" t="str">
        <f>IF(ISBLANK('form picklists'!G120)=TRUE,"",'form picklists'!G120&amp;",    "&amp;'form picklists'!H120&amp;",    "&amp;'form picklists'!I120)</f>
        <v>EDS 372 4,    Distribution,    Leased Property on Customers Premises</v>
      </c>
      <c r="H119" s="103"/>
      <c r="I119" s="103"/>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03" t="str">
        <f>IF(ISBLANK('form picklists'!G121)=TRUE,"",'form picklists'!G121&amp;",    "&amp;'form picklists'!H121&amp;",    "&amp;'form picklists'!I121)</f>
        <v>EDS 373 4,    Distribution,    Street Lighting and Signal Systems</v>
      </c>
      <c r="H120" s="103"/>
      <c r="I120" s="103"/>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03" t="str">
        <f>IF(ISBLANK('form picklists'!G122)=TRUE,"",'form picklists'!G122&amp;",    "&amp;'form picklists'!H122&amp;",    "&amp;'form picklists'!I122)</f>
        <v>EDS 389 5,    General Plant,    Land and Land Rights</v>
      </c>
      <c r="H121" s="103"/>
      <c r="I121" s="103"/>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03" t="str">
        <f>IF(ISBLANK('form picklists'!G123)=TRUE,"",'form picklists'!G123&amp;",    "&amp;'form picklists'!H123&amp;",    "&amp;'form picklists'!I123)</f>
        <v>EDS 390 5,    General Plant,    Structures and Improvements</v>
      </c>
      <c r="H122" s="103"/>
      <c r="I122" s="103"/>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03" t="str">
        <f>IF(ISBLANK('form picklists'!G124)=TRUE,"",'form picklists'!G124&amp;",    "&amp;'form picklists'!H124&amp;",    "&amp;'form picklists'!I124)</f>
        <v>EDS 391 5,    General Plant,    Office Equipment</v>
      </c>
      <c r="H123" s="103"/>
      <c r="I123" s="103"/>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03" t="str">
        <f>IF(ISBLANK('form picklists'!G125)=TRUE,"",'form picklists'!G125&amp;",    "&amp;'form picklists'!H125&amp;",    "&amp;'form picklists'!I125)</f>
        <v xml:space="preserve">EDS 391 5.1,    General Plant,    Office Furniture </v>
      </c>
      <c r="H124" s="103"/>
      <c r="I124" s="103"/>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03" t="str">
        <f>IF(ISBLANK('form picklists'!G126)=TRUE,"",'form picklists'!G126&amp;",    "&amp;'form picklists'!H126&amp;",    "&amp;'form picklists'!I126)</f>
        <v>EDS 392 5,    General Plant,    Transportation Equipment 10YR</v>
      </c>
      <c r="H125" s="103"/>
      <c r="I125" s="103"/>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03" t="str">
        <f>IF(ISBLANK('form picklists'!G127)=TRUE,"",'form picklists'!G127&amp;",    "&amp;'form picklists'!H127&amp;",    "&amp;'form picklists'!I127)</f>
        <v>EDS 392 5.1,    General Plant,    Transportation Equipment 15YR</v>
      </c>
      <c r="H126" s="103"/>
      <c r="I126" s="103"/>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03" t="str">
        <f>IF(ISBLANK('form picklists'!G128)=TRUE,"",'form picklists'!G128&amp;",    "&amp;'form picklists'!H128&amp;",    "&amp;'form picklists'!I128)</f>
        <v>EDS 393 5,    General Plant,    Stores Equipment</v>
      </c>
      <c r="H127" s="103"/>
      <c r="I127" s="103"/>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03" t="str">
        <f>IF(ISBLANK('form picklists'!G129)=TRUE,"",'form picklists'!G129&amp;",    "&amp;'form picklists'!H129&amp;",    "&amp;'form picklists'!I129)</f>
        <v>EDS 394 5,    General Plant,    Tools, Shop and Garage Equipment 10YR</v>
      </c>
      <c r="H128" s="103"/>
      <c r="I128" s="103"/>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03" t="str">
        <f>IF(ISBLANK('form picklists'!G130)=TRUE,"",'form picklists'!G130&amp;",    "&amp;'form picklists'!H130&amp;",    "&amp;'form picklists'!I130)</f>
        <v>EDS 394 5.1,    General Plant,    Tools, Shop and Garage Equipment 20YR</v>
      </c>
      <c r="H129" s="103"/>
      <c r="I129" s="103"/>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03" t="str">
        <f>IF(ISBLANK('form picklists'!G131)=TRUE,"",'form picklists'!G131&amp;",    "&amp;'form picklists'!H131&amp;",    "&amp;'form picklists'!I131)</f>
        <v>EDS 395 5,    General Plant,    Laboratory Equipment</v>
      </c>
      <c r="H130" s="103"/>
      <c r="I130" s="103"/>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03" t="str">
        <f>IF(ISBLANK('form picklists'!G132)=TRUE,"",'form picklists'!G132&amp;",    "&amp;'form picklists'!H132&amp;",    "&amp;'form picklists'!I132)</f>
        <v>EDS 396 5,    General Plant,    Power Operated Equipment</v>
      </c>
      <c r="H131" s="103"/>
      <c r="I131" s="103"/>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03" t="str">
        <f>IF(ISBLANK('form picklists'!G133)=TRUE,"",'form picklists'!G133&amp;",    "&amp;'form picklists'!H133&amp;",    "&amp;'form picklists'!I133)</f>
        <v>EDS 397 5,    General Plant,    Communication Equipment</v>
      </c>
      <c r="H132" s="103"/>
      <c r="I132" s="103"/>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03" t="str">
        <f>IF(ISBLANK('form picklists'!G134)=TRUE,"",'form picklists'!G134&amp;",    "&amp;'form picklists'!H134&amp;",    "&amp;'form picklists'!I134)</f>
        <v>EDS 397 5.1,    General Plant,    Communication Equipment SCADA</v>
      </c>
      <c r="H133" s="103"/>
      <c r="I133" s="103"/>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03" t="str">
        <f>IF(ISBLANK('form picklists'!G135)=TRUE,"",'form picklists'!G135&amp;",    "&amp;'form picklists'!H135&amp;",    "&amp;'form picklists'!I135)</f>
        <v>EDS 398 5,    General Plant,    Miscellaneous Equipment</v>
      </c>
      <c r="H134" s="103"/>
      <c r="I134" s="103"/>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03" t="str">
        <f>IF(ISBLANK('form picklists'!G136)=TRUE,"",'form picklists'!G136&amp;",    "&amp;'form picklists'!H136&amp;",    "&amp;'form picklists'!I136)</f>
        <v>EDS 399 5,    General Plant,    Other Tangible Equipment</v>
      </c>
      <c r="H135" s="103"/>
      <c r="I135" s="103"/>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03" t="str">
        <f>IF(ISBLANK('form picklists'!G137)=TRUE,"",'form picklists'!G137&amp;",    "&amp;'form picklists'!H137&amp;",    "&amp;'form picklists'!I137)</f>
        <v>HDQ 301 1,    Intangible,    Organization</v>
      </c>
      <c r="H136" s="103"/>
      <c r="I136" s="103"/>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03" t="str">
        <f>IF(ISBLANK('form picklists'!G138)=TRUE,"",'form picklists'!G138&amp;",    "&amp;'form picklists'!H138&amp;",    "&amp;'form picklists'!I138)</f>
        <v>HDQ 301 1.1,    Intangible,    Organization 5YR</v>
      </c>
      <c r="H137" s="103"/>
      <c r="I137" s="103"/>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03" t="str">
        <f>IF(ISBLANK('form picklists'!G139)=TRUE,"",'form picklists'!G139&amp;",    "&amp;'form picklists'!H139&amp;",    "&amp;'form picklists'!I139)</f>
        <v>HDQ 303 5,    General Plant,    Land and Land Rights</v>
      </c>
      <c r="H138" s="103"/>
      <c r="I138" s="103"/>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03" t="str">
        <f>IF(ISBLANK('form picklists'!G140)=TRUE,"",'form picklists'!G140&amp;",    "&amp;'form picklists'!H140&amp;",    "&amp;'form picklists'!I140)</f>
        <v>HDQ 304 5,    General Plant,    Structures and Improvements 75YR</v>
      </c>
      <c r="H139" s="103"/>
      <c r="I139" s="103"/>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03" t="str">
        <f>IF(ISBLANK('form picklists'!G141)=TRUE,"",'form picklists'!G141&amp;",    "&amp;'form picklists'!H141&amp;",    "&amp;'form picklists'!I141)</f>
        <v>HDQ 304 5.1,    General Plant,    Structures and Improvements 7YR</v>
      </c>
      <c r="H140" s="103"/>
      <c r="I140" s="103"/>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03" t="str">
        <f>IF(ISBLANK('form picklists'!G142)=TRUE,"",'form picklists'!G142&amp;",    "&amp;'form picklists'!H142&amp;",    "&amp;'form picklists'!I142)</f>
        <v>HDQ 340 5,    General Plant,    Office Equipment</v>
      </c>
      <c r="H141" s="103"/>
      <c r="I141" s="103"/>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03" t="str">
        <f>IF(ISBLANK('form picklists'!G143)=TRUE,"",'form picklists'!G143&amp;",    "&amp;'form picklists'!H143&amp;",    "&amp;'form picklists'!I143)</f>
        <v xml:space="preserve">HDQ 340 5.1,    General Plant,    Office Furniture </v>
      </c>
      <c r="H142" s="103"/>
      <c r="I142" s="103"/>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03" t="str">
        <f>IF(ISBLANK('form picklists'!G144)=TRUE,"",'form picklists'!G144&amp;",    "&amp;'form picklists'!H144&amp;",    "&amp;'form picklists'!I144)</f>
        <v>HDQ 341 5,    General Plant,    Transportation Equipment</v>
      </c>
      <c r="H143" s="103"/>
      <c r="I143" s="103"/>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03" t="str">
        <f>IF(ISBLANK('form picklists'!G145)=TRUE,"",'form picklists'!G145&amp;",    "&amp;'form picklists'!H145&amp;",    "&amp;'form picklists'!I145)</f>
        <v>HDQ 342 5,    General Plant,    Stores Equipment</v>
      </c>
      <c r="H144" s="103"/>
      <c r="I144" s="103"/>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03" t="str">
        <f>IF(ISBLANK('form picklists'!G146)=TRUE,"",'form picklists'!G146&amp;",    "&amp;'form picklists'!H146&amp;",    "&amp;'form picklists'!I146)</f>
        <v>HDQ 343 5,    General Plant,    Tools, Shop and Garage Equipment</v>
      </c>
      <c r="H145" s="103"/>
      <c r="I145" s="103"/>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03" t="str">
        <f>IF(ISBLANK('form picklists'!G147)=TRUE,"",'form picklists'!G147&amp;",    "&amp;'form picklists'!H147&amp;",    "&amp;'form picklists'!I147)</f>
        <v>HDQ 344 5,    General Plant,    Laboratory Equipment</v>
      </c>
      <c r="H146" s="103"/>
      <c r="I146" s="103"/>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03" t="str">
        <f>IF(ISBLANK('form picklists'!G148)=TRUE,"",'form picklists'!G148&amp;",    "&amp;'form picklists'!H148&amp;",    "&amp;'form picklists'!I148)</f>
        <v>HDQ 345 5,    General Plant,    Power Operated Equipment</v>
      </c>
      <c r="H147" s="103"/>
      <c r="I147" s="103"/>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03" t="str">
        <f>IF(ISBLANK('form picklists'!G149)=TRUE,"",'form picklists'!G149&amp;",    "&amp;'form picklists'!H149&amp;",    "&amp;'form picklists'!I149)</f>
        <v>HDQ 346 5,    General Plant,    Communication Equipment</v>
      </c>
      <c r="H148" s="103"/>
      <c r="I148" s="103"/>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03" t="str">
        <f>IF(ISBLANK('form picklists'!G150)=TRUE,"",'form picklists'!G150&amp;",    "&amp;'form picklists'!H150&amp;",    "&amp;'form picklists'!I150)</f>
        <v>HDQ 347 5,    General Plant,    Miscellaneous Equipment</v>
      </c>
      <c r="H149" s="103"/>
      <c r="I149" s="103"/>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03" t="str">
        <f>IF(ISBLANK('form picklists'!G151)=TRUE,"",'form picklists'!G151&amp;",    "&amp;'form picklists'!H151&amp;",    "&amp;'form picklists'!I151)</f>
        <v>HDQ 348 5,    General Plant,    Other Tangible Equipment 3YR</v>
      </c>
      <c r="H150" s="103"/>
      <c r="I150" s="103"/>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03" t="str">
        <f>IF(ISBLANK('form picklists'!G152)=TRUE,"",'form picklists'!G152&amp;",    "&amp;'form picklists'!H152&amp;",    "&amp;'form picklists'!I152)</f>
        <v>HDQ 348 5.1,    General Plant,    Other Tangible Equipment 10YR</v>
      </c>
      <c r="H151" s="103"/>
      <c r="I151" s="103"/>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03" t="str">
        <f>IF(ISBLANK('form picklists'!G153)=TRUE,"",'form picklists'!G153&amp;",    "&amp;'form picklists'!H153&amp;",    "&amp;'form picklists'!I153)</f>
        <v>NGD 301 1,    Intangible,    Organization</v>
      </c>
      <c r="H152" s="103"/>
      <c r="I152" s="103"/>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03" t="str">
        <f>IF(ISBLANK('form picklists'!G154)=TRUE,"",'form picklists'!G154&amp;",    "&amp;'form picklists'!H154&amp;",    "&amp;'form picklists'!I154)</f>
        <v>NGD 303 1,    Intangible,    Miscellaneous Intangible Plant</v>
      </c>
      <c r="H153" s="103"/>
      <c r="I153" s="103"/>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03" t="str">
        <f>IF(ISBLANK('form picklists'!G155)=TRUE,"",'form picklists'!G155&amp;",    "&amp;'form picklists'!H155&amp;",    "&amp;'form picklists'!I155)</f>
        <v>NGD 374 5,    Distribution,    Land and Land Rights</v>
      </c>
      <c r="H154" s="103"/>
      <c r="I154" s="103"/>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03" t="str">
        <f>IF(ISBLANK('form picklists'!G156)=TRUE,"",'form picklists'!G156&amp;",    "&amp;'form picklists'!H156&amp;",    "&amp;'form picklists'!I156)</f>
        <v>NGD 375 5,    Distribution,    Structures and Improvements</v>
      </c>
      <c r="H155" s="103"/>
      <c r="I155" s="103"/>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03" t="str">
        <f>IF(ISBLANK('form picklists'!G157)=TRUE,"",'form picklists'!G157&amp;",    "&amp;'form picklists'!H157&amp;",    "&amp;'form picklists'!I157)</f>
        <v>NGD 376 5,    Distribution,    Mains</v>
      </c>
      <c r="H156" s="103"/>
      <c r="I156" s="103"/>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03" t="str">
        <f>IF(ISBLANK('form picklists'!G158)=TRUE,"",'form picklists'!G158&amp;",    "&amp;'form picklists'!H158&amp;",    "&amp;'form picklists'!I158)</f>
        <v>NGD 377 5,    Distribution,    Compressor Station Equipment</v>
      </c>
      <c r="H157" s="103"/>
      <c r="I157" s="103"/>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03" t="str">
        <f>IF(ISBLANK('form picklists'!G159)=TRUE,"",'form picklists'!G159&amp;",    "&amp;'form picklists'!H159&amp;",    "&amp;'form picklists'!I159)</f>
        <v>NGD 378 5,    Distribution,    Measuring and Regulating Stn Equip General</v>
      </c>
      <c r="H158" s="103"/>
      <c r="I158" s="103"/>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03" t="str">
        <f>IF(ISBLANK('form picklists'!G160)=TRUE,"",'form picklists'!G160&amp;",    "&amp;'form picklists'!H160&amp;",    "&amp;'form picklists'!I160)</f>
        <v>NGD 378 5.1,    Distribution,    SCADA System</v>
      </c>
      <c r="H159" s="103"/>
      <c r="I159" s="103"/>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03" t="str">
        <f>IF(ISBLANK('form picklists'!G161)=TRUE,"",'form picklists'!G161&amp;",    "&amp;'form picklists'!H161&amp;",    "&amp;'form picklists'!I161)</f>
        <v>NGD 379 5,    Distribution,    Meas and Reg Stn Equip - Gate Chk Stations</v>
      </c>
      <c r="H160" s="103"/>
      <c r="I160" s="103"/>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03" t="str">
        <f>IF(ISBLANK('form picklists'!G162)=TRUE,"",'form picklists'!G162&amp;",    "&amp;'form picklists'!H162&amp;",    "&amp;'form picklists'!I162)</f>
        <v>NGD 380 5,    Distribution,    Services</v>
      </c>
      <c r="H161" s="103"/>
      <c r="I161" s="103"/>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03" t="str">
        <f>IF(ISBLANK('form picklists'!G163)=TRUE,"",'form picklists'!G163&amp;",    "&amp;'form picklists'!H163&amp;",    "&amp;'form picklists'!I163)</f>
        <v>NGD 381 5,    Distribution,    Meters</v>
      </c>
      <c r="H162" s="103"/>
      <c r="I162" s="103"/>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03" t="str">
        <f>IF(ISBLANK('form picklists'!G164)=TRUE,"",'form picklists'!G164&amp;",    "&amp;'form picklists'!H164&amp;",    "&amp;'form picklists'!I164)</f>
        <v>NGD 381 5.1,    Distribution,    Meters 40YR</v>
      </c>
      <c r="H163" s="103"/>
      <c r="I163" s="103"/>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03" t="str">
        <f>IF(ISBLANK('form picklists'!G165)=TRUE,"",'form picklists'!G165&amp;",    "&amp;'form picklists'!H165&amp;",    "&amp;'form picklists'!I165)</f>
        <v>NGD 381 5.5,    Distribution,    AMR 20YR</v>
      </c>
      <c r="H164" s="103"/>
      <c r="I164" s="103"/>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03" t="str">
        <f>IF(ISBLANK('form picklists'!G166)=TRUE,"",'form picklists'!G166&amp;",    "&amp;'form picklists'!H166&amp;",    "&amp;'form picklists'!I166)</f>
        <v>NGD 382 5,    Distribution,    Meter Installations</v>
      </c>
      <c r="H165" s="103"/>
      <c r="I165" s="103"/>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03" t="str">
        <f>IF(ISBLANK('form picklists'!G167)=TRUE,"",'form picklists'!G167&amp;",    "&amp;'form picklists'!H167&amp;",    "&amp;'form picklists'!I167)</f>
        <v>NGD 383 5,    Distribution,    House Regulators</v>
      </c>
      <c r="H166" s="103"/>
      <c r="I166" s="103"/>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03" t="str">
        <f>IF(ISBLANK('form picklists'!G168)=TRUE,"",'form picklists'!G168&amp;",    "&amp;'form picklists'!H168&amp;",    "&amp;'form picklists'!I168)</f>
        <v>NGD 384 5,    Distribution,    House Regulator Installations</v>
      </c>
      <c r="H167" s="103"/>
      <c r="I167" s="103"/>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03" t="str">
        <f>IF(ISBLANK('form picklists'!G169)=TRUE,"",'form picklists'!G169&amp;",    "&amp;'form picklists'!H169&amp;",    "&amp;'form picklists'!I169)</f>
        <v>NGD 385 5,    Distribution,    Indust Measure and Reg Station Equip</v>
      </c>
      <c r="H168" s="103"/>
      <c r="I168" s="103"/>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03" t="str">
        <f>IF(ISBLANK('form picklists'!G170)=TRUE,"",'form picklists'!G170&amp;",    "&amp;'form picklists'!H170&amp;",    "&amp;'form picklists'!I170)</f>
        <v>NGD 386 5,    Distribution,    Other Property on Customers' Premises</v>
      </c>
      <c r="H169" s="103"/>
      <c r="I169" s="103"/>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03" t="str">
        <f>IF(ISBLANK('form picklists'!G171)=TRUE,"",'form picklists'!G171&amp;",    "&amp;'form picklists'!H171&amp;",    "&amp;'form picklists'!I171)</f>
        <v>NGD 387 5,    Distribution,    Other Equipment</v>
      </c>
      <c r="H170" s="103"/>
      <c r="I170" s="103"/>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03" t="str">
        <f>IF(ISBLANK('form picklists'!G172)=TRUE,"",'form picklists'!G172&amp;",    "&amp;'form picklists'!H172&amp;",    "&amp;'form picklists'!I172)</f>
        <v>NGD 389 6,    General Plant,    Land and Land Rights</v>
      </c>
      <c r="H171" s="103"/>
      <c r="I171" s="103"/>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03" t="str">
        <f>IF(ISBLANK('form picklists'!G173)=TRUE,"",'form picklists'!G173&amp;",    "&amp;'form picklists'!H173&amp;",    "&amp;'form picklists'!I173)</f>
        <v>NGD 390 6,    General Plant,    Structures and Improvements</v>
      </c>
      <c r="H172" s="103"/>
      <c r="I172" s="103"/>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03" t="str">
        <f>IF(ISBLANK('form picklists'!G174)=TRUE,"",'form picklists'!G174&amp;",    "&amp;'form picklists'!H174&amp;",    "&amp;'form picklists'!I174)</f>
        <v>NGD 391 6,    General Plant,    Office Equipment</v>
      </c>
      <c r="H173" s="103"/>
      <c r="I173" s="103"/>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03" t="str">
        <f>IF(ISBLANK('form picklists'!G175)=TRUE,"",'form picklists'!G175&amp;",    "&amp;'form picklists'!H175&amp;",    "&amp;'form picklists'!I175)</f>
        <v>NGD 391 6.1,    General Plant,    Office Furniture</v>
      </c>
      <c r="H174" s="103"/>
      <c r="I174" s="103"/>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03" t="str">
        <f>IF(ISBLANK('form picklists'!G176)=TRUE,"",'form picklists'!G176&amp;",    "&amp;'form picklists'!H176&amp;",    "&amp;'form picklists'!I176)</f>
        <v>NGD 392 6,    General Plant,    Transportation Equipment</v>
      </c>
      <c r="H175" s="103"/>
      <c r="I175" s="103"/>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03" t="str">
        <f>IF(ISBLANK('form picklists'!G177)=TRUE,"",'form picklists'!G177&amp;",    "&amp;'form picklists'!H177&amp;",    "&amp;'form picklists'!I177)</f>
        <v>NGD 393 6,    General Plant,    Stores Equipment</v>
      </c>
      <c r="H176" s="103"/>
      <c r="I176" s="103"/>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03" t="str">
        <f>IF(ISBLANK('form picklists'!G178)=TRUE,"",'form picklists'!G178&amp;",    "&amp;'form picklists'!H178&amp;",    "&amp;'form picklists'!I178)</f>
        <v>NGD 394 6,    General Plant,    Tools, Shop and Garage Equipment</v>
      </c>
      <c r="H177" s="103"/>
      <c r="I177" s="103"/>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03" t="str">
        <f>IF(ISBLANK('form picklists'!G179)=TRUE,"",'form picklists'!G179&amp;",    "&amp;'form picklists'!H179&amp;",    "&amp;'form picklists'!I179)</f>
        <v>NGD 395 6,    General Plant,    Laboratory Equipment</v>
      </c>
      <c r="H178" s="103"/>
      <c r="I178" s="103"/>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03" t="str">
        <f>IF(ISBLANK('form picklists'!G180)=TRUE,"",'form picklists'!G180&amp;",    "&amp;'form picklists'!H180&amp;",    "&amp;'form picklists'!I180)</f>
        <v>NGD 396 6,    General Plant,    Power Operated Equipment</v>
      </c>
      <c r="H179" s="103"/>
      <c r="I179" s="103"/>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03" t="str">
        <f>IF(ISBLANK('form picklists'!G181)=TRUE,"",'form picklists'!G181&amp;",    "&amp;'form picklists'!H181&amp;",    "&amp;'form picklists'!I181)</f>
        <v>NGD 397 6,    General Plant,    Communication Equipment</v>
      </c>
      <c r="H180" s="103"/>
      <c r="I180" s="103"/>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03" t="str">
        <f>IF(ISBLANK('form picklists'!G182)=TRUE,"",'form picklists'!G182&amp;",    "&amp;'form picklists'!H182&amp;",    "&amp;'form picklists'!I182)</f>
        <v>NGD 398 6,    General Plant,    Miscellaneous Equipment</v>
      </c>
      <c r="H181" s="103"/>
      <c r="I181" s="103"/>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03" t="str">
        <f>IF(ISBLANK('form picklists'!G183)=TRUE,"",'form picklists'!G183&amp;",    "&amp;'form picklists'!H183&amp;",    "&amp;'form picklists'!I183)</f>
        <v>NGD 399 6,    General Plant,    Other Tangible Equipment</v>
      </c>
      <c r="H182" s="103"/>
      <c r="I182" s="103"/>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03" t="str">
        <f>IF(ISBLANK('form picklists'!G184)=TRUE,"",'form picklists'!G184&amp;",    "&amp;'form picklists'!H184&amp;",    "&amp;'form picklists'!I184)</f>
        <v>WTD 301 1,    Intangible,    Organization</v>
      </c>
      <c r="H183" s="103"/>
      <c r="I183" s="103"/>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03" t="str">
        <f>IF(ISBLANK('form picklists'!G185)=TRUE,"",'form picklists'!G185&amp;",    "&amp;'form picklists'!H185&amp;",    "&amp;'form picklists'!I185)</f>
        <v>WTD 302 2,    Source and Pumping,    Franchise</v>
      </c>
      <c r="H184" s="103"/>
      <c r="I184" s="103"/>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03" t="str">
        <f>IF(ISBLANK('form picklists'!G186)=TRUE,"",'form picklists'!G186&amp;",    "&amp;'form picklists'!H186&amp;",    "&amp;'form picklists'!I186)</f>
        <v>WTD 303 2,    Source of Supply and Pumping,    Land and Land Rights</v>
      </c>
      <c r="H185" s="103"/>
      <c r="I185" s="103"/>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03" t="str">
        <f>IF(ISBLANK('form picklists'!G187)=TRUE,"",'form picklists'!G187&amp;",    "&amp;'form picklists'!H187&amp;",    "&amp;'form picklists'!I187)</f>
        <v>WTD 303 3,    Treatment,    Land and Land Rights</v>
      </c>
      <c r="H186" s="103"/>
      <c r="I186" s="103"/>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03" t="str">
        <f>IF(ISBLANK('form picklists'!G188)=TRUE,"",'form picklists'!G188&amp;",    "&amp;'form picklists'!H188&amp;",    "&amp;'form picklists'!I188)</f>
        <v>WTD 303 4,    Distribution,    Land and Land Rights</v>
      </c>
      <c r="H187" s="103"/>
      <c r="I187" s="103"/>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03" t="str">
        <f>IF(ISBLANK('form picklists'!G189)=TRUE,"",'form picklists'!G189&amp;",    "&amp;'form picklists'!H189&amp;",    "&amp;'form picklists'!I189)</f>
        <v>WTD 303 5,    General Plant,    Land and Land Rights</v>
      </c>
      <c r="H188" s="103"/>
      <c r="I188" s="103"/>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03" t="str">
        <f>IF(ISBLANK('form picklists'!G190)=TRUE,"",'form picklists'!G190&amp;",    "&amp;'form picklists'!H190&amp;",    "&amp;'form picklists'!I190)</f>
        <v>WTD 304 2,    Source and Pumping,    Structures and Improvements 75YR</v>
      </c>
      <c r="H189" s="103"/>
      <c r="I189" s="103"/>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03" t="str">
        <f>IF(ISBLANK('form picklists'!G191)=TRUE,"",'form picklists'!G191&amp;",    "&amp;'form picklists'!H191&amp;",    "&amp;'form picklists'!I191)</f>
        <v>WTD 304 2.1,    Source and Pumping,    Structures and Improvements 10YR</v>
      </c>
      <c r="H190" s="103"/>
      <c r="I190" s="103"/>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03" t="str">
        <f>IF(ISBLANK('form picklists'!G192)=TRUE,"",'form picklists'!G192&amp;",    "&amp;'form picklists'!H192&amp;",    "&amp;'form picklists'!I192)</f>
        <v>WTD 304 3,    Treatment,    Structures and Improvements</v>
      </c>
      <c r="H191" s="103"/>
      <c r="I191" s="103"/>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03" t="str">
        <f>IF(ISBLANK('form picklists'!G193)=TRUE,"",'form picklists'!G193&amp;",    "&amp;'form picklists'!H193&amp;",    "&amp;'form picklists'!I193)</f>
        <v>WTD 304 4,    Distribution,    Structures and Improvements</v>
      </c>
      <c r="H192" s="103"/>
      <c r="I192" s="103"/>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03" t="str">
        <f>IF(ISBLANK('form picklists'!G194)=TRUE,"",'form picklists'!G194&amp;",    "&amp;'form picklists'!H194&amp;",    "&amp;'form picklists'!I194)</f>
        <v>WTD 304 5,    General Plant,    Structures and Improvements - 75 yr</v>
      </c>
      <c r="H193" s="103"/>
      <c r="I193" s="103"/>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03" t="str">
        <f>IF(ISBLANK('form picklists'!G195)=TRUE,"",'form picklists'!G195&amp;",    "&amp;'form picklists'!H195&amp;",    "&amp;'form picklists'!I195)</f>
        <v>WTD 304 5.1,    General Plant,    Structures and Improvements - 20 yr</v>
      </c>
      <c r="H194" s="103"/>
      <c r="I194" s="103"/>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03" t="str">
        <f>IF(ISBLANK('form picklists'!G196)=TRUE,"",'form picklists'!G196&amp;",    "&amp;'form picklists'!H196&amp;",    "&amp;'form picklists'!I196)</f>
        <v>WTD 304 5.2,    General Plant,    Structures and Improvements - 50 yr</v>
      </c>
      <c r="H195" s="103"/>
      <c r="I195" s="103"/>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03" t="str">
        <f>IF(ISBLANK('form picklists'!G197)=TRUE,"",'form picklists'!G197&amp;",    "&amp;'form picklists'!H197&amp;",    "&amp;'form picklists'!I197)</f>
        <v>WTD 305 2,    Source and Pumping,    Collect and Impound Reservoirs</v>
      </c>
      <c r="H196" s="103"/>
      <c r="I196" s="103"/>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03" t="str">
        <f>IF(ISBLANK('form picklists'!G198)=TRUE,"",'form picklists'!G198&amp;",    "&amp;'form picklists'!H198&amp;",    "&amp;'form picklists'!I198)</f>
        <v>WTD 306 2,    Source and Pumping,    Lake, River and Other Intakes</v>
      </c>
      <c r="H197" s="103"/>
      <c r="I197" s="103"/>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03" t="str">
        <f>IF(ISBLANK('form picklists'!G199)=TRUE,"",'form picklists'!G199&amp;",    "&amp;'form picklists'!H199&amp;",    "&amp;'form picklists'!I199)</f>
        <v>WTD 307 2,    Source and Pumping,    Wells and Springs</v>
      </c>
      <c r="H198" s="103"/>
      <c r="I198" s="103"/>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03" t="str">
        <f>IF(ISBLANK('form picklists'!G200)=TRUE,"",'form picklists'!G200&amp;",    "&amp;'form picklists'!H200&amp;",    "&amp;'form picklists'!I200)</f>
        <v>WTD 308 2,    Source and Pumping,    Infiltration Galleries &amp; Tunnel</v>
      </c>
      <c r="H199" s="103"/>
      <c r="I199" s="103"/>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03" t="str">
        <f>IF(ISBLANK('form picklists'!G201)=TRUE,"",'form picklists'!G201&amp;",    "&amp;'form picklists'!H201&amp;",    "&amp;'form picklists'!I201)</f>
        <v>WTD 309 2,    Source and Pumping,    Supply Mains</v>
      </c>
      <c r="H200" s="103"/>
      <c r="I200" s="103"/>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03" t="str">
        <f>IF(ISBLANK('form picklists'!G202)=TRUE,"",'form picklists'!G202&amp;",    "&amp;'form picklists'!H202&amp;",    "&amp;'form picklists'!I202)</f>
        <v>WTD 310 2,    Source and Pumping,    Power Generation</v>
      </c>
      <c r="H201" s="103"/>
      <c r="I201" s="103"/>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03" t="str">
        <f>IF(ISBLANK('form picklists'!G203)=TRUE,"",'form picklists'!G203&amp;",    "&amp;'form picklists'!H203&amp;",    "&amp;'form picklists'!I203)</f>
        <v>WTD 311 2,    Source and Pumping,    Pumping Equipment</v>
      </c>
      <c r="H202" s="103"/>
      <c r="I202" s="103"/>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03" t="str">
        <f>IF(ISBLANK('form picklists'!G204)=TRUE,"",'form picklists'!G204&amp;",    "&amp;'form picklists'!H204&amp;",    "&amp;'form picklists'!I204)</f>
        <v>WTD 311 2.1,    Source and Pumping,    Pumping Equipment - Wells</v>
      </c>
      <c r="H203" s="103"/>
      <c r="I203" s="103"/>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03" t="str">
        <f>IF(ISBLANK('form picklists'!G205)=TRUE,"",'form picklists'!G205&amp;",    "&amp;'form picklists'!H205&amp;",    "&amp;'form picklists'!I205)</f>
        <v>WTD 311 2.2,    Source and Pumping,    Pumping Equipment - Wells</v>
      </c>
      <c r="H204" s="103"/>
      <c r="I204" s="103"/>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03" t="str">
        <f>IF(ISBLANK('form picklists'!G206)=TRUE,"",'form picklists'!G206&amp;",    "&amp;'form picklists'!H206&amp;",    "&amp;'form picklists'!I206)</f>
        <v>WTD 311 2.3,    Source and Pumping,    Pumping Equipment - Wells - Mechanical</v>
      </c>
      <c r="H205" s="103"/>
      <c r="I205" s="103"/>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03" t="str">
        <f>IF(ISBLANK('form picklists'!G207)=TRUE,"",'form picklists'!G207&amp;",    "&amp;'form picklists'!H207&amp;",    "&amp;'form picklists'!I207)</f>
        <v>WTD 311 2.4,    Source and Pumping,    Pumping Equipment - Wells - Electrical</v>
      </c>
      <c r="H206" s="103"/>
      <c r="I206" s="103"/>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03" t="str">
        <f>IF(ISBLANK('form picklists'!G208)=TRUE,"",'form picklists'!G208&amp;",    "&amp;'form picklists'!H208&amp;",    "&amp;'form picklists'!I208)</f>
        <v>WTD 311 3,    Treatment,    Pumping Equipment</v>
      </c>
      <c r="H207" s="103"/>
      <c r="I207" s="103"/>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03" t="str">
        <f>IF(ISBLANK('form picklists'!G209)=TRUE,"",'form picklists'!G209&amp;",    "&amp;'form picklists'!H209&amp;",    "&amp;'form picklists'!I209)</f>
        <v>WTD 311 3.1,    Treatment,    Pumping Equipment - Pumps</v>
      </c>
      <c r="H208" s="103"/>
      <c r="I208" s="103"/>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03" t="str">
        <f>IF(ISBLANK('form picklists'!G210)=TRUE,"",'form picklists'!G210&amp;",    "&amp;'form picklists'!H210&amp;",    "&amp;'form picklists'!I210)</f>
        <v>WTD 311 3.2,    Treatment,    Pumping Equipment - Mechanical</v>
      </c>
      <c r="H209" s="103"/>
      <c r="I209" s="103"/>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03" t="str">
        <f>IF(ISBLANK('form picklists'!G211)=TRUE,"",'form picklists'!G211&amp;",    "&amp;'form picklists'!H211&amp;",    "&amp;'form picklists'!I211)</f>
        <v>WTD 311 3.3,    Treatment,    Pumping Equipment - Electrical</v>
      </c>
      <c r="H210" s="103"/>
      <c r="I210" s="103"/>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03" t="str">
        <f>IF(ISBLANK('form picklists'!G212)=TRUE,"",'form picklists'!G212&amp;",    "&amp;'form picklists'!H212&amp;",    "&amp;'form picklists'!I212)</f>
        <v>WTD 311 4,    Distribution,    Circ Station - Pumping Equipment</v>
      </c>
      <c r="H211" s="103"/>
      <c r="I211" s="103"/>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03" t="str">
        <f>IF(ISBLANK('form picklists'!G213)=TRUE,"",'form picklists'!G213&amp;",    "&amp;'form picklists'!H213&amp;",    "&amp;'form picklists'!I213)</f>
        <v>WTD 311 4.1,    Distribution,    SCADA System</v>
      </c>
      <c r="H212" s="103"/>
      <c r="I212" s="103"/>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03" t="str">
        <f>IF(ISBLANK('form picklists'!G214)=TRUE,"",'form picklists'!G214&amp;",    "&amp;'form picklists'!H214&amp;",    "&amp;'form picklists'!I214)</f>
        <v>WTD 311 4.2,    Distribution,    PMP EQ - CIRC ST - MECHANICAL</v>
      </c>
      <c r="H213" s="103"/>
      <c r="I213" s="103"/>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03" t="str">
        <f>IF(ISBLANK('form picklists'!G215)=TRUE,"",'form picklists'!G215&amp;",    "&amp;'form picklists'!H215&amp;",    "&amp;'form picklists'!I215)</f>
        <v>WTD 311 4.3,    Distribution,    PMP EQ - CIRC ST - ELECTRICAL</v>
      </c>
      <c r="H214" s="103"/>
      <c r="I214" s="103"/>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03" t="str">
        <f>IF(ISBLANK('form picklists'!G216)=TRUE,"",'form picklists'!G216&amp;",    "&amp;'form picklists'!H216&amp;",    "&amp;'form picklists'!I216)</f>
        <v>WTD 311 4.4,    Distribution,    PMP EQ - CIRC ST - METER VAULT</v>
      </c>
      <c r="H215" s="103"/>
      <c r="I215" s="103"/>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03" t="str">
        <f>IF(ISBLANK('form picklists'!G217)=TRUE,"",'form picklists'!G217&amp;",    "&amp;'form picklists'!H217&amp;",    "&amp;'form picklists'!I217)</f>
        <v>WTD 320 3,    Treatment,    Water Treatment Equipment</v>
      </c>
      <c r="H216" s="103"/>
      <c r="I216" s="103"/>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03" t="str">
        <f>IF(ISBLANK('form picklists'!G218)=TRUE,"",'form picklists'!G218&amp;",    "&amp;'form picklists'!H218&amp;",    "&amp;'form picklists'!I218)</f>
        <v>WTD 330 4,    Distribution,    Reservoirs and Standpipes</v>
      </c>
      <c r="H217" s="103"/>
      <c r="I217" s="103"/>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03" t="str">
        <f>IF(ISBLANK('form picklists'!G219)=TRUE,"",'form picklists'!G219&amp;",    "&amp;'form picklists'!H219&amp;",    "&amp;'form picklists'!I219)</f>
        <v>WTD 331 4,    Distribution,    Transmission and Distribution Mains</v>
      </c>
      <c r="H218" s="103"/>
      <c r="I218" s="103"/>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03" t="str">
        <f>IF(ISBLANK('form picklists'!G220)=TRUE,"",'form picklists'!G220&amp;",    "&amp;'form picklists'!H220&amp;",    "&amp;'form picklists'!I220)</f>
        <v>WTD 333 4,    Distribution,    Services</v>
      </c>
      <c r="H219" s="103"/>
      <c r="I219" s="103"/>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03" t="str">
        <f>IF(ISBLANK('form picklists'!G221)=TRUE,"",'form picklists'!G221&amp;",    "&amp;'form picklists'!H221&amp;",    "&amp;'form picklists'!I221)</f>
        <v>WTD 334 4,    Distribution,    Meters Installations</v>
      </c>
      <c r="H220" s="103"/>
      <c r="I220" s="103"/>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03" t="str">
        <f>IF(ISBLANK('form picklists'!G222)=TRUE,"",'form picklists'!G222&amp;",    "&amp;'form picklists'!H222&amp;",    "&amp;'form picklists'!I222)</f>
        <v>WTD 334 4.1,    Distribution,    Meters</v>
      </c>
      <c r="H221" s="103"/>
      <c r="I221" s="103"/>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03" t="str">
        <f>IF(ISBLANK('form picklists'!G223)=TRUE,"",'form picklists'!G223&amp;",    "&amp;'form picklists'!H223&amp;",    "&amp;'form picklists'!I223)</f>
        <v>WTD 334 4.2,    Distribution,    Meter AMRs</v>
      </c>
      <c r="H222" s="103"/>
      <c r="I222" s="103"/>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03" t="str">
        <f>IF(ISBLANK('form picklists'!G224)=TRUE,"",'form picklists'!G224&amp;",    "&amp;'form picklists'!H224&amp;",    "&amp;'form picklists'!I224)</f>
        <v>WTD 334 4.5,    Distribution,    Hydrant Meters</v>
      </c>
      <c r="H223" s="103"/>
      <c r="I223" s="103"/>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03" t="str">
        <f>IF(ISBLANK('form picklists'!G225)=TRUE,"",'form picklists'!G225&amp;",    "&amp;'form picklists'!H225&amp;",    "&amp;'form picklists'!I225)</f>
        <v>WTD 335 4,    Distribution,    Hydrants</v>
      </c>
      <c r="H224" s="103"/>
      <c r="I224" s="103"/>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03" t="str">
        <f>IF(ISBLANK('form picklists'!G226)=TRUE,"",'form picklists'!G226&amp;",    "&amp;'form picklists'!H226&amp;",    "&amp;'form picklists'!I226)</f>
        <v>WTD 336 4,    Distribution,    Backflow Prevention Devices</v>
      </c>
      <c r="H225" s="103"/>
      <c r="I225" s="103"/>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03" t="str">
        <f>IF(ISBLANK('form picklists'!G227)=TRUE,"",'form picklists'!G227&amp;",    "&amp;'form picklists'!H227&amp;",    "&amp;'form picklists'!I227)</f>
        <v>WTD 339 1,    Intangible,    Miscellaneous Intangible Plant</v>
      </c>
      <c r="H226" s="103"/>
      <c r="I226" s="103"/>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03" t="str">
        <f>IF(ISBLANK('form picklists'!G228)=TRUE,"",'form picklists'!G228&amp;",    "&amp;'form picklists'!H228&amp;",    "&amp;'form picklists'!I228)</f>
        <v>WTD 339 2,    Source and Pumping,    Other Plant and Misc Equipment</v>
      </c>
      <c r="H227" s="103"/>
      <c r="I227" s="103"/>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03" t="str">
        <f>IF(ISBLANK('form picklists'!G229)=TRUE,"",'form picklists'!G229&amp;",    "&amp;'form picklists'!H229&amp;",    "&amp;'form picklists'!I229)</f>
        <v>WTD 339 3,    Treatment,    Other Plant and Misc Equipment</v>
      </c>
      <c r="H228" s="103"/>
      <c r="I228" s="103"/>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03" t="str">
        <f>IF(ISBLANK('form picklists'!G230)=TRUE,"",'form picklists'!G230&amp;",    "&amp;'form picklists'!H230&amp;",    "&amp;'form picklists'!I230)</f>
        <v>WTD 339 4,    Distribution,    Other Plant and Misc Equipment</v>
      </c>
      <c r="H229" s="103"/>
      <c r="I229" s="103"/>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03" t="str">
        <f>IF(ISBLANK('form picklists'!G231)=TRUE,"",'form picklists'!G231&amp;",    "&amp;'form picklists'!H231&amp;",    "&amp;'form picklists'!I231)</f>
        <v>WTD 340 5,    General Plant,    Office Equipment</v>
      </c>
      <c r="H230" s="103"/>
      <c r="I230" s="103"/>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03" t="str">
        <f>IF(ISBLANK('form picklists'!G232)=TRUE,"",'form picklists'!G232&amp;",    "&amp;'form picklists'!H232&amp;",    "&amp;'form picklists'!I232)</f>
        <v>WTD 340 5.1,    General Plant,    Office Furniture</v>
      </c>
      <c r="H231" s="103"/>
      <c r="I231" s="103"/>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03" t="str">
        <f>IF(ISBLANK('form picklists'!G233)=TRUE,"",'form picklists'!G233&amp;",    "&amp;'form picklists'!H233&amp;",    "&amp;'form picklists'!I233)</f>
        <v>WTD 341 5,    General Plant,    Transportation Equipment 10 YR</v>
      </c>
      <c r="H232" s="103"/>
      <c r="I232" s="103"/>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03" t="str">
        <f>IF(ISBLANK('form picklists'!G234)=TRUE,"",'form picklists'!G234&amp;",    "&amp;'form picklists'!H234&amp;",    "&amp;'form picklists'!I234)</f>
        <v>WTD 341 5.1,    General Plant,    Transportation Equipment 15 YR</v>
      </c>
      <c r="H233" s="103"/>
      <c r="I233" s="103"/>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03" t="str">
        <f>IF(ISBLANK('form picklists'!G235)=TRUE,"",'form picklists'!G235&amp;",    "&amp;'form picklists'!H235&amp;",    "&amp;'form picklists'!I235)</f>
        <v>WTD 341 5.2,    General Plant,    Transportation Equipment 7 YR</v>
      </c>
      <c r="H234" s="103"/>
      <c r="I234" s="103"/>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03" t="str">
        <f>IF(ISBLANK('form picklists'!G236)=TRUE,"",'form picklists'!G236&amp;",    "&amp;'form picklists'!H236&amp;",    "&amp;'form picklists'!I236)</f>
        <v>WTD 342 5,    General Plant,    Stores Equipment</v>
      </c>
      <c r="H235" s="103"/>
      <c r="I235" s="103"/>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03" t="str">
        <f>IF(ISBLANK('form picklists'!G237)=TRUE,"",'form picklists'!G237&amp;",    "&amp;'form picklists'!H237&amp;",    "&amp;'form picklists'!I237)</f>
        <v>WTD 343 5,    General Plant,    Tools, Shop and Garage Equipment 10 YR</v>
      </c>
      <c r="H236" s="103"/>
      <c r="I236" s="103"/>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03" t="str">
        <f>IF(ISBLANK('form picklists'!G238)=TRUE,"",'form picklists'!G238&amp;",    "&amp;'form picklists'!H238&amp;",    "&amp;'form picklists'!I238)</f>
        <v>WTD 343 5.1,    General Plant,    Tools, Shop and Garage Equipment 7 YR</v>
      </c>
      <c r="H237" s="103"/>
      <c r="I237" s="103"/>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03" t="str">
        <f>IF(ISBLANK('form picklists'!G239)=TRUE,"",'form picklists'!G239&amp;",    "&amp;'form picklists'!H239&amp;",    "&amp;'form picklists'!I239)</f>
        <v>WTD 343 5.2,    General Plant,    Tools, Shop and Garage Equipment 5 YR</v>
      </c>
      <c r="H238" s="103"/>
      <c r="I238" s="103"/>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03" t="str">
        <f>IF(ISBLANK('form picklists'!G240)=TRUE,"",'form picklists'!G240&amp;",    "&amp;'form picklists'!H240&amp;",    "&amp;'form picklists'!I240)</f>
        <v>WTD 343 5.3,    General Plant,    Tools, Shop and Garage Equipment 3 YR</v>
      </c>
      <c r="H239" s="103"/>
      <c r="I239" s="103"/>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03" t="str">
        <f>IF(ISBLANK('form picklists'!G241)=TRUE,"",'form picklists'!G241&amp;",    "&amp;'form picklists'!H241&amp;",    "&amp;'form picklists'!I241)</f>
        <v>WTD 344 5,    General Plant,    Laboratory Equipment 10 YR</v>
      </c>
      <c r="H240" s="103"/>
      <c r="I240" s="103"/>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03" t="str">
        <f>IF(ISBLANK('form picklists'!G242)=TRUE,"",'form picklists'!G242&amp;",    "&amp;'form picklists'!H242&amp;",    "&amp;'form picklists'!I242)</f>
        <v>WTD 344 5.1,    General Plant,    Laboratory Equipment 15 YR</v>
      </c>
      <c r="H241" s="103"/>
      <c r="I241" s="103"/>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03" t="str">
        <f>IF(ISBLANK('form picklists'!G243)=TRUE,"",'form picklists'!G243&amp;",    "&amp;'form picklists'!H243&amp;",    "&amp;'form picklists'!I243)</f>
        <v>WTD 344 5.2,    General Plant,    Laboratory Equipment 5 YR</v>
      </c>
      <c r="H242" s="103"/>
      <c r="I242" s="103"/>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03" t="str">
        <f>IF(ISBLANK('form picklists'!G244)=TRUE,"",'form picklists'!G244&amp;",    "&amp;'form picklists'!H244&amp;",    "&amp;'form picklists'!I244)</f>
        <v>WTD 345 5,    General Plant,    Power Operated Equipment 10 YR</v>
      </c>
      <c r="H243" s="103"/>
      <c r="I243" s="103"/>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03" t="str">
        <f>IF(ISBLANK('form picklists'!G245)=TRUE,"",'form picklists'!G245&amp;",    "&amp;'form picklists'!H245&amp;",    "&amp;'form picklists'!I245)</f>
        <v>WTD 345 5.1,    General Plant,    Power Operated Equipment 5 YR</v>
      </c>
      <c r="H244" s="103"/>
      <c r="I244" s="103"/>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03" t="str">
        <f>IF(ISBLANK('form picklists'!G246)=TRUE,"",'form picklists'!G246&amp;",    "&amp;'form picklists'!H246&amp;",    "&amp;'form picklists'!I246)</f>
        <v>WTD 345 5.2,    General Plant,    Power Operated Equipment 20 YR</v>
      </c>
      <c r="H245" s="103"/>
      <c r="I245" s="103"/>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03" t="str">
        <f>IF(ISBLANK('form picklists'!G247)=TRUE,"",'form picklists'!G247&amp;",    "&amp;'form picklists'!H247&amp;",    "&amp;'form picklists'!I247)</f>
        <v>WTD 346 5,    General Plant,    Communication Equipment 5 YR</v>
      </c>
      <c r="H246" s="103"/>
      <c r="I246" s="103"/>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03" t="str">
        <f>IF(ISBLANK('form picklists'!G248)=TRUE,"",'form picklists'!G248&amp;",    "&amp;'form picklists'!H248&amp;",    "&amp;'form picklists'!I248)</f>
        <v>WTD 346 5.1,    General Plant,    Communication Equipment 7 YR</v>
      </c>
      <c r="H247" s="103"/>
      <c r="I247" s="103"/>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03" t="str">
        <f>IF(ISBLANK('form picklists'!G249)=TRUE,"",'form picklists'!G249&amp;",    "&amp;'form picklists'!H249&amp;",    "&amp;'form picklists'!I249)</f>
        <v>WTD 346 5.2,    General Plant,    Communication Equipment 10 YR</v>
      </c>
      <c r="H248" s="103"/>
      <c r="I248" s="103"/>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03" t="str">
        <f>IF(ISBLANK('form picklists'!G250)=TRUE,"",'form picklists'!G250&amp;",    "&amp;'form picklists'!H250&amp;",    "&amp;'form picklists'!I250)</f>
        <v>WTD 346 5.3,    General Plant,    Communication Equipment 15 YR</v>
      </c>
      <c r="H249" s="103"/>
      <c r="I249" s="103"/>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03" t="str">
        <f>IF(ISBLANK('form picklists'!G251)=TRUE,"",'form picklists'!G251&amp;",    "&amp;'form picklists'!H251&amp;",    "&amp;'form picklists'!I251)</f>
        <v>WTD 347 5,    General Plant,    Miscellaneous Equipment</v>
      </c>
      <c r="H250" s="103"/>
      <c r="I250" s="103"/>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03" t="str">
        <f>IF(ISBLANK('form picklists'!G252)=TRUE,"",'form picklists'!G252&amp;",    "&amp;'form picklists'!H252&amp;",    "&amp;'form picklists'!I252)</f>
        <v>WTD 348 5,    General Plant,    Other Tangible Equipment 3YR</v>
      </c>
      <c r="H251" s="103"/>
      <c r="I251" s="103"/>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03" t="str">
        <f>IF(ISBLANK('form picklists'!G253)=TRUE,"",'form picklists'!G253&amp;",    "&amp;'form picklists'!H253&amp;",    "&amp;'form picklists'!I253)</f>
        <v>WTD 348 5.1,    General Plant,    Other Tangible Equipment 5 YR</v>
      </c>
      <c r="H252" s="103"/>
      <c r="I252" s="103"/>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03" t="str">
        <f>IF(ISBLANK('form picklists'!G254)=TRUE,"",'form picklists'!G254&amp;",    "&amp;'form picklists'!H254&amp;",    "&amp;'form picklists'!I254)</f>
        <v>WTD 348 5.2,    General Plant,    Other Tangible Equipment 10 YR</v>
      </c>
      <c r="H253" s="103"/>
      <c r="I253" s="103"/>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03" t="str">
        <f>IF(ISBLANK('form picklists'!G255)=TRUE,"",'form picklists'!G255&amp;",    "&amp;'form picklists'!H255&amp;",    "&amp;'form picklists'!I255)</f>
        <v>WWC 351 1,    Intangible,    Organization</v>
      </c>
      <c r="H254" s="103"/>
      <c r="I254" s="103"/>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03" t="str">
        <f>IF(ISBLANK('form picklists'!G256)=TRUE,"",'form picklists'!G256&amp;",    "&amp;'form picklists'!H256&amp;",    "&amp;'form picklists'!I256)</f>
        <v>WWC 353 2,    Collection,    Land and Land Rights</v>
      </c>
      <c r="H255" s="103"/>
      <c r="I255" s="103"/>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03" t="str">
        <f>IF(ISBLANK('form picklists'!G257)=TRUE,"",'form picklists'!G257&amp;",    "&amp;'form picklists'!H257&amp;",    "&amp;'form picklists'!I257)</f>
        <v>WWC 353 4,    Treatment,    Land and Land Rights</v>
      </c>
      <c r="H256" s="103"/>
      <c r="I256" s="103"/>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03" t="str">
        <f>IF(ISBLANK('form picklists'!G258)=TRUE,"",'form picklists'!G258&amp;",    "&amp;'form picklists'!H258&amp;",    "&amp;'form picklists'!I258)</f>
        <v>WWC 353 7,    General Plant,    Land and Land Rights</v>
      </c>
      <c r="H257" s="103"/>
      <c r="I257" s="103"/>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03" t="str">
        <f>IF(ISBLANK('form picklists'!G259)=TRUE,"",'form picklists'!G259&amp;",    "&amp;'form picklists'!H259&amp;",    "&amp;'form picklists'!I259)</f>
        <v>WWC 354 2,    Collection,    Structures and Improvements</v>
      </c>
      <c r="H258" s="103"/>
      <c r="I258" s="103"/>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03" t="str">
        <f>IF(ISBLANK('form picklists'!G260)=TRUE,"",'form picklists'!G260&amp;",    "&amp;'form picklists'!H260&amp;",    "&amp;'form picklists'!I260)</f>
        <v>WWC 354 3,    System Pumping,    Structures and Improvements</v>
      </c>
      <c r="H259" s="103"/>
      <c r="I259" s="103"/>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03" t="str">
        <f>IF(ISBLANK('form picklists'!G261)=TRUE,"",'form picklists'!G261&amp;",    "&amp;'form picklists'!H261&amp;",    "&amp;'form picklists'!I261)</f>
        <v>WWC 354 4,    Treatment,    Structures and Improvements</v>
      </c>
      <c r="H260" s="103"/>
      <c r="I260" s="103"/>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03" t="str">
        <f>IF(ISBLANK('form picklists'!G262)=TRUE,"",'form picklists'!G262&amp;",    "&amp;'form picklists'!H262&amp;",    "&amp;'form picklists'!I262)</f>
        <v>WWC 354 7,    General Plant,    Structures and Improvements</v>
      </c>
      <c r="H261" s="103"/>
      <c r="I261" s="103"/>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03" t="str">
        <f>IF(ISBLANK('form picklists'!G263)=TRUE,"",'form picklists'!G263&amp;",    "&amp;'form picklists'!H263&amp;",    "&amp;'form picklists'!I263)</f>
        <v>WWC 355 2,    Collection,    Power Generation Equipment</v>
      </c>
      <c r="H262" s="103"/>
      <c r="I262" s="103"/>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03" t="str">
        <f>IF(ISBLANK('form picklists'!G264)=TRUE,"",'form picklists'!G264&amp;",    "&amp;'form picklists'!H264&amp;",    "&amp;'form picklists'!I264)</f>
        <v>WWC 355 4,    Treatment,    Power Generation Equipment</v>
      </c>
      <c r="H263" s="103"/>
      <c r="I263" s="103"/>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03" t="str">
        <f>IF(ISBLANK('form picklists'!G265)=TRUE,"",'form picklists'!G265&amp;",    "&amp;'form picklists'!H265&amp;",    "&amp;'form picklists'!I265)</f>
        <v>WWC 360 2,    Collection,    Sewer Mains Force</v>
      </c>
      <c r="H264" s="103"/>
      <c r="I264" s="103"/>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03" t="str">
        <f>IF(ISBLANK('form picklists'!G266)=TRUE,"",'form picklists'!G266&amp;",    "&amp;'form picklists'!H266&amp;",    "&amp;'form picklists'!I266)</f>
        <v>WWC 361 2,    Collection,    Sewer Mains Gravity</v>
      </c>
      <c r="H265" s="103"/>
      <c r="I265" s="103"/>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03" t="str">
        <f>IF(ISBLANK('form picklists'!G267)=TRUE,"",'form picklists'!G267&amp;",    "&amp;'form picklists'!H267&amp;",    "&amp;'form picklists'!I267)</f>
        <v>WWC 361 2.1,    Collection,    Sewer Mains GV - Manholes</v>
      </c>
      <c r="H266" s="103"/>
      <c r="I266" s="103"/>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03" t="str">
        <f>IF(ISBLANK('form picklists'!G268)=TRUE,"",'form picklists'!G268&amp;",    "&amp;'form picklists'!H268&amp;",    "&amp;'form picklists'!I268)</f>
        <v>WWC 361 2.2,    Collection,    Sewer Mains GV - Flushwells</v>
      </c>
      <c r="H267" s="103"/>
      <c r="I267" s="103"/>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03" t="str">
        <f>IF(ISBLANK('form picklists'!G269)=TRUE,"",'form picklists'!G269&amp;",    "&amp;'form picklists'!H269&amp;",    "&amp;'form picklists'!I269)</f>
        <v>WWC 361 2.3,    Collection,    Sewer Mains GV - Metering Manholes</v>
      </c>
      <c r="H268" s="103"/>
      <c r="I268" s="103"/>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03" t="str">
        <f>IF(ISBLANK('form picklists'!G270)=TRUE,"",'form picklists'!G270&amp;",    "&amp;'form picklists'!H270&amp;",    "&amp;'form picklists'!I270)</f>
        <v>WWC 362 2,    Collection,    Special Collecting Structures</v>
      </c>
      <c r="H269" s="103"/>
      <c r="I269" s="103"/>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03" t="str">
        <f>IF(ISBLANK('form picklists'!G271)=TRUE,"",'form picklists'!G271&amp;",    "&amp;'form picklists'!H271&amp;",    "&amp;'form picklists'!I271)</f>
        <v>WWC 363 2,    Collection,    Services to Customers</v>
      </c>
      <c r="H270" s="103"/>
      <c r="I270" s="103"/>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03" t="str">
        <f>IF(ISBLANK('form picklists'!G272)=TRUE,"",'form picklists'!G272&amp;",    "&amp;'form picklists'!H272&amp;",    "&amp;'form picklists'!I272)</f>
        <v>WWC 364 2,    Collection,    Flow Measuring Devices 15 yr</v>
      </c>
      <c r="H271" s="103"/>
      <c r="I271" s="103"/>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03" t="str">
        <f>IF(ISBLANK('form picklists'!G273)=TRUE,"",'form picklists'!G273&amp;",    "&amp;'form picklists'!H273&amp;",    "&amp;'form picklists'!I273)</f>
        <v>WWC 364 2.1,    Collection,    Flow Measuring Devices 10 yr</v>
      </c>
      <c r="H272" s="103"/>
      <c r="I272" s="103"/>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03" t="str">
        <f>IF(ISBLANK('form picklists'!G274)=TRUE,"",'form picklists'!G274&amp;",    "&amp;'form picklists'!H274&amp;",    "&amp;'form picklists'!I274)</f>
        <v>WWC 364 2.2,    Collection,    Flow Measuring Devices - Meters</v>
      </c>
      <c r="H273" s="103"/>
      <c r="I273" s="103"/>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03" t="str">
        <f>IF(ISBLANK('form picklists'!G275)=TRUE,"",'form picklists'!G275&amp;",    "&amp;'form picklists'!H275&amp;",    "&amp;'form picklists'!I275)</f>
        <v>WWC 364 2.3,    Collection,    Flow Measuring Devices - SCADA</v>
      </c>
      <c r="H274" s="103"/>
      <c r="I274" s="103"/>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03" t="str">
        <f>IF(ISBLANK('form picklists'!G276)=TRUE,"",'form picklists'!G276&amp;",    "&amp;'form picklists'!H276&amp;",    "&amp;'form picklists'!I276)</f>
        <v>WWC 364 2.4,    Collection,    Flow Measuring Devices - Vaults</v>
      </c>
      <c r="H275" s="103"/>
      <c r="I275" s="103"/>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03" t="str">
        <f>IF(ISBLANK('form picklists'!G277)=TRUE,"",'form picklists'!G277&amp;",    "&amp;'form picklists'!H277&amp;",    "&amp;'form picklists'!I277)</f>
        <v>WWC 365 2,    Collection,    Flow Measuring Installations</v>
      </c>
      <c r="H276" s="103"/>
      <c r="I276" s="103"/>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03" t="str">
        <f>IF(ISBLANK('form picklists'!G278)=TRUE,"",'form picklists'!G278&amp;",    "&amp;'form picklists'!H278&amp;",    "&amp;'form picklists'!I278)</f>
        <v>WWC 367 6,    Collection,    S Meter</v>
      </c>
      <c r="H277" s="103"/>
      <c r="I277" s="103"/>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03" t="str">
        <f>IF(ISBLANK('form picklists'!G279)=TRUE,"",'form picklists'!G279&amp;",    "&amp;'form picklists'!H279&amp;",    "&amp;'form picklists'!I279)</f>
        <v>WWC 370 3,    System Pumping,    Receiving Wells</v>
      </c>
      <c r="H278" s="103"/>
      <c r="I278" s="103"/>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03" t="str">
        <f>IF(ISBLANK('form picklists'!G280)=TRUE,"",'form picklists'!G280&amp;",    "&amp;'form picklists'!H280&amp;",    "&amp;'form picklists'!I280)</f>
        <v>WWC 371 3,    System Pumping,    Pumping Equipment 15 YR</v>
      </c>
      <c r="H279" s="103"/>
      <c r="I279" s="103"/>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03" t="str">
        <f>IF(ISBLANK('form picklists'!G281)=TRUE,"",'form picklists'!G281&amp;",    "&amp;'form picklists'!H281&amp;",    "&amp;'form picklists'!I281)</f>
        <v>WWC 371 3.1,    System Pumping,    Pumping Equipment Mechanical 20 YR</v>
      </c>
      <c r="H280" s="103"/>
      <c r="I280" s="103"/>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03" t="str">
        <f>IF(ISBLANK('form picklists'!G282)=TRUE,"",'form picklists'!G282&amp;",    "&amp;'form picklists'!H282&amp;",    "&amp;'form picklists'!I282)</f>
        <v>WWC 371 3.2,    System Pumping,    Pumping Equipment Electrical 20 YR</v>
      </c>
      <c r="H281" s="103"/>
      <c r="I281" s="103"/>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03" t="str">
        <f>IF(ISBLANK('form picklists'!G283)=TRUE,"",'form picklists'!G283&amp;",    "&amp;'form picklists'!H283&amp;",    "&amp;'form picklists'!I283)</f>
        <v>WWC 371 3.3,    System Pumping,    Pumping Equipment SCADA 15 YR</v>
      </c>
      <c r="H282" s="103"/>
      <c r="I282" s="103"/>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03" t="str">
        <f>IF(ISBLANK('form picklists'!G284)=TRUE,"",'form picklists'!G284&amp;",    "&amp;'form picklists'!H284&amp;",    "&amp;'form picklists'!I284)</f>
        <v>WWC 380 4,    Treatment,    Treatment and Disposal Equipment 50 YR</v>
      </c>
      <c r="H283" s="103"/>
      <c r="I283" s="103"/>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03" t="str">
        <f>IF(ISBLANK('form picklists'!G285)=TRUE,"",'form picklists'!G285&amp;",    "&amp;'form picklists'!H285&amp;",    "&amp;'form picklists'!I285)</f>
        <v>WWC 381 4,    Treatment,    Plant Sewers</v>
      </c>
      <c r="H284" s="103"/>
      <c r="I284" s="103"/>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03" t="str">
        <f>IF(ISBLANK('form picklists'!G286)=TRUE,"",'form picklists'!G286&amp;",    "&amp;'form picklists'!H286&amp;",    "&amp;'form picklists'!I286)</f>
        <v>WWC 382 4,    Treatment,    Outfall Sewer Lines</v>
      </c>
      <c r="H285" s="103"/>
      <c r="I285" s="103"/>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03" t="str">
        <f>IF(ISBLANK('form picklists'!G287)=TRUE,"",'form picklists'!G287&amp;",    "&amp;'form picklists'!H287&amp;",    "&amp;'form picklists'!I287)</f>
        <v>WWC 389 1,    Intangible,    Miscellaneous Intangible Plant</v>
      </c>
      <c r="H286" s="103"/>
      <c r="I286" s="103"/>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03" t="str">
        <f>IF(ISBLANK('form picklists'!G288)=TRUE,"",'form picklists'!G288&amp;",    "&amp;'form picklists'!H288&amp;",    "&amp;'form picklists'!I288)</f>
        <v>WWC 389 2,    Collection,    Other Plant and Miscellaneous Equipment</v>
      </c>
      <c r="H287" s="103"/>
      <c r="I287" s="103"/>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03" t="str">
        <f>IF(ISBLANK('form picklists'!G289)=TRUE,"",'form picklists'!G289&amp;",    "&amp;'form picklists'!H289&amp;",    "&amp;'form picklists'!I289)</f>
        <v>WWC 389 4,    Treatment,    Other Plant and Miscellaneous Equipment</v>
      </c>
      <c r="H288" s="103"/>
      <c r="I288" s="103"/>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03" t="str">
        <f>IF(ISBLANK('form picklists'!G290)=TRUE,"",'form picklists'!G290&amp;",    "&amp;'form picklists'!H290&amp;",    "&amp;'form picklists'!I290)</f>
        <v>WWC 390 7,    General Plant,    Office Equipment 5 YR</v>
      </c>
      <c r="H289" s="103"/>
      <c r="I289" s="103"/>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03" t="str">
        <f>IF(ISBLANK('form picklists'!G291)=TRUE,"",'form picklists'!G291&amp;",    "&amp;'form picklists'!H291&amp;",    "&amp;'form picklists'!I291)</f>
        <v>WWC 390 7.1,    General Plant,    Office Furniture 10 YR</v>
      </c>
      <c r="H290" s="103"/>
      <c r="I290" s="103"/>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03" t="str">
        <f>IF(ISBLANK('form picklists'!G292)=TRUE,"",'form picklists'!G292&amp;",    "&amp;'form picklists'!H292&amp;",    "&amp;'form picklists'!I292)</f>
        <v>WWC 390 7.2,    General Plant,    Office Furniture and Equipment 2 YR</v>
      </c>
      <c r="H291" s="103"/>
      <c r="I291" s="103"/>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03" t="str">
        <f>IF(ISBLANK('form picklists'!G293)=TRUE,"",'form picklists'!G293&amp;",    "&amp;'form picklists'!H293&amp;",    "&amp;'form picklists'!I293)</f>
        <v>WWC 391 7,    General Plant,    Transportation Equipment 10 YR</v>
      </c>
      <c r="H292" s="103"/>
      <c r="I292" s="103"/>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03" t="str">
        <f>IF(ISBLANK('form picklists'!G294)=TRUE,"",'form picklists'!G294&amp;",    "&amp;'form picklists'!H294&amp;",    "&amp;'form picklists'!I294)</f>
        <v>WWC 391 7.1,    General Plant,    Transportation Equipment 5 YR</v>
      </c>
      <c r="H293" s="103"/>
      <c r="I293" s="103"/>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03" t="str">
        <f>IF(ISBLANK('form picklists'!G295)=TRUE,"",'form picklists'!G295&amp;",    "&amp;'form picklists'!H295&amp;",    "&amp;'form picklists'!I295)</f>
        <v>WWC 391 7.2,    General Plant,    Transportation Equipment 15 YR</v>
      </c>
      <c r="H294" s="103"/>
      <c r="I294" s="103"/>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03" t="str">
        <f>IF(ISBLANK('form picklists'!G296)=TRUE,"",'form picklists'!G296&amp;",    "&amp;'form picklists'!H296&amp;",    "&amp;'form picklists'!I296)</f>
        <v>WWC 391 7.3,    General Plant,    Transportation Equipment 20 YR</v>
      </c>
      <c r="H295" s="103"/>
      <c r="I295" s="103"/>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03" t="str">
        <f>IF(ISBLANK('form picklists'!G297)=TRUE,"",'form picklists'!G297&amp;",    "&amp;'form picklists'!H297&amp;",    "&amp;'form picklists'!I297)</f>
        <v>WWC 392 7,    General Plant,    Stores Equipment</v>
      </c>
      <c r="H296" s="103"/>
      <c r="I296" s="103"/>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03" t="str">
        <f>IF(ISBLANK('form picklists'!G298)=TRUE,"",'form picklists'!G298&amp;",    "&amp;'form picklists'!H298&amp;",    "&amp;'form picklists'!I298)</f>
        <v>WWC 393 7,    General Plant,    Tools Shop and Garage Equipment 7 YR</v>
      </c>
      <c r="H297" s="103"/>
      <c r="I297" s="103"/>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03" t="str">
        <f>IF(ISBLANK('form picklists'!G299)=TRUE,"",'form picklists'!G299&amp;",    "&amp;'form picklists'!H299&amp;",    "&amp;'form picklists'!I299)</f>
        <v>WWC 393 7.1,    General Plant,    Tools Shop and Garage Equipment 5 YR</v>
      </c>
      <c r="H298" s="103"/>
      <c r="I298" s="103"/>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03" t="str">
        <f>IF(ISBLANK('form picklists'!G300)=TRUE,"",'form picklists'!G300&amp;",    "&amp;'form picklists'!H300&amp;",    "&amp;'form picklists'!I300)</f>
        <v>WWC 394 7,    General Plant,    Laboratory Equipment</v>
      </c>
      <c r="H299" s="103"/>
      <c r="I299" s="103"/>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03" t="str">
        <f>IF(ISBLANK('form picklists'!G301)=TRUE,"",'form picklists'!G301&amp;",    "&amp;'form picklists'!H301&amp;",    "&amp;'form picklists'!I301)</f>
        <v>WWC 395 7,    General Plant,    Power Operated Equipment 10 YR</v>
      </c>
      <c r="H300" s="103"/>
      <c r="I300" s="103"/>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03" t="str">
        <f>IF(ISBLANK('form picklists'!G302)=TRUE,"",'form picklists'!G302&amp;",    "&amp;'form picklists'!H302&amp;",    "&amp;'form picklists'!I302)</f>
        <v>WWC 395 7.1,    General Plant,    Power Operated Equipment 7 YR</v>
      </c>
      <c r="H301" s="103"/>
      <c r="I301" s="103"/>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03" t="str">
        <f>IF(ISBLANK('form picklists'!G303)=TRUE,"",'form picklists'!G303&amp;",    "&amp;'form picklists'!H303&amp;",    "&amp;'form picklists'!I303)</f>
        <v>WWC 395 7.2,    General Plant,    Power Operated Equipment 5 YR</v>
      </c>
      <c r="H302" s="103"/>
      <c r="I302" s="103"/>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03" t="str">
        <f>IF(ISBLANK('form picklists'!G304)=TRUE,"",'form picklists'!G304&amp;",    "&amp;'form picklists'!H304&amp;",    "&amp;'form picklists'!I304)</f>
        <v>WWC 396 7,    General Plant,    Communication Equipment 15 YR</v>
      </c>
      <c r="H303" s="103"/>
      <c r="I303" s="103"/>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03" t="str">
        <f>IF(ISBLANK('form picklists'!G305)=TRUE,"",'form picklists'!G305&amp;",    "&amp;'form picklists'!H305&amp;",    "&amp;'form picklists'!I305)</f>
        <v>WWC 396 7.1,    General Plant,    SCADA System</v>
      </c>
      <c r="H304" s="103"/>
      <c r="I304" s="103"/>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03" t="str">
        <f>IF(ISBLANK('form picklists'!G306)=TRUE,"",'form picklists'!G306&amp;",    "&amp;'form picklists'!H306&amp;",    "&amp;'form picklists'!I306)</f>
        <v>WWC 396 7.2,    General Plant,    Communication Equipment 10 YR</v>
      </c>
      <c r="H305" s="103"/>
      <c r="I305" s="103"/>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03" t="str">
        <f>IF(ISBLANK('form picklists'!G307)=TRUE,"",'form picklists'!G307&amp;",    "&amp;'form picklists'!H307&amp;",    "&amp;'form picklists'!I307)</f>
        <v>WWC 396 7.3,    General Plant,    Communication Equipment 7 YR</v>
      </c>
      <c r="H306" s="103"/>
      <c r="I306" s="103"/>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03" t="str">
        <f>IF(ISBLANK('form picklists'!G308)=TRUE,"",'form picklists'!G308&amp;",    "&amp;'form picklists'!H308&amp;",    "&amp;'form picklists'!I308)</f>
        <v>WWC 396 7.4,    General Plant,    Communication Equipment 5 YR</v>
      </c>
      <c r="H307" s="103"/>
      <c r="I307" s="103"/>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03" t="str">
        <f>IF(ISBLANK('form picklists'!G309)=TRUE,"",'form picklists'!G309&amp;",    "&amp;'form picklists'!H309&amp;",    "&amp;'form picklists'!I309)</f>
        <v>WWC 397 7,    General Plant,    Miscellaneous Equipment</v>
      </c>
      <c r="H308" s="103"/>
      <c r="I308" s="103"/>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03" t="str">
        <f>IF(ISBLANK('form picklists'!G310)=TRUE,"",'form picklists'!G310&amp;",    "&amp;'form picklists'!H310&amp;",    "&amp;'form picklists'!I310)</f>
        <v>WWC 398 7,    General Plant,    Other Tangible Equipment 15 YR</v>
      </c>
      <c r="H309" s="103"/>
      <c r="I309" s="103"/>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03" t="str">
        <f>IF(ISBLANK('form picklists'!G311)=TRUE,"",'form picklists'!G311&amp;",    "&amp;'form picklists'!H311&amp;",    "&amp;'form picklists'!I311)</f>
        <v>WWC 398 7.1,    General Plant,    Other Tangible Equipment 5 YR</v>
      </c>
      <c r="H310" s="103"/>
      <c r="I310" s="103"/>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03" t="str">
        <f>IF(ISBLANK('form picklists'!G312)=TRUE,"",'form picklists'!G312&amp;",    "&amp;'form picklists'!H312&amp;",    "&amp;'form picklists'!I312)</f>
        <v/>
      </c>
      <c r="H311" s="103"/>
      <c r="I311" s="103"/>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03" t="str">
        <f>IF(ISBLANK('form picklists'!G313)=TRUE,"",'form picklists'!G313&amp;",    "&amp;'form picklists'!H313&amp;",    "&amp;'form picklists'!I313)</f>
        <v/>
      </c>
      <c r="H312" s="103"/>
      <c r="I312" s="103"/>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03" t="str">
        <f>IF(ISBLANK('form picklists'!G314)=TRUE,"",'form picklists'!G314&amp;",    "&amp;'form picklists'!H314&amp;",    "&amp;'form picklists'!I314)</f>
        <v/>
      </c>
      <c r="H313" s="103"/>
      <c r="I313" s="103"/>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03" t="str">
        <f>IF(ISBLANK('form picklists'!G315)=TRUE,"",'form picklists'!G315&amp;",    "&amp;'form picklists'!H315&amp;",    "&amp;'form picklists'!I315)</f>
        <v/>
      </c>
      <c r="H314" s="103"/>
      <c r="I314" s="103"/>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03" t="str">
        <f>IF(ISBLANK('form picklists'!G316)=TRUE,"",'form picklists'!G316&amp;",    "&amp;'form picklists'!H316&amp;",    "&amp;'form picklists'!I316)</f>
        <v/>
      </c>
      <c r="H315" s="103"/>
      <c r="I315" s="103"/>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03" t="str">
        <f>IF(ISBLANK('form picklists'!G317)=TRUE,"",'form picklists'!G317&amp;",    "&amp;'form picklists'!H317&amp;",    "&amp;'form picklists'!I317)</f>
        <v/>
      </c>
      <c r="H316" s="103"/>
      <c r="I316" s="103"/>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03" t="str">
        <f>IF(ISBLANK('form picklists'!G318)=TRUE,"",'form picklists'!G318&amp;",    "&amp;'form picklists'!H318&amp;",    "&amp;'form picklists'!I318)</f>
        <v/>
      </c>
      <c r="H317" s="103"/>
      <c r="I317" s="103"/>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03" t="str">
        <f>IF(ISBLANK('form picklists'!G319)=TRUE,"",'form picklists'!G319&amp;",    "&amp;'form picklists'!H319&amp;",    "&amp;'form picklists'!I319)</f>
        <v/>
      </c>
      <c r="H318" s="103"/>
      <c r="I318" s="103"/>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03" t="str">
        <f>IF(ISBLANK('form picklists'!G320)=TRUE,"",'form picklists'!G320&amp;",    "&amp;'form picklists'!H320&amp;",    "&amp;'form picklists'!I320)</f>
        <v/>
      </c>
      <c r="H319" s="103"/>
      <c r="I319" s="103"/>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03" t="str">
        <f>IF(ISBLANK('form picklists'!G321)=TRUE,"",'form picklists'!G321&amp;",    "&amp;'form picklists'!H321&amp;",    "&amp;'form picklists'!I321)</f>
        <v/>
      </c>
      <c r="H320" s="103"/>
      <c r="I320" s="103"/>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03" t="str">
        <f>IF(ISBLANK('form picklists'!G322)=TRUE,"",'form picklists'!G322&amp;",    "&amp;'form picklists'!H322&amp;",    "&amp;'form picklists'!I322)</f>
        <v/>
      </c>
      <c r="H321" s="103"/>
      <c r="I321" s="103"/>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03" t="str">
        <f>IF(ISBLANK('form picklists'!G323)=TRUE,"",'form picklists'!G323&amp;",    "&amp;'form picklists'!H323&amp;",    "&amp;'form picklists'!I323)</f>
        <v/>
      </c>
      <c r="H322" s="103"/>
      <c r="I322" s="103"/>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03" t="str">
        <f>IF(ISBLANK('form picklists'!G324)=TRUE,"",'form picklists'!G324&amp;",    "&amp;'form picklists'!H324&amp;",    "&amp;'form picklists'!I324)</f>
        <v/>
      </c>
      <c r="H323" s="103"/>
      <c r="I323" s="103"/>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03" t="str">
        <f>IF(ISBLANK('form picklists'!G325)=TRUE,"",'form picklists'!G325&amp;",    "&amp;'form picklists'!H325&amp;",    "&amp;'form picklists'!I325)</f>
        <v/>
      </c>
      <c r="H324" s="103"/>
      <c r="I324" s="103"/>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03" t="str">
        <f>IF(ISBLANK('form picklists'!G326)=TRUE,"",'form picklists'!G326&amp;",    "&amp;'form picklists'!H326&amp;",    "&amp;'form picklists'!I326)</f>
        <v/>
      </c>
      <c r="H325" s="103"/>
      <c r="I325" s="103"/>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03" t="str">
        <f>IF(ISBLANK('form picklists'!G327)=TRUE,"",'form picklists'!G327&amp;",    "&amp;'form picklists'!H327&amp;",    "&amp;'form picklists'!I327)</f>
        <v/>
      </c>
      <c r="H326" s="103"/>
      <c r="I326" s="103"/>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03" t="str">
        <f>IF(ISBLANK('form picklists'!G328)=TRUE,"",'form picklists'!G328&amp;",    "&amp;'form picklists'!H328&amp;",    "&amp;'form picklists'!I328)</f>
        <v/>
      </c>
      <c r="H327" s="103"/>
      <c r="I327" s="103"/>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03" t="str">
        <f>IF(ISBLANK('form picklists'!G329)=TRUE,"",'form picklists'!G329&amp;",    "&amp;'form picklists'!H329&amp;",    "&amp;'form picklists'!I329)</f>
        <v/>
      </c>
      <c r="H328" s="103"/>
      <c r="I328" s="103"/>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03" t="str">
        <f>IF(ISBLANK('form picklists'!G330)=TRUE,"",'form picklists'!G330&amp;",    "&amp;'form picklists'!H330&amp;",    "&amp;'form picklists'!I330)</f>
        <v/>
      </c>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03" t="str">
        <f>IF(ISBLANK('form picklists'!G331)=TRUE,"",'form picklists'!G331&amp;",    "&amp;'form picklists'!H331&amp;",    "&amp;'form picklists'!I331)</f>
        <v/>
      </c>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03" t="str">
        <f>IF(ISBLANK('form picklists'!G332)=TRUE,"",'form picklists'!G332&amp;",    "&amp;'form picklists'!H332&amp;",    "&amp;'form picklists'!I332)</f>
        <v/>
      </c>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03" t="str">
        <f>IF(ISBLANK('form picklists'!G333)=TRUE,"",'form picklists'!G333&amp;",    "&amp;'form picklists'!H333&amp;",    "&amp;'form picklists'!I333)</f>
        <v/>
      </c>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03" t="str">
        <f>IF(ISBLANK('form picklists'!G334)=TRUE,"",'form picklists'!G334&amp;",    "&amp;'form picklists'!H334&amp;",    "&amp;'form picklists'!I334)</f>
        <v/>
      </c>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03" t="str">
        <f>IF(ISBLANK('form picklists'!G335)=TRUE,"",'form picklists'!G335&amp;",    "&amp;'form picklists'!H335&amp;",    "&amp;'form picklists'!I335)</f>
        <v/>
      </c>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03" t="str">
        <f>IF(ISBLANK('form picklists'!G336)=TRUE,"",'form picklists'!G336&amp;",    "&amp;'form picklists'!H336&amp;",    "&amp;'form picklists'!I336)</f>
        <v/>
      </c>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03" t="str">
        <f>IF(ISBLANK('form picklists'!G337)=TRUE,"",'form picklists'!G337&amp;",    "&amp;'form picklists'!H337&amp;",    "&amp;'form picklists'!I337)</f>
        <v/>
      </c>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03" t="str">
        <f>IF(ISBLANK('form picklists'!G338)=TRUE,"",'form picklists'!G338&amp;",    "&amp;'form picklists'!H338&amp;",    "&amp;'form picklists'!I338)</f>
        <v/>
      </c>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03" t="str">
        <f>IF(ISBLANK('form picklists'!G339)=TRUE,"",'form picklists'!G339&amp;",    "&amp;'form picklists'!H339&amp;",    "&amp;'form picklists'!I339)</f>
        <v/>
      </c>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03" t="str">
        <f>IF(ISBLANK('form picklists'!G340)=TRUE,"",'form picklists'!G340&amp;",    "&amp;'form picklists'!H340&amp;",    "&amp;'form picklists'!I340)</f>
        <v/>
      </c>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03" t="str">
        <f>IF(ISBLANK('form picklists'!G341)=TRUE,"",'form picklists'!G341&amp;",    "&amp;'form picklists'!H341&amp;",    "&amp;'form picklists'!I341)</f>
        <v/>
      </c>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03" t="str">
        <f>IF(ISBLANK('form picklists'!G342)=TRUE,"",'form picklists'!G342&amp;",    "&amp;'form picklists'!H342&amp;",    "&amp;'form picklists'!I342)</f>
        <v/>
      </c>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03" t="str">
        <f>IF(ISBLANK('form picklists'!G343)=TRUE,"",'form picklists'!G343&amp;",    "&amp;'form picklists'!H343&amp;",    "&amp;'form picklists'!I343)</f>
        <v/>
      </c>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03" t="str">
        <f>IF(ISBLANK('form picklists'!G344)=TRUE,"",'form picklists'!G344&amp;",    "&amp;'form picklists'!H344&amp;",    "&amp;'form picklists'!I344)</f>
        <v/>
      </c>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03" t="str">
        <f>IF(ISBLANK('form picklists'!G345)=TRUE,"",'form picklists'!G345&amp;",    "&amp;'form picklists'!H345&amp;",    "&amp;'form picklists'!I345)</f>
        <v/>
      </c>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03" t="str">
        <f>IF(ISBLANK('form picklists'!G346)=TRUE,"",'form picklists'!G346&amp;",    "&amp;'form picklists'!H346&amp;",    "&amp;'form picklists'!I346)</f>
        <v/>
      </c>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03" t="str">
        <f>IF(ISBLANK('form picklists'!G347)=TRUE,"",'form picklists'!G347&amp;",    "&amp;'form picklists'!H347&amp;",    "&amp;'form picklists'!I347)</f>
        <v/>
      </c>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03" t="str">
        <f>IF(ISBLANK('form picklists'!G348)=TRUE,"",'form picklists'!G348&amp;",    "&amp;'form picklists'!H348&amp;",    "&amp;'form picklists'!I348)</f>
        <v/>
      </c>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03" t="str">
        <f>IF(ISBLANK('form picklists'!G349)=TRUE,"",'form picklists'!G349&amp;",    "&amp;'form picklists'!H349&amp;",    "&amp;'form picklists'!I349)</f>
        <v/>
      </c>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03" t="str">
        <f>IF(ISBLANK('form picklists'!G350)=TRUE,"",'form picklists'!G350&amp;",    "&amp;'form picklists'!H350&amp;",    "&amp;'form picklists'!I350)</f>
        <v/>
      </c>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03" t="str">
        <f>IF(ISBLANK('form picklists'!G351)=TRUE,"",'form picklists'!G351&amp;",    "&amp;'form picklists'!H351&amp;",    "&amp;'form picklists'!I351)</f>
        <v/>
      </c>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03" t="str">
        <f>IF(ISBLANK('form picklists'!G352)=TRUE,"",'form picklists'!G352&amp;",    "&amp;'form picklists'!H352&amp;",    "&amp;'form picklists'!I352)</f>
        <v/>
      </c>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03" t="str">
        <f>IF(ISBLANK('form picklists'!G353)=TRUE,"",'form picklists'!G353&amp;",    "&amp;'form picklists'!H353&amp;",    "&amp;'form picklists'!I353)</f>
        <v/>
      </c>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03" t="str">
        <f>IF(ISBLANK('form picklists'!G354)=TRUE,"",'form picklists'!G354&amp;",    "&amp;'form picklists'!H354&amp;",    "&amp;'form picklists'!I354)</f>
        <v/>
      </c>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03" t="str">
        <f>IF(ISBLANK('form picklists'!G355)=TRUE,"",'form picklists'!G355&amp;",    "&amp;'form picklists'!H355&amp;",    "&amp;'form picklists'!I355)</f>
        <v/>
      </c>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03" t="str">
        <f>IF(ISBLANK('form picklists'!G356)=TRUE,"",'form picklists'!G356&amp;",    "&amp;'form picklists'!H356&amp;",    "&amp;'form picklists'!I356)</f>
        <v/>
      </c>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03" t="str">
        <f>IF(ISBLANK('form picklists'!G357)=TRUE,"",'form picklists'!G357&amp;",    "&amp;'form picklists'!H357&amp;",    "&amp;'form picklists'!I357)</f>
        <v/>
      </c>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03" t="str">
        <f>IF(ISBLANK('form picklists'!G358)=TRUE,"",'form picklists'!G358&amp;",    "&amp;'form picklists'!H358&amp;",    "&amp;'form picklists'!I358)</f>
        <v/>
      </c>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03" t="str">
        <f>IF(ISBLANK('form picklists'!G359)=TRUE,"",'form picklists'!G359&amp;",    "&amp;'form picklists'!H359&amp;",    "&amp;'form picklists'!I359)</f>
        <v/>
      </c>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03" t="str">
        <f>IF(ISBLANK('form picklists'!G360)=TRUE,"",'form picklists'!G360&amp;",    "&amp;'form picklists'!H360&amp;",    "&amp;'form picklists'!I360)</f>
        <v/>
      </c>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03" t="str">
        <f>IF(ISBLANK('form picklists'!G361)=TRUE,"",'form picklists'!G361&amp;",    "&amp;'form picklists'!H361&amp;",    "&amp;'form picklists'!I361)</f>
        <v/>
      </c>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03" t="str">
        <f>IF(ISBLANK('form picklists'!G362)=TRUE,"",'form picklists'!G362&amp;",    "&amp;'form picklists'!H362&amp;",    "&amp;'form picklists'!I362)</f>
        <v/>
      </c>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03" t="str">
        <f>IF(ISBLANK('form picklists'!G363)=TRUE,"",'form picklists'!G363&amp;",    "&amp;'form picklists'!H363&amp;",    "&amp;'form picklists'!I363)</f>
        <v/>
      </c>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03" t="str">
        <f>IF(ISBLANK('form picklists'!G364)=TRUE,"",'form picklists'!G364&amp;",    "&amp;'form picklists'!H364&amp;",    "&amp;'form picklists'!I364)</f>
        <v/>
      </c>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03" t="str">
        <f>IF(ISBLANK('form picklists'!G365)=TRUE,"",'form picklists'!G365&amp;",    "&amp;'form picklists'!H365&amp;",    "&amp;'form picklists'!I365)</f>
        <v/>
      </c>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03" t="str">
        <f>IF(ISBLANK('form picklists'!G366)=TRUE,"",'form picklists'!G366&amp;",    "&amp;'form picklists'!H366&amp;",    "&amp;'form picklists'!I366)</f>
        <v/>
      </c>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03" t="str">
        <f>IF(ISBLANK('form picklists'!G367)=TRUE,"",'form picklists'!G367&amp;",    "&amp;'form picklists'!H367&amp;",    "&amp;'form picklists'!I367)</f>
        <v/>
      </c>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03" t="str">
        <f>IF(ISBLANK('form picklists'!G368)=TRUE,"",'form picklists'!G368&amp;",    "&amp;'form picklists'!H368&amp;",    "&amp;'form picklists'!I368)</f>
        <v/>
      </c>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03" t="str">
        <f>IF(ISBLANK('form picklists'!G369)=TRUE,"",'form picklists'!G369&amp;",    "&amp;'form picklists'!H369&amp;",    "&amp;'form picklists'!I369)</f>
        <v/>
      </c>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03" t="str">
        <f>IF(ISBLANK('form picklists'!G370)=TRUE,"",'form picklists'!G370&amp;",    "&amp;'form picklists'!H370&amp;",    "&amp;'form picklists'!I370)</f>
        <v/>
      </c>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03" t="str">
        <f>IF(ISBLANK('form picklists'!G371)=TRUE,"",'form picklists'!G371&amp;",    "&amp;'form picklists'!H371&amp;",    "&amp;'form picklists'!I371)</f>
        <v/>
      </c>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03" t="str">
        <f>IF(ISBLANK('form picklists'!G372)=TRUE,"",'form picklists'!G372&amp;",    "&amp;'form picklists'!H372&amp;",    "&amp;'form picklists'!I372)</f>
        <v/>
      </c>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03" t="str">
        <f>IF(ISBLANK('form picklists'!G373)=TRUE,"",'form picklists'!G373&amp;",    "&amp;'form picklists'!H373&amp;",    "&amp;'form picklists'!I373)</f>
        <v/>
      </c>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03" t="str">
        <f>IF(ISBLANK('form picklists'!G374)=TRUE,"",'form picklists'!G374&amp;",    "&amp;'form picklists'!H374&amp;",    "&amp;'form picklists'!I374)</f>
        <v/>
      </c>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39814</formula>
    </cfRule>
    <cfRule type="cellIs" dxfId="17" priority="5" stopIfTrue="1" operator="equal">
      <formula>39814</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0" location="Instructions!B65" tooltip="Enter one or more retirement units if known.  Data in this field should coorespond with those in the field titled, &quot;Subclass Cost Estimate&quot;." display="Subclasses:"/>
    <hyperlink ref="E20"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codeName="Sheet3" enableFormatConditionsCalculation="0">
    <tabColor indexed="50"/>
    <pageSetUpPr fitToPage="1"/>
  </sheetPr>
  <dimension ref="A1:N33"/>
  <sheetViews>
    <sheetView zoomScaleNormal="100" zoomScaleSheetLayoutView="100" workbookViewId="0">
      <selection activeCell="G8" sqref="G8"/>
    </sheetView>
  </sheetViews>
  <sheetFormatPr defaultRowHeight="12.75"/>
  <cols>
    <col min="1" max="1" width="23.140625" customWidth="1"/>
    <col min="2" max="14" width="10.7109375" customWidth="1"/>
  </cols>
  <sheetData>
    <row r="1" spans="1:14" ht="20.25">
      <c r="A1" s="119" t="s">
        <v>401</v>
      </c>
      <c r="B1" s="119"/>
      <c r="C1" s="119"/>
      <c r="D1" s="119"/>
      <c r="E1" s="119"/>
      <c r="F1" s="119"/>
      <c r="G1" s="119"/>
      <c r="H1" s="119"/>
    </row>
    <row r="2" spans="1:14" s="96" customFormat="1" ht="18" customHeight="1">
      <c r="A2" s="95" t="s">
        <v>417</v>
      </c>
      <c r="B2" s="117" t="str">
        <f>LEFT('Job Initiation Form'!B10,50)</f>
        <v>Service to Building 3014</v>
      </c>
      <c r="C2" s="117"/>
      <c r="D2" s="117"/>
      <c r="E2" s="117"/>
      <c r="F2" s="117"/>
      <c r="G2" s="117"/>
      <c r="H2" s="117"/>
      <c r="I2" s="117"/>
      <c r="J2" s="117"/>
    </row>
    <row r="3" spans="1:14" s="96" customFormat="1" ht="18">
      <c r="A3" s="97" t="s">
        <v>403</v>
      </c>
      <c r="B3" s="118">
        <f>'Job Initiation Form'!E38</f>
        <v>0</v>
      </c>
      <c r="C3" s="118"/>
      <c r="D3" s="118"/>
      <c r="E3" s="118"/>
      <c r="F3" s="118"/>
      <c r="G3" s="118"/>
      <c r="H3" s="118"/>
      <c r="I3" s="118"/>
      <c r="J3" s="118"/>
    </row>
    <row r="4" spans="1:14" s="99" customFormat="1" ht="18" customHeight="1">
      <c r="A4" s="98" t="s">
        <v>418</v>
      </c>
      <c r="B4" s="117" t="str">
        <f>VLOOKUP('Job Initiation Form'!B14,'form picklists'!O3:P7,2)</f>
        <v>Fort Wainwright</v>
      </c>
      <c r="C4" s="117"/>
    </row>
    <row r="5" spans="1:14" s="99" customFormat="1" ht="18" customHeight="1">
      <c r="A5" s="98" t="s">
        <v>4</v>
      </c>
      <c r="B5" s="117" t="str">
        <f>VLOOKUP('Job Initiation Form'!E14,'form picklists'!Q3:R9,2)</f>
        <v>Central Heating Plant</v>
      </c>
      <c r="C5" s="117"/>
    </row>
    <row r="6" spans="1:14" s="99" customFormat="1" ht="18" customHeight="1">
      <c r="A6" s="98" t="s">
        <v>419</v>
      </c>
    </row>
    <row r="7" spans="1:14" s="99" customFormat="1" ht="18" customHeight="1">
      <c r="A7" s="100" t="s">
        <v>423</v>
      </c>
      <c r="B7" s="120">
        <f>'Job Initiation Form'!B19</f>
        <v>40318</v>
      </c>
      <c r="C7" s="120"/>
    </row>
    <row r="8" spans="1:14" s="99" customFormat="1" ht="18" customHeight="1">
      <c r="A8" s="100" t="s">
        <v>424</v>
      </c>
      <c r="B8" s="117">
        <f>DAYS360('Job Initiation Form'!B19,'Job Initiation Form'!E19,FALSE)/30</f>
        <v>3.2333333333333334</v>
      </c>
      <c r="C8" s="117"/>
      <c r="D8" s="101"/>
    </row>
    <row r="10" spans="1:14" ht="13.5" thickBot="1">
      <c r="A10" s="59"/>
      <c r="B10" s="79">
        <f>YEAR(B7)</f>
        <v>2010</v>
      </c>
      <c r="C10" s="79" t="str">
        <f>IF(B12=12,$B$10+1," ")</f>
        <v xml:space="preserve"> </v>
      </c>
      <c r="D10" s="79" t="str">
        <f>IF(C12=12,$B$10+1," ")</f>
        <v xml:space="preserve"> </v>
      </c>
      <c r="E10" s="79" t="str">
        <f t="shared" ref="E10:M10" si="0">IF(D12=12,$B$10+1,IF(D12="Q4",A10+1," "))</f>
        <v xml:space="preserve"> </v>
      </c>
      <c r="F10" s="79" t="str">
        <f t="shared" si="0"/>
        <v xml:space="preserve"> </v>
      </c>
      <c r="G10" s="79" t="str">
        <f t="shared" si="0"/>
        <v xml:space="preserve"> </v>
      </c>
      <c r="H10" s="79" t="str">
        <f t="shared" si="0"/>
        <v xml:space="preserve"> </v>
      </c>
      <c r="I10" s="79" t="str">
        <f t="shared" si="0"/>
        <v xml:space="preserve"> </v>
      </c>
      <c r="J10" s="79">
        <f t="shared" si="0"/>
        <v>2011</v>
      </c>
      <c r="K10" s="79" t="str">
        <f t="shared" si="0"/>
        <v xml:space="preserve"> </v>
      </c>
      <c r="L10" s="79" t="str">
        <f t="shared" si="0"/>
        <v xml:space="preserve"> </v>
      </c>
      <c r="M10" s="79" t="str">
        <f t="shared" si="0"/>
        <v xml:space="preserve"> </v>
      </c>
    </row>
    <row r="11" spans="1:14" ht="15.75" customHeight="1" thickBot="1">
      <c r="A11" s="48"/>
      <c r="B11" s="63" t="str">
        <f>LOOKUP(B$12,{0,1,2,3,4,5,6,7,8,9,10,11,12,13,"Q1","Q2","Q3","Q4"},{" ","Q1"," "," ","Q2"," "," ","Q3"," "," ","Q4"," "," ","Q1","Q1","Q2","Q3","Q4"})</f>
        <v xml:space="preserve"> </v>
      </c>
      <c r="C11" s="49" t="str">
        <f>LOOKUP(C$12,{0,1,2,3,4,5,6,7,8,9,10,11,12,13,"Q1","Q2","Q3","Q4"},{" ","Q1"," "," ","Q2"," "," ","Q3"," "," ","Q4"," "," ","Q1","Q1","Q2","Q3","Q4"})</f>
        <v xml:space="preserve"> </v>
      </c>
      <c r="D11" s="102" t="str">
        <f>LOOKUP(D$12,{0,1,2,3,4,5,6,7,8,9,10,11,12,13,"Q1","Q2","Q3","Q4"},{" ","Q1"," "," ","Q2"," "," ","Q3"," "," ","Q4"," "," ","Q1","Q1","Q2","Q3","Q4"})</f>
        <v>Q3</v>
      </c>
      <c r="E11" s="63" t="str">
        <f>LOOKUP(E$12,{0,1,2,3,4,5,6,7,8,9,10,11,12,13,"Q1","Q2","Q3","Q4"},{" ","Q1"," "," ","Q2"," "," ","Q3"," "," ","Q4"," "," ","Q1","Q1","Q2","Q3","Q4"})</f>
        <v xml:space="preserve"> </v>
      </c>
      <c r="F11" s="49" t="str">
        <f>LOOKUP(F$12,{0,1,2,3,4,5,6,7,8,9,10,11,12,13,"Q1","Q2","Q3","Q4"},{" ","Q1"," "," ","Q2"," "," ","Q3"," "," ","Q4"," "," ","Q1","Q1","Q2","Q3","Q4"})</f>
        <v xml:space="preserve"> </v>
      </c>
      <c r="G11" s="102" t="str">
        <f>LOOKUP(G$12,{0,1,2,3,4,5,6,7,8,9,10,11,12,13,"Q1","Q2","Q3","Q4"},{" ","Q1"," "," ","Q2"," "," ","Q3"," "," ","Q4"," "," ","Q1","Q1","Q2","Q3","Q4"})</f>
        <v>Q4</v>
      </c>
      <c r="H11" s="63" t="str">
        <f>LOOKUP(H$12,{0,1,2,3,4,5,6,7,8,9,10,11,12,13,"Q1","Q2","Q3","Q4"},{" ","Q1"," "," ","Q2"," "," ","Q3"," "," ","Q4"," "," ","Q1","Q1","Q2","Q3","Q4"})</f>
        <v xml:space="preserve"> </v>
      </c>
      <c r="I11" s="49" t="str">
        <f>LOOKUP(I$12,{0,1,2,3,4,5,6,7,8,9,10,11,12,13,"Q1","Q2","Q3","Q4"},{" ","Q1"," "," ","Q2"," "," ","Q3"," "," ","Q4"," "," ","Q1","Q1","Q2","Q3","Q4"})</f>
        <v xml:space="preserve"> </v>
      </c>
      <c r="J11" s="102" t="str">
        <f>LOOKUP(J$12,{0,1,2,3,4,5,6,7,8,9,10,11,12,13,"Q1","Q2","Q3","Q4"},{" ","Q1"," "," ","Q2"," "," ","Q3"," "," ","Q4"," "," ","Q1","Q1","Q2","Q3","Q4"})</f>
        <v>Q1</v>
      </c>
      <c r="K11" s="63" t="str">
        <f>LOOKUP(K$12,{0,1,2,3,4,5,6,7,8,9,10,11,12,13,"Q1","Q2","Q3","Q4"},{" ","Q1"," "," ","Q2"," "," ","Q3"," "," ","Q4"," "," ","Q1","Q1","Q2","Q3","Q4"})</f>
        <v>Q2</v>
      </c>
      <c r="L11" s="49" t="str">
        <f>LOOKUP(L$12,{0,1,2,3,4,5,6,7,8,9,10,11,12,13,"Q1","Q2","Q3","Q4"},{" ","Q1"," "," ","Q2"," "," ","Q3"," "," ","Q4"," "," ","Q1","Q1","Q2","Q3","Q4"})</f>
        <v>Q3</v>
      </c>
      <c r="M11" s="102" t="str">
        <f>LOOKUP(M$12,{0,1,2,3,4,5,6,7,8,9,10,11,12,13,"Q1","Q2","Q3","Q4"},{" ","Q1"," "," ","Q2"," "," ","Q3"," "," ","Q4"," "," ","Q1","Q1","Q2","Q3","Q4"})</f>
        <v>Q4</v>
      </c>
      <c r="N11" s="50" t="s">
        <v>588</v>
      </c>
    </row>
    <row r="12" spans="1:14">
      <c r="A12" s="60"/>
      <c r="B12" s="78">
        <f>MONTH(B7)</f>
        <v>5</v>
      </c>
      <c r="C12" s="78">
        <f>LOOKUP(B$12,{0,1,2,3,4,5,6,7,8,9,10,11,12,"Q1","Q2","Q3","Q4"},{"ERROR",2,3,4,5,6,7,8,9,10,11,12,"Q1","Q2","Q3","Q4","Q1"})</f>
        <v>6</v>
      </c>
      <c r="D12" s="78">
        <f>LOOKUP(C$12,{0,1,2,3,4,5,6,7,8,9,10,11,12,"Q1","Q2","Q3","Q4"},{"ERROR",2,3,4,5,6,7,8,9,10,11,12,"Q1","Q2","Q3","Q4","Q1"})</f>
        <v>7</v>
      </c>
      <c r="E12" s="78">
        <f>LOOKUP(D$12,{0,1,2,3,4,5,6,7,8,9,10,11,12,"Q1","Q2","Q3","Q4"},{"ERROR",2,3,4,5,6,7,8,9,10,11,12,"Q1","Q2","Q3","Q4","Q1"})</f>
        <v>8</v>
      </c>
      <c r="F12" s="78">
        <f>LOOKUP(E$12,{0,1,2,3,4,5,6,7,8,9,10,11,12,"Q1","Q2","Q3","Q4"},{"ERROR",2,3,4,5,6,7,8,9,10,11,12,"Q1","Q2","Q3","Q4","Q1"})</f>
        <v>9</v>
      </c>
      <c r="G12" s="78">
        <f>LOOKUP(F$12,{0,1,2,3,4,5,6,7,8,9,10,11,12,"Q1","Q2","Q3","Q4"},{"ERROR",2,3,4,5,6,7,8,9,10,11,12,"Q1","Q2","Q3","Q4","Q1"})</f>
        <v>10</v>
      </c>
      <c r="H12" s="78">
        <f>LOOKUP(G$12,{0,1,2,3,4,5,6,7,8,9,10,11,12,"Q1","Q2","Q3","Q4"},{"ERROR",2,3,4,5,6,7,8,9,10,11,12,"Q1","Q2","Q3","Q4","Q1"})</f>
        <v>11</v>
      </c>
      <c r="I12" s="78">
        <f>LOOKUP(H$12,{0,1,2,3,4,5,6,7,8,9,10,11,12,"Q1","Q2","Q3","Q4"},{"ERROR",2,3,4,5,6,7,8,9,10,11,12,"Q1","Q2","Q3","Q4","Q1"})</f>
        <v>12</v>
      </c>
      <c r="J12" s="78" t="str">
        <f>LOOKUP(I$12,{0,1,2,3,4,5,6,7,8,9,10,11,12,"Q1","Q2","Q3","Q4"},{"ERROR",2,3,4,5,6,7,8,9,10,11,12,"Q1","Q2","Q3","Q4","Q1"})</f>
        <v>Q1</v>
      </c>
      <c r="K12" s="78" t="str">
        <f>LOOKUP(J$12,{0,1,2,3,4,5,6,7,8,9,10,11,12,"Q1","Q2","Q3","Q4"},{"ERROR",2,3,4,5,6,7,8,9,10,11,12,"Q1","Q2","Q3","Q4","Q1"})</f>
        <v>Q2</v>
      </c>
      <c r="L12" s="78" t="str">
        <f>LOOKUP(K$12,{0,1,2,3,4,5,6,7,8,9,10,11,12,"Q1","Q2","Q3","Q4"},{"ERROR",2,3,4,5,6,7,8,9,10,11,12,"Q1","Q2","Q3","Q4","Q1"})</f>
        <v>Q3</v>
      </c>
      <c r="M12" s="78" t="str">
        <f>LOOKUP(L$12,{0,1,2,3,4,5,6,7,8,9,10,11,12,"Q1","Q2","Q3","Q4"},{"ERROR",2,3,4,5,6,7,8,9,10,11,12,"Q1","Q2","Q3","Q4","Q1"})</f>
        <v>Q4</v>
      </c>
      <c r="N12" s="2"/>
    </row>
    <row r="13" spans="1:14">
      <c r="A13" s="59"/>
      <c r="F13" s="51"/>
    </row>
    <row r="14" spans="1:14">
      <c r="A14" s="61"/>
      <c r="B14" s="51">
        <v>0</v>
      </c>
      <c r="C14" s="51">
        <v>11057</v>
      </c>
      <c r="D14" s="51">
        <v>11057</v>
      </c>
      <c r="E14" s="51">
        <v>11057</v>
      </c>
      <c r="F14" s="51">
        <v>0</v>
      </c>
      <c r="G14" s="51">
        <v>0</v>
      </c>
      <c r="H14" s="51">
        <v>0</v>
      </c>
      <c r="I14" s="51">
        <v>0</v>
      </c>
      <c r="J14" s="51">
        <v>0</v>
      </c>
      <c r="K14" s="51">
        <v>0</v>
      </c>
      <c r="L14" s="51">
        <v>0</v>
      </c>
      <c r="M14" s="51">
        <v>0</v>
      </c>
      <c r="N14" s="52">
        <f>SUM(B14:M14)</f>
        <v>33171</v>
      </c>
    </row>
    <row r="15" spans="1:14">
      <c r="A15" s="62"/>
      <c r="B15" s="52"/>
      <c r="C15" s="52"/>
      <c r="D15" s="52"/>
      <c r="E15" s="52"/>
      <c r="F15" s="51"/>
      <c r="G15" s="52"/>
      <c r="H15" s="52"/>
      <c r="I15" s="52"/>
      <c r="J15" s="52"/>
      <c r="K15" s="52"/>
      <c r="L15" s="52"/>
      <c r="M15" s="52"/>
      <c r="N15" s="52"/>
    </row>
    <row r="16" spans="1:14">
      <c r="A16" s="62"/>
      <c r="B16" s="52"/>
      <c r="C16" s="52"/>
      <c r="D16" s="52"/>
      <c r="E16" s="52"/>
      <c r="F16" s="51"/>
      <c r="G16" s="52"/>
      <c r="H16" s="52"/>
      <c r="I16" s="52"/>
      <c r="J16" s="52"/>
      <c r="K16" s="52"/>
      <c r="L16" s="52"/>
      <c r="M16" s="52"/>
      <c r="N16" s="52"/>
    </row>
    <row r="17" spans="1:14" ht="13.5" thickBot="1">
      <c r="A17" s="62"/>
      <c r="B17" s="54">
        <f t="shared" ref="B17:M17" si="1">SUM(B13:B16)</f>
        <v>0</v>
      </c>
      <c r="C17" s="54">
        <f t="shared" si="1"/>
        <v>11057</v>
      </c>
      <c r="D17" s="54">
        <f t="shared" si="1"/>
        <v>11057</v>
      </c>
      <c r="E17" s="54">
        <f t="shared" si="1"/>
        <v>11057</v>
      </c>
      <c r="F17" s="54">
        <f t="shared" si="1"/>
        <v>0</v>
      </c>
      <c r="G17" s="54">
        <f t="shared" si="1"/>
        <v>0</v>
      </c>
      <c r="H17" s="54">
        <f t="shared" si="1"/>
        <v>0</v>
      </c>
      <c r="I17" s="54">
        <f t="shared" si="1"/>
        <v>0</v>
      </c>
      <c r="J17" s="54">
        <f t="shared" si="1"/>
        <v>0</v>
      </c>
      <c r="K17" s="54">
        <f t="shared" si="1"/>
        <v>0</v>
      </c>
      <c r="L17" s="54">
        <f t="shared" si="1"/>
        <v>0</v>
      </c>
      <c r="M17" s="54">
        <f t="shared" si="1"/>
        <v>0</v>
      </c>
      <c r="N17" s="54">
        <f>SUM(N13:N16)</f>
        <v>33171</v>
      </c>
    </row>
    <row r="18" spans="1:14" ht="13.5" thickTop="1">
      <c r="A18" s="59"/>
    </row>
    <row r="19" spans="1:14">
      <c r="A19" s="59"/>
      <c r="C19" s="53">
        <f>C17+B17</f>
        <v>11057</v>
      </c>
      <c r="D19" s="53">
        <f>D17+C19</f>
        <v>22114</v>
      </c>
      <c r="E19" s="53">
        <f>E17+D19</f>
        <v>33171</v>
      </c>
      <c r="F19" s="53">
        <f>F17+E19</f>
        <v>33171</v>
      </c>
      <c r="G19" s="53">
        <f t="shared" ref="G19:M19" si="2">G17+F19</f>
        <v>33171</v>
      </c>
      <c r="H19" s="53">
        <f t="shared" si="2"/>
        <v>33171</v>
      </c>
      <c r="I19" s="53">
        <f t="shared" si="2"/>
        <v>33171</v>
      </c>
      <c r="J19" s="53">
        <f t="shared" si="2"/>
        <v>33171</v>
      </c>
      <c r="K19" s="53">
        <f t="shared" si="2"/>
        <v>33171</v>
      </c>
      <c r="L19" s="53">
        <f t="shared" si="2"/>
        <v>33171</v>
      </c>
      <c r="M19" s="53">
        <f t="shared" si="2"/>
        <v>33171</v>
      </c>
    </row>
    <row r="20" spans="1:14">
      <c r="A20" s="59"/>
    </row>
    <row r="21" spans="1:14" ht="13.5" thickBot="1"/>
    <row r="22" spans="1:14" ht="28.5" customHeight="1" thickBot="1">
      <c r="A22" s="48"/>
      <c r="B22" s="63">
        <f>IF(M12=12,$B$10+1,IF(M12="Q4",J10+1," "))</f>
        <v>2012</v>
      </c>
      <c r="C22" s="49" t="str">
        <f>IF(B23=12,$B$10+1,IF(B23="Q4",K10+1," "))</f>
        <v xml:space="preserve"> </v>
      </c>
      <c r="D22" s="49" t="str">
        <f>IF(C23=12,$B$10+1,IF(C23="Q4",L10+1," "))</f>
        <v xml:space="preserve"> </v>
      </c>
      <c r="E22" s="49" t="str">
        <f>IF(D23=12,$B$10+1,IF(D23="Q4",M10+1," "))</f>
        <v xml:space="preserve"> </v>
      </c>
      <c r="F22" s="63">
        <f t="shared" ref="F22:M22" si="3">IF(E23=12,$B$10+1,IF(E23="Q4",B22+1," "))</f>
        <v>2013</v>
      </c>
      <c r="G22" s="49" t="str">
        <f t="shared" si="3"/>
        <v xml:space="preserve"> </v>
      </c>
      <c r="H22" s="49" t="str">
        <f t="shared" si="3"/>
        <v xml:space="preserve"> </v>
      </c>
      <c r="I22" s="49" t="str">
        <f t="shared" si="3"/>
        <v xml:space="preserve"> </v>
      </c>
      <c r="J22" s="63">
        <f t="shared" si="3"/>
        <v>2014</v>
      </c>
      <c r="K22" s="49" t="str">
        <f t="shared" si="3"/>
        <v xml:space="preserve"> </v>
      </c>
      <c r="L22" s="49" t="str">
        <f t="shared" si="3"/>
        <v xml:space="preserve"> </v>
      </c>
      <c r="M22" s="49" t="str">
        <f t="shared" si="3"/>
        <v xml:space="preserve"> </v>
      </c>
      <c r="N22" s="68" t="s">
        <v>433</v>
      </c>
    </row>
    <row r="23" spans="1:14" ht="13.5" thickBot="1">
      <c r="A23" s="60"/>
      <c r="B23" s="63" t="str">
        <f>LOOKUP(B$24,{0,1,2,3,4,5,6,7,8,9,10,11,12,13,"Q1","Q2","Q3","Q4"},{" ","Q1"," "," ","Q2"," "," ","Q3"," "," ","Q4"," "," ","Q1","Q1","Q2","Q3","Q4"})</f>
        <v>Q1</v>
      </c>
      <c r="C23" s="49" t="str">
        <f>LOOKUP(C$24,{0,1,2,3,4,5,6,7,8,9,10,11,12,13,"Q1","Q2","Q3","Q4"},{" ","Q1"," "," ","Q2"," "," ","Q3"," "," ","Q4"," "," ","Q1","Q1","Q2","Q3","Q4"})</f>
        <v>Q2</v>
      </c>
      <c r="D23" s="49" t="str">
        <f>LOOKUP(D$24,{0,1,2,3,4,5,6,7,8,9,10,11,12,13,"Q1","Q2","Q3","Q4"},{" ","Q1"," "," ","Q2"," "," ","Q3"," "," ","Q4"," "," ","Q1","Q1","Q2","Q3","Q4"})</f>
        <v>Q3</v>
      </c>
      <c r="E23" s="49" t="str">
        <f>LOOKUP(E$24,{0,1,2,3,4,5,6,7,8,9,10,11,12,13,"Q1","Q2","Q3","Q4"},{" ","Q1"," "," ","Q2"," "," ","Q3"," "," ","Q4"," "," ","Q1","Q1","Q2","Q3","Q4"})</f>
        <v>Q4</v>
      </c>
      <c r="F23" s="63" t="str">
        <f>LOOKUP(F$24,{0,1,2,3,4,5,6,7,8,9,10,11,12,13,"Q1","Q2","Q3","Q4"},{" ","Q1"," "," ","Q2"," "," ","Q3"," "," ","Q4"," "," ","Q1","Q1","Q2","Q3","Q4"})</f>
        <v>Q1</v>
      </c>
      <c r="G23" s="49" t="str">
        <f>LOOKUP(G$24,{0,1,2,3,4,5,6,7,8,9,10,11,12,13,"Q1","Q2","Q3","Q4"},{" ","Q1"," "," ","Q2"," "," ","Q3"," "," ","Q4"," "," ","Q1","Q1","Q2","Q3","Q4"})</f>
        <v>Q2</v>
      </c>
      <c r="H23" s="49" t="str">
        <f>LOOKUP(H$24,{0,1,2,3,4,5,6,7,8,9,10,11,12,13,"Q1","Q2","Q3","Q4"},{" ","Q1"," "," ","Q2"," "," ","Q3"," "," ","Q4"," "," ","Q1","Q1","Q2","Q3","Q4"})</f>
        <v>Q3</v>
      </c>
      <c r="I23" s="49" t="str">
        <f>LOOKUP(I$24,{0,1,2,3,4,5,6,7,8,9,10,11,12,13,"Q1","Q2","Q3","Q4"},{" ","Q1"," "," ","Q2"," "," ","Q3"," "," ","Q4"," "," ","Q1","Q1","Q2","Q3","Q4"})</f>
        <v>Q4</v>
      </c>
      <c r="J23" s="63" t="str">
        <f>LOOKUP(J$24,{0,1,2,3,4,5,6,7,8,9,10,11,12,13,"Q1","Q2","Q3","Q4"},{" ","Q1"," "," ","Q2"," "," ","Q3"," "," ","Q4"," "," ","Q1","Q1","Q2","Q3","Q4"})</f>
        <v>Q1</v>
      </c>
      <c r="K23" s="49" t="str">
        <f>LOOKUP(K$24,{0,1,2,3,4,5,6,7,8,9,10,11,12,13,"Q1","Q2","Q3","Q4"},{" ","Q1"," "," ","Q2"," "," ","Q3"," "," ","Q4"," "," ","Q1","Q1","Q2","Q3","Q4"})</f>
        <v>Q2</v>
      </c>
      <c r="L23" s="49" t="str">
        <f>LOOKUP(L$24,{0,1,2,3,4,5,6,7,8,9,10,11,12,13,"Q1","Q2","Q3","Q4"},{" ","Q1"," "," ","Q2"," "," ","Q3"," "," ","Q4"," "," ","Q1","Q1","Q2","Q3","Q4"})</f>
        <v>Q3</v>
      </c>
      <c r="M23" s="49" t="str">
        <f>LOOKUP(M$24,{0,1,2,3,4,5,6,7,8,9,10,11,12,13,"Q1","Q2","Q3","Q4"},{" ","Q1"," "," ","Q2"," "," ","Q3"," "," ","Q4"," "," ","Q1","Q1","Q2","Q3","Q4"})</f>
        <v>Q4</v>
      </c>
      <c r="N23" s="69"/>
    </row>
    <row r="24" spans="1:14">
      <c r="A24" s="60"/>
      <c r="B24" s="78" t="str">
        <f>LOOKUP(M$12,{0,1,2,3,4,5,6,7,8,9,10,11,12,"Q1","Q2","Q3","Q4"},{"ERROR",2,3,4,5,6,7,8,9,10,11,12,"Q1","Q2","Q3","Q4","Q1"})</f>
        <v>Q1</v>
      </c>
      <c r="C24" s="78" t="str">
        <f>LOOKUP(B$24,{0,1,2,3,4,5,6,7,8,9,10,11,12,"Q1","Q2","Q3","Q4"},{"ERROR",2,3,4,5,6,7,8,9,10,11,12,"Q1","Q2","Q3","Q4","Q1"})</f>
        <v>Q2</v>
      </c>
      <c r="D24" s="78" t="str">
        <f>LOOKUP(C$24,{0,1,2,3,4,5,6,7,8,9,10,11,12,"Q1","Q2","Q3","Q4"},{"ERROR",2,3,4,5,6,7,8,9,10,11,12,"Q1","Q2","Q3","Q4","Q1"})</f>
        <v>Q3</v>
      </c>
      <c r="E24" s="78" t="str">
        <f>LOOKUP(D$24,{0,1,2,3,4,5,6,7,8,9,10,11,12,"Q1","Q2","Q3","Q4"},{"ERROR",2,3,4,5,6,7,8,9,10,11,12,"Q1","Q2","Q3","Q4","Q1"})</f>
        <v>Q4</v>
      </c>
      <c r="F24" s="80" t="str">
        <f>LOOKUP(E$24,{0,1,2,3,4,5,6,7,8,9,10,11,12,"Q1","Q2","Q3","Q4"},{"ERROR",2,3,4,5,6,7,8,9,10,11,12,"Q1","Q2","Q3","Q4","Q1"})</f>
        <v>Q1</v>
      </c>
      <c r="G24" s="78" t="str">
        <f>LOOKUP(F$24,{0,1,2,3,4,5,6,7,8,9,10,11,12,"Q1","Q2","Q3","Q4"},{"ERROR",2,3,4,5,6,7,8,9,10,11,12,"Q1","Q2","Q3","Q4","Q1"})</f>
        <v>Q2</v>
      </c>
      <c r="H24" s="78" t="str">
        <f>LOOKUP(G$24,{0,1,2,3,4,5,6,7,8,9,10,11,12,"Q1","Q2","Q3","Q4"},{"ERROR",2,3,4,5,6,7,8,9,10,11,12,"Q1","Q2","Q3","Q4","Q1"})</f>
        <v>Q3</v>
      </c>
      <c r="I24" s="78" t="str">
        <f>LOOKUP(H$24,{0,1,2,3,4,5,6,7,8,9,10,11,12,"Q1","Q2","Q3","Q4"},{"ERROR",2,3,4,5,6,7,8,9,10,11,12,"Q1","Q2","Q3","Q4","Q1"})</f>
        <v>Q4</v>
      </c>
      <c r="J24" s="80" t="str">
        <f>LOOKUP(I$24,{0,1,2,3,4,5,6,7,8,9,10,11,12,"Q1","Q2","Q3","Q4"},{"ERROR",2,3,4,5,6,7,8,9,10,11,12,"Q1","Q2","Q3","Q4","Q1"})</f>
        <v>Q1</v>
      </c>
      <c r="K24" s="78" t="str">
        <f>LOOKUP(J$24,{0,1,2,3,4,5,6,7,8,9,10,11,12,"Q1","Q2","Q3","Q4"},{"ERROR",2,3,4,5,6,7,8,9,10,11,12,"Q1","Q2","Q3","Q4","Q1"})</f>
        <v>Q2</v>
      </c>
      <c r="L24" s="78" t="str">
        <f>LOOKUP(K$24,{0,1,2,3,4,5,6,7,8,9,10,11,12,"Q1","Q2","Q3","Q4"},{"ERROR",2,3,4,5,6,7,8,9,10,11,12,"Q1","Q2","Q3","Q4","Q1"})</f>
        <v>Q3</v>
      </c>
      <c r="M24" s="78" t="str">
        <f>LOOKUP(L$24,{0,1,2,3,4,5,6,7,8,9,10,11,12,"Q1","Q2","Q3","Q4"},{"ERROR",2,3,4,5,6,7,8,9,10,11,12,"Q1","Q2","Q3","Q4","Q1"})</f>
        <v>Q4</v>
      </c>
      <c r="N24" s="69"/>
    </row>
    <row r="25" spans="1:14">
      <c r="A25" s="59"/>
      <c r="F25" s="64"/>
      <c r="J25" s="66"/>
      <c r="N25" s="66"/>
    </row>
    <row r="26" spans="1:14">
      <c r="A26" s="61"/>
      <c r="B26" s="51">
        <v>0</v>
      </c>
      <c r="C26" s="51">
        <v>0</v>
      </c>
      <c r="D26" s="51">
        <v>0</v>
      </c>
      <c r="E26" s="51">
        <v>0</v>
      </c>
      <c r="F26" s="64">
        <v>0</v>
      </c>
      <c r="G26" s="51">
        <v>0</v>
      </c>
      <c r="H26" s="51">
        <v>0</v>
      </c>
      <c r="I26" s="51">
        <v>0</v>
      </c>
      <c r="J26" s="64">
        <v>0</v>
      </c>
      <c r="K26" s="51">
        <v>0</v>
      </c>
      <c r="L26" s="51">
        <v>0</v>
      </c>
      <c r="M26" s="51">
        <v>0</v>
      </c>
      <c r="N26" s="67">
        <f>SUM(B26:M26,N14)</f>
        <v>33171</v>
      </c>
    </row>
    <row r="27" spans="1:14">
      <c r="A27" s="62"/>
      <c r="B27" s="52"/>
      <c r="C27" s="52"/>
      <c r="D27" s="52"/>
      <c r="E27" s="52"/>
      <c r="F27" s="64"/>
      <c r="G27" s="52"/>
      <c r="H27" s="52"/>
      <c r="I27" s="52"/>
      <c r="J27" s="67"/>
      <c r="K27" s="52"/>
      <c r="L27" s="52"/>
      <c r="M27" s="52"/>
      <c r="N27" s="67"/>
    </row>
    <row r="28" spans="1:14">
      <c r="A28" s="62"/>
      <c r="B28" s="52"/>
      <c r="C28" s="52"/>
      <c r="D28" s="52"/>
      <c r="E28" s="52"/>
      <c r="F28" s="64"/>
      <c r="G28" s="52"/>
      <c r="H28" s="52"/>
      <c r="I28" s="52"/>
      <c r="J28" s="67"/>
      <c r="K28" s="52"/>
      <c r="L28" s="52"/>
      <c r="M28" s="52"/>
      <c r="N28" s="67"/>
    </row>
    <row r="29" spans="1:14" ht="13.5" thickBot="1">
      <c r="A29" s="62"/>
      <c r="B29" s="54">
        <f t="shared" ref="B29:M29" si="4">SUM(B25:B28)</f>
        <v>0</v>
      </c>
      <c r="C29" s="54">
        <f t="shared" si="4"/>
        <v>0</v>
      </c>
      <c r="D29" s="54">
        <f t="shared" si="4"/>
        <v>0</v>
      </c>
      <c r="E29" s="54">
        <f t="shared" si="4"/>
        <v>0</v>
      </c>
      <c r="F29" s="65">
        <f t="shared" si="4"/>
        <v>0</v>
      </c>
      <c r="G29" s="54">
        <f t="shared" si="4"/>
        <v>0</v>
      </c>
      <c r="H29" s="54">
        <f t="shared" si="4"/>
        <v>0</v>
      </c>
      <c r="I29" s="54">
        <f t="shared" si="4"/>
        <v>0</v>
      </c>
      <c r="J29" s="65">
        <f t="shared" si="4"/>
        <v>0</v>
      </c>
      <c r="K29" s="54">
        <f t="shared" si="4"/>
        <v>0</v>
      </c>
      <c r="L29" s="54">
        <f t="shared" si="4"/>
        <v>0</v>
      </c>
      <c r="M29" s="54">
        <f t="shared" si="4"/>
        <v>0</v>
      </c>
      <c r="N29" s="65">
        <f>SUM(N25:N28)</f>
        <v>33171</v>
      </c>
    </row>
    <row r="30" spans="1:14" ht="13.5" thickTop="1">
      <c r="A30" s="59"/>
    </row>
    <row r="31" spans="1:14">
      <c r="A31" s="59"/>
      <c r="B31" s="53">
        <f>B29+N17</f>
        <v>33171</v>
      </c>
      <c r="C31" s="53">
        <f>C29+B31</f>
        <v>33171</v>
      </c>
      <c r="D31" s="53">
        <f>D29+C31</f>
        <v>33171</v>
      </c>
      <c r="E31" s="53">
        <f>E29+D31</f>
        <v>33171</v>
      </c>
      <c r="F31" s="53">
        <f>F29+E31</f>
        <v>33171</v>
      </c>
      <c r="G31" s="53">
        <f t="shared" ref="G31:L31" si="5">G29+F31</f>
        <v>33171</v>
      </c>
      <c r="H31" s="53">
        <f t="shared" si="5"/>
        <v>33171</v>
      </c>
      <c r="I31" s="53">
        <f t="shared" si="5"/>
        <v>33171</v>
      </c>
      <c r="J31" s="53">
        <f t="shared" si="5"/>
        <v>33171</v>
      </c>
      <c r="K31" s="53">
        <f t="shared" si="5"/>
        <v>33171</v>
      </c>
      <c r="L31" s="53">
        <f t="shared" si="5"/>
        <v>33171</v>
      </c>
      <c r="M31" s="53">
        <f>M29+L31</f>
        <v>33171</v>
      </c>
    </row>
    <row r="33" spans="1:1">
      <c r="A33" s="83" t="s">
        <v>589</v>
      </c>
    </row>
  </sheetData>
  <mergeCells count="7">
    <mergeCell ref="B8:C8"/>
    <mergeCell ref="B2:J2"/>
    <mergeCell ref="B3:J3"/>
    <mergeCell ref="A1:H1"/>
    <mergeCell ref="B4:C4"/>
    <mergeCell ref="B5:C5"/>
    <mergeCell ref="B7:C7"/>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B2:J2">
    <cfRule type="cellIs" dxfId="13" priority="3" stopIfTrue="1" operator="equal">
      <formula>$Z$11746</formula>
    </cfRule>
  </conditionalFormatting>
  <conditionalFormatting sqref="B3:J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codeName="Sheet4" enableFormatConditionsCalculation="0">
    <tabColor indexed="43"/>
  </sheetPr>
  <dimension ref="A1:BQ602"/>
  <sheetViews>
    <sheetView workbookViewId="0">
      <selection activeCell="G1" sqref="G1"/>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402</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432</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70" t="s">
        <v>437</v>
      </c>
      <c r="B8" s="114"/>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403</v>
      </c>
      <c r="B9" s="85"/>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394</v>
      </c>
      <c r="B10" s="115"/>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404</v>
      </c>
      <c r="B12" s="115"/>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365</v>
      </c>
      <c r="B14" s="10">
        <v>1</v>
      </c>
      <c r="D14" s="42" t="s">
        <v>4</v>
      </c>
      <c r="E14" s="55">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364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393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352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366</v>
      </c>
      <c r="B19" s="26"/>
      <c r="D19" s="42" t="s">
        <v>379</v>
      </c>
      <c r="E19" s="26"/>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492</v>
      </c>
      <c r="D21" s="42" t="s">
        <v>357</v>
      </c>
      <c r="E21" s="56"/>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56"/>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56"/>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56"/>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56"/>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380</v>
      </c>
      <c r="E26" s="29">
        <f>SUM(E21:E25)</f>
        <v>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395</v>
      </c>
      <c r="B27" s="56"/>
      <c r="D27" s="30" t="s">
        <v>381</v>
      </c>
      <c r="E27" s="31"/>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396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392</v>
      </c>
      <c r="B30" s="109"/>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397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398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611</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391</v>
      </c>
      <c r="B37" s="39"/>
      <c r="C37" s="39"/>
      <c r="D37" s="38" t="s">
        <v>386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387</v>
      </c>
      <c r="B38" s="32"/>
      <c r="C38" s="32"/>
      <c r="D38" s="33" t="s">
        <v>405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388</v>
      </c>
      <c r="B39" s="36"/>
      <c r="C39" s="36"/>
      <c r="D39" s="35" t="s">
        <v>406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39814</formula>
    </cfRule>
    <cfRule type="cellIs" dxfId="7" priority="5" stopIfTrue="1" operator="equal">
      <formula>39814</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sheetPr codeName="Sheet5"/>
  <dimension ref="A1:G330"/>
  <sheetViews>
    <sheetView zoomScaleNormal="100" workbookViewId="0">
      <pane ySplit="1" topLeftCell="A2" activePane="bottomLeft" state="frozen"/>
      <selection pane="bottomLeft" activeCell="B11" sqref="B11"/>
    </sheetView>
  </sheetViews>
  <sheetFormatPr defaultRowHeight="12.75"/>
  <cols>
    <col min="1" max="1" width="14" bestFit="1" customWidth="1"/>
    <col min="2" max="2" width="34.85546875" bestFit="1" customWidth="1"/>
    <col min="3" max="3" width="47.28515625" bestFit="1" customWidth="1"/>
    <col min="4" max="4" width="7.140625" bestFit="1" customWidth="1"/>
    <col min="5" max="5" width="10.5703125" bestFit="1" customWidth="1"/>
    <col min="6" max="6" width="7.140625" style="1" bestFit="1" customWidth="1"/>
    <col min="7" max="7" width="6.5703125" style="1" bestFit="1" customWidth="1"/>
  </cols>
  <sheetData>
    <row r="1" spans="1:7" ht="45.75" customHeight="1" thickBot="1">
      <c r="A1" s="86" t="s">
        <v>14</v>
      </c>
      <c r="B1" s="86" t="s">
        <v>15</v>
      </c>
      <c r="C1" s="86" t="s">
        <v>16</v>
      </c>
      <c r="D1" s="86" t="s">
        <v>722</v>
      </c>
      <c r="E1" s="86" t="s">
        <v>17</v>
      </c>
      <c r="F1" s="86" t="s">
        <v>720</v>
      </c>
      <c r="G1" s="86" t="s">
        <v>721</v>
      </c>
    </row>
    <row r="2" spans="1:7" s="82" customFormat="1" ht="13.5" thickTop="1">
      <c r="A2" s="87" t="s">
        <v>210</v>
      </c>
      <c r="B2" s="87" t="s">
        <v>211</v>
      </c>
      <c r="C2" s="87" t="s">
        <v>212</v>
      </c>
      <c r="D2" s="88" t="s">
        <v>208</v>
      </c>
      <c r="E2" s="88" t="s">
        <v>213</v>
      </c>
      <c r="F2" s="89">
        <v>15</v>
      </c>
      <c r="G2" s="89" t="s">
        <v>31</v>
      </c>
    </row>
    <row r="3" spans="1:7" s="82" customFormat="1">
      <c r="A3" s="90" t="s">
        <v>214</v>
      </c>
      <c r="B3" s="90" t="s">
        <v>211</v>
      </c>
      <c r="C3" s="90" t="s">
        <v>215</v>
      </c>
      <c r="D3" s="91" t="s">
        <v>208</v>
      </c>
      <c r="E3" s="92">
        <v>50</v>
      </c>
      <c r="F3" s="92">
        <v>15</v>
      </c>
      <c r="G3" s="92" t="s">
        <v>31</v>
      </c>
    </row>
    <row r="4" spans="1:7" s="82" customFormat="1">
      <c r="A4" s="90" t="s">
        <v>612</v>
      </c>
      <c r="B4" s="93" t="s">
        <v>211</v>
      </c>
      <c r="C4" s="93" t="s">
        <v>616</v>
      </c>
      <c r="D4" s="91" t="s">
        <v>208</v>
      </c>
      <c r="E4" s="92">
        <v>35</v>
      </c>
      <c r="F4" s="92">
        <v>15</v>
      </c>
      <c r="G4" s="92" t="s">
        <v>31</v>
      </c>
    </row>
    <row r="5" spans="1:7" s="82" customFormat="1">
      <c r="A5" s="90" t="s">
        <v>613</v>
      </c>
      <c r="B5" s="93" t="s">
        <v>211</v>
      </c>
      <c r="C5" s="93" t="s">
        <v>615</v>
      </c>
      <c r="D5" s="91" t="s">
        <v>208</v>
      </c>
      <c r="E5" s="92">
        <v>10</v>
      </c>
      <c r="F5" s="92">
        <v>15</v>
      </c>
      <c r="G5" s="92" t="s">
        <v>31</v>
      </c>
    </row>
    <row r="6" spans="1:7" s="82" customFormat="1">
      <c r="A6" s="90" t="s">
        <v>614</v>
      </c>
      <c r="B6" s="93" t="s">
        <v>211</v>
      </c>
      <c r="C6" s="93" t="s">
        <v>617</v>
      </c>
      <c r="D6" s="91" t="s">
        <v>208</v>
      </c>
      <c r="E6" s="92">
        <v>20</v>
      </c>
      <c r="F6" s="92">
        <v>15</v>
      </c>
      <c r="G6" s="92" t="s">
        <v>31</v>
      </c>
    </row>
    <row r="7" spans="1:7" s="82" customFormat="1">
      <c r="A7" s="90" t="s">
        <v>216</v>
      </c>
      <c r="B7" s="90" t="s">
        <v>211</v>
      </c>
      <c r="C7" s="93" t="s">
        <v>217</v>
      </c>
      <c r="D7" s="91" t="s">
        <v>208</v>
      </c>
      <c r="E7" s="92">
        <v>35</v>
      </c>
      <c r="F7" s="92">
        <v>15</v>
      </c>
      <c r="G7" s="92" t="s">
        <v>31</v>
      </c>
    </row>
    <row r="8" spans="1:7" s="82" customFormat="1">
      <c r="A8" s="90" t="s">
        <v>218</v>
      </c>
      <c r="B8" s="90" t="s">
        <v>211</v>
      </c>
      <c r="C8" s="93" t="s">
        <v>219</v>
      </c>
      <c r="D8" s="91" t="s">
        <v>208</v>
      </c>
      <c r="E8" s="92">
        <v>35</v>
      </c>
      <c r="F8" s="92">
        <v>15</v>
      </c>
      <c r="G8" s="92" t="s">
        <v>31</v>
      </c>
    </row>
    <row r="9" spans="1:7" s="82" customFormat="1">
      <c r="A9" s="90" t="s">
        <v>220</v>
      </c>
      <c r="B9" s="90" t="s">
        <v>211</v>
      </c>
      <c r="C9" s="93" t="s">
        <v>221</v>
      </c>
      <c r="D9" s="91" t="s">
        <v>208</v>
      </c>
      <c r="E9" s="92">
        <v>35</v>
      </c>
      <c r="F9" s="92">
        <v>15</v>
      </c>
      <c r="G9" s="92" t="s">
        <v>31</v>
      </c>
    </row>
    <row r="10" spans="1:7" s="82" customFormat="1">
      <c r="A10" s="90" t="s">
        <v>259</v>
      </c>
      <c r="B10" s="93" t="s">
        <v>64</v>
      </c>
      <c r="C10" s="90" t="s">
        <v>263</v>
      </c>
      <c r="D10" s="91" t="s">
        <v>208</v>
      </c>
      <c r="E10" s="92">
        <v>50</v>
      </c>
      <c r="F10" s="92">
        <v>15</v>
      </c>
      <c r="G10" s="92" t="s">
        <v>31</v>
      </c>
    </row>
    <row r="11" spans="1:7" s="82" customFormat="1">
      <c r="A11" s="90" t="s">
        <v>262</v>
      </c>
      <c r="B11" s="93" t="s">
        <v>64</v>
      </c>
      <c r="C11" s="93" t="s">
        <v>260</v>
      </c>
      <c r="D11" s="91" t="s">
        <v>208</v>
      </c>
      <c r="E11" s="92" t="s">
        <v>261</v>
      </c>
      <c r="F11" s="92">
        <v>15</v>
      </c>
      <c r="G11" s="92" t="s">
        <v>31</v>
      </c>
    </row>
    <row r="12" spans="1:7" s="82" customFormat="1">
      <c r="A12" s="90" t="s">
        <v>537</v>
      </c>
      <c r="B12" s="93" t="s">
        <v>64</v>
      </c>
      <c r="C12" s="93" t="s">
        <v>538</v>
      </c>
      <c r="D12" s="91" t="s">
        <v>208</v>
      </c>
      <c r="E12" s="92">
        <v>20</v>
      </c>
      <c r="F12" s="92">
        <v>15</v>
      </c>
      <c r="G12" s="92" t="s">
        <v>31</v>
      </c>
    </row>
    <row r="13" spans="1:7" s="82" customFormat="1">
      <c r="A13" s="90" t="s">
        <v>264</v>
      </c>
      <c r="B13" s="93" t="s">
        <v>64</v>
      </c>
      <c r="C13" s="90" t="s">
        <v>265</v>
      </c>
      <c r="D13" s="91" t="s">
        <v>208</v>
      </c>
      <c r="E13" s="92">
        <v>40</v>
      </c>
      <c r="F13" s="92">
        <v>15</v>
      </c>
      <c r="G13" s="92" t="s">
        <v>31</v>
      </c>
    </row>
    <row r="14" spans="1:7" s="82" customFormat="1">
      <c r="A14" s="90" t="s">
        <v>463</v>
      </c>
      <c r="B14" s="93" t="s">
        <v>64</v>
      </c>
      <c r="C14" s="90" t="s">
        <v>465</v>
      </c>
      <c r="D14" s="91" t="s">
        <v>208</v>
      </c>
      <c r="E14" s="92">
        <v>40</v>
      </c>
      <c r="F14" s="92">
        <v>15</v>
      </c>
      <c r="G14" s="92" t="s">
        <v>31</v>
      </c>
    </row>
    <row r="15" spans="1:7" s="82" customFormat="1">
      <c r="A15" s="90" t="s">
        <v>464</v>
      </c>
      <c r="B15" s="93" t="s">
        <v>64</v>
      </c>
      <c r="C15" s="90" t="s">
        <v>466</v>
      </c>
      <c r="D15" s="91" t="s">
        <v>208</v>
      </c>
      <c r="E15" s="92">
        <v>40</v>
      </c>
      <c r="F15" s="92">
        <v>15</v>
      </c>
      <c r="G15" s="92" t="s">
        <v>31</v>
      </c>
    </row>
    <row r="16" spans="1:7" s="82" customFormat="1">
      <c r="A16" s="90" t="s">
        <v>266</v>
      </c>
      <c r="B16" s="93" t="s">
        <v>64</v>
      </c>
      <c r="C16" s="90" t="s">
        <v>267</v>
      </c>
      <c r="D16" s="91" t="s">
        <v>208</v>
      </c>
      <c r="E16" s="92">
        <v>60</v>
      </c>
      <c r="F16" s="92">
        <v>15</v>
      </c>
      <c r="G16" s="92" t="s">
        <v>31</v>
      </c>
    </row>
    <row r="17" spans="1:7" s="82" customFormat="1">
      <c r="A17" s="90" t="s">
        <v>467</v>
      </c>
      <c r="B17" s="93" t="s">
        <v>64</v>
      </c>
      <c r="C17" s="90" t="s">
        <v>470</v>
      </c>
      <c r="D17" s="91" t="s">
        <v>208</v>
      </c>
      <c r="E17" s="92">
        <v>60</v>
      </c>
      <c r="F17" s="92">
        <v>15</v>
      </c>
      <c r="G17" s="92" t="s">
        <v>31</v>
      </c>
    </row>
    <row r="18" spans="1:7" s="82" customFormat="1">
      <c r="A18" s="90" t="s">
        <v>468</v>
      </c>
      <c r="B18" s="93" t="s">
        <v>64</v>
      </c>
      <c r="C18" s="90" t="s">
        <v>471</v>
      </c>
      <c r="D18" s="91" t="s">
        <v>208</v>
      </c>
      <c r="E18" s="92">
        <v>60</v>
      </c>
      <c r="F18" s="92">
        <v>15</v>
      </c>
      <c r="G18" s="92" t="s">
        <v>31</v>
      </c>
    </row>
    <row r="19" spans="1:7" s="82" customFormat="1">
      <c r="A19" s="90" t="s">
        <v>469</v>
      </c>
      <c r="B19" s="93" t="s">
        <v>64</v>
      </c>
      <c r="C19" s="90" t="s">
        <v>472</v>
      </c>
      <c r="D19" s="91" t="s">
        <v>208</v>
      </c>
      <c r="E19" s="92" t="s">
        <v>261</v>
      </c>
      <c r="F19" s="92">
        <v>15</v>
      </c>
      <c r="G19" s="92" t="s">
        <v>31</v>
      </c>
    </row>
    <row r="20" spans="1:7" s="82" customFormat="1">
      <c r="A20" s="90" t="s">
        <v>222</v>
      </c>
      <c r="B20" s="90" t="s">
        <v>211</v>
      </c>
      <c r="C20" s="90" t="s">
        <v>139</v>
      </c>
      <c r="D20" s="91" t="s">
        <v>208</v>
      </c>
      <c r="E20" s="92">
        <v>45</v>
      </c>
      <c r="F20" s="92">
        <v>15</v>
      </c>
      <c r="G20" s="92" t="s">
        <v>31</v>
      </c>
    </row>
    <row r="21" spans="1:7" s="82" customFormat="1">
      <c r="A21" s="90" t="s">
        <v>223</v>
      </c>
      <c r="B21" s="90" t="s">
        <v>211</v>
      </c>
      <c r="C21" s="90" t="s">
        <v>224</v>
      </c>
      <c r="D21" s="91" t="s">
        <v>208</v>
      </c>
      <c r="E21" s="92">
        <v>55</v>
      </c>
      <c r="F21" s="92">
        <v>15</v>
      </c>
      <c r="G21" s="92" t="s">
        <v>31</v>
      </c>
    </row>
    <row r="22" spans="1:7" s="82" customFormat="1">
      <c r="A22" s="90" t="s">
        <v>225</v>
      </c>
      <c r="B22" s="90" t="s">
        <v>211</v>
      </c>
      <c r="C22" s="90" t="s">
        <v>226</v>
      </c>
      <c r="D22" s="91" t="s">
        <v>208</v>
      </c>
      <c r="E22" s="92">
        <v>75</v>
      </c>
      <c r="F22" s="92">
        <v>15</v>
      </c>
      <c r="G22" s="92" t="s">
        <v>31</v>
      </c>
    </row>
    <row r="23" spans="1:7" s="82" customFormat="1">
      <c r="A23" s="90" t="s">
        <v>456</v>
      </c>
      <c r="B23" s="90" t="s">
        <v>211</v>
      </c>
      <c r="C23" s="90" t="s">
        <v>454</v>
      </c>
      <c r="D23" s="91" t="s">
        <v>208</v>
      </c>
      <c r="E23" s="92">
        <v>75</v>
      </c>
      <c r="F23" s="92">
        <v>15</v>
      </c>
      <c r="G23" s="92" t="s">
        <v>31</v>
      </c>
    </row>
    <row r="24" spans="1:7" s="82" customFormat="1">
      <c r="A24" s="90" t="s">
        <v>457</v>
      </c>
      <c r="B24" s="90" t="s">
        <v>211</v>
      </c>
      <c r="C24" s="90" t="s">
        <v>44</v>
      </c>
      <c r="D24" s="91" t="s">
        <v>208</v>
      </c>
      <c r="E24" s="92">
        <v>75</v>
      </c>
      <c r="F24" s="92">
        <v>15</v>
      </c>
      <c r="G24" s="92" t="s">
        <v>31</v>
      </c>
    </row>
    <row r="25" spans="1:7" s="82" customFormat="1">
      <c r="A25" s="90" t="s">
        <v>458</v>
      </c>
      <c r="B25" s="90" t="s">
        <v>211</v>
      </c>
      <c r="C25" s="90" t="s">
        <v>455</v>
      </c>
      <c r="D25" s="91" t="s">
        <v>208</v>
      </c>
      <c r="E25" s="92">
        <v>75</v>
      </c>
      <c r="F25" s="92">
        <v>15</v>
      </c>
      <c r="G25" s="92" t="s">
        <v>31</v>
      </c>
    </row>
    <row r="26" spans="1:7" s="82" customFormat="1">
      <c r="A26" s="90" t="s">
        <v>618</v>
      </c>
      <c r="B26" s="90" t="s">
        <v>211</v>
      </c>
      <c r="C26" s="90" t="s">
        <v>620</v>
      </c>
      <c r="D26" s="91" t="s">
        <v>208</v>
      </c>
      <c r="E26" s="92">
        <v>40</v>
      </c>
      <c r="F26" s="92">
        <v>15</v>
      </c>
      <c r="G26" s="92" t="s">
        <v>31</v>
      </c>
    </row>
    <row r="27" spans="1:7" s="82" customFormat="1">
      <c r="A27" s="90" t="s">
        <v>619</v>
      </c>
      <c r="B27" s="90" t="s">
        <v>211</v>
      </c>
      <c r="C27" s="90" t="s">
        <v>621</v>
      </c>
      <c r="D27" s="91" t="s">
        <v>208</v>
      </c>
      <c r="E27" s="92">
        <v>20</v>
      </c>
      <c r="F27" s="92">
        <v>15</v>
      </c>
      <c r="G27" s="92" t="s">
        <v>31</v>
      </c>
    </row>
    <row r="28" spans="1:7" s="82" customFormat="1">
      <c r="A28" s="90" t="s">
        <v>227</v>
      </c>
      <c r="B28" s="90" t="s">
        <v>211</v>
      </c>
      <c r="C28" s="90" t="s">
        <v>228</v>
      </c>
      <c r="D28" s="91" t="s">
        <v>208</v>
      </c>
      <c r="E28" s="92">
        <v>75</v>
      </c>
      <c r="F28" s="92">
        <v>15</v>
      </c>
      <c r="G28" s="92" t="s">
        <v>31</v>
      </c>
    </row>
    <row r="29" spans="1:7" s="82" customFormat="1">
      <c r="A29" s="90" t="s">
        <v>229</v>
      </c>
      <c r="B29" s="90" t="s">
        <v>211</v>
      </c>
      <c r="C29" s="90" t="s">
        <v>37</v>
      </c>
      <c r="D29" s="91" t="s">
        <v>208</v>
      </c>
      <c r="E29" s="92">
        <v>40</v>
      </c>
      <c r="F29" s="92">
        <v>15</v>
      </c>
      <c r="G29" s="92" t="s">
        <v>31</v>
      </c>
    </row>
    <row r="30" spans="1:7" s="82" customFormat="1">
      <c r="A30" s="90" t="s">
        <v>608</v>
      </c>
      <c r="B30" s="90" t="s">
        <v>211</v>
      </c>
      <c r="C30" s="90" t="s">
        <v>624</v>
      </c>
      <c r="D30" s="91" t="s">
        <v>208</v>
      </c>
      <c r="E30" s="92">
        <v>15</v>
      </c>
      <c r="F30" s="92">
        <v>5</v>
      </c>
      <c r="G30" s="92" t="s">
        <v>31</v>
      </c>
    </row>
    <row r="31" spans="1:7" s="82" customFormat="1">
      <c r="A31" s="90" t="s">
        <v>622</v>
      </c>
      <c r="B31" s="90" t="s">
        <v>211</v>
      </c>
      <c r="C31" s="90" t="s">
        <v>626</v>
      </c>
      <c r="D31" s="91" t="s">
        <v>208</v>
      </c>
      <c r="E31" s="92">
        <v>20</v>
      </c>
      <c r="F31" s="92">
        <v>15</v>
      </c>
      <c r="G31" s="92" t="s">
        <v>31</v>
      </c>
    </row>
    <row r="32" spans="1:7" s="82" customFormat="1">
      <c r="A32" s="90" t="s">
        <v>623</v>
      </c>
      <c r="B32" s="90" t="s">
        <v>211</v>
      </c>
      <c r="C32" s="90" t="s">
        <v>625</v>
      </c>
      <c r="D32" s="91" t="s">
        <v>208</v>
      </c>
      <c r="E32" s="92">
        <v>20</v>
      </c>
      <c r="F32" s="92">
        <v>15</v>
      </c>
      <c r="G32" s="92" t="s">
        <v>31</v>
      </c>
    </row>
    <row r="33" spans="1:7" s="82" customFormat="1">
      <c r="A33" s="90" t="s">
        <v>230</v>
      </c>
      <c r="B33" s="90" t="s">
        <v>211</v>
      </c>
      <c r="C33" s="90" t="s">
        <v>231</v>
      </c>
      <c r="D33" s="91" t="s">
        <v>208</v>
      </c>
      <c r="E33" s="91" t="s">
        <v>232</v>
      </c>
      <c r="F33" s="92">
        <v>15</v>
      </c>
      <c r="G33" s="92" t="s">
        <v>31</v>
      </c>
    </row>
    <row r="34" spans="1:7" s="82" customFormat="1">
      <c r="A34" s="93" t="s">
        <v>269</v>
      </c>
      <c r="B34" s="93" t="s">
        <v>270</v>
      </c>
      <c r="C34" s="93" t="s">
        <v>271</v>
      </c>
      <c r="D34" s="91" t="s">
        <v>208</v>
      </c>
      <c r="E34" s="92">
        <v>35</v>
      </c>
      <c r="F34" s="92">
        <v>15</v>
      </c>
      <c r="G34" s="92" t="s">
        <v>31</v>
      </c>
    </row>
    <row r="35" spans="1:7" s="82" customFormat="1">
      <c r="A35" s="93" t="s">
        <v>272</v>
      </c>
      <c r="B35" s="93" t="s">
        <v>270</v>
      </c>
      <c r="C35" s="93" t="s">
        <v>273</v>
      </c>
      <c r="D35" s="91" t="s">
        <v>208</v>
      </c>
      <c r="E35" s="92">
        <v>35</v>
      </c>
      <c r="F35" s="92">
        <v>15</v>
      </c>
      <c r="G35" s="92" t="s">
        <v>31</v>
      </c>
    </row>
    <row r="36" spans="1:7" s="82" customFormat="1">
      <c r="A36" s="93" t="s">
        <v>274</v>
      </c>
      <c r="B36" s="93" t="s">
        <v>270</v>
      </c>
      <c r="C36" s="93" t="s">
        <v>275</v>
      </c>
      <c r="D36" s="91" t="s">
        <v>208</v>
      </c>
      <c r="E36" s="92">
        <v>35</v>
      </c>
      <c r="F36" s="92">
        <v>15</v>
      </c>
      <c r="G36" s="92" t="s">
        <v>31</v>
      </c>
    </row>
    <row r="37" spans="1:7" s="82" customFormat="1">
      <c r="A37" s="93" t="s">
        <v>276</v>
      </c>
      <c r="B37" s="93" t="s">
        <v>270</v>
      </c>
      <c r="C37" s="93" t="s">
        <v>277</v>
      </c>
      <c r="D37" s="91" t="s">
        <v>208</v>
      </c>
      <c r="E37" s="92">
        <v>35</v>
      </c>
      <c r="F37" s="92">
        <v>15</v>
      </c>
      <c r="G37" s="92" t="s">
        <v>31</v>
      </c>
    </row>
    <row r="38" spans="1:7" s="82" customFormat="1">
      <c r="A38" s="93" t="s">
        <v>245</v>
      </c>
      <c r="B38" s="93" t="s">
        <v>244</v>
      </c>
      <c r="C38" s="93" t="s">
        <v>246</v>
      </c>
      <c r="D38" s="91" t="s">
        <v>208</v>
      </c>
      <c r="E38" s="92">
        <v>40</v>
      </c>
      <c r="F38" s="92">
        <v>15</v>
      </c>
      <c r="G38" s="92" t="s">
        <v>31</v>
      </c>
    </row>
    <row r="39" spans="1:7" s="82" customFormat="1">
      <c r="A39" s="93" t="s">
        <v>247</v>
      </c>
      <c r="B39" s="93" t="s">
        <v>244</v>
      </c>
      <c r="C39" s="93" t="s">
        <v>248</v>
      </c>
      <c r="D39" s="91" t="s">
        <v>208</v>
      </c>
      <c r="E39" s="92">
        <v>40</v>
      </c>
      <c r="F39" s="92">
        <v>15</v>
      </c>
      <c r="G39" s="92" t="s">
        <v>31</v>
      </c>
    </row>
    <row r="40" spans="1:7" s="82" customFormat="1">
      <c r="A40" s="93" t="s">
        <v>249</v>
      </c>
      <c r="B40" s="93" t="s">
        <v>244</v>
      </c>
      <c r="C40" s="93" t="s">
        <v>250</v>
      </c>
      <c r="D40" s="91" t="s">
        <v>208</v>
      </c>
      <c r="E40" s="92">
        <v>40</v>
      </c>
      <c r="F40" s="92">
        <v>15</v>
      </c>
      <c r="G40" s="92" t="s">
        <v>31</v>
      </c>
    </row>
    <row r="41" spans="1:7" s="82" customFormat="1">
      <c r="A41" s="93" t="s">
        <v>461</v>
      </c>
      <c r="B41" s="93" t="s">
        <v>244</v>
      </c>
      <c r="C41" s="93" t="s">
        <v>462</v>
      </c>
      <c r="D41" s="91" t="s">
        <v>208</v>
      </c>
      <c r="E41" s="92">
        <v>40</v>
      </c>
      <c r="F41" s="92">
        <v>15</v>
      </c>
      <c r="G41" s="92" t="s">
        <v>31</v>
      </c>
    </row>
    <row r="42" spans="1:7" s="82" customFormat="1">
      <c r="A42" s="93" t="s">
        <v>251</v>
      </c>
      <c r="B42" s="93" t="s">
        <v>244</v>
      </c>
      <c r="C42" s="93" t="s">
        <v>252</v>
      </c>
      <c r="D42" s="91" t="s">
        <v>208</v>
      </c>
      <c r="E42" s="92">
        <v>40</v>
      </c>
      <c r="F42" s="92">
        <v>15</v>
      </c>
      <c r="G42" s="92" t="s">
        <v>31</v>
      </c>
    </row>
    <row r="43" spans="1:7" s="82" customFormat="1">
      <c r="A43" s="93" t="s">
        <v>253</v>
      </c>
      <c r="B43" s="93" t="s">
        <v>244</v>
      </c>
      <c r="C43" s="93" t="s">
        <v>254</v>
      </c>
      <c r="D43" s="91" t="s">
        <v>208</v>
      </c>
      <c r="E43" s="92">
        <v>40</v>
      </c>
      <c r="F43" s="92">
        <v>15</v>
      </c>
      <c r="G43" s="92" t="s">
        <v>31</v>
      </c>
    </row>
    <row r="44" spans="1:7" s="82" customFormat="1">
      <c r="A44" s="93" t="s">
        <v>255</v>
      </c>
      <c r="B44" s="93" t="s">
        <v>244</v>
      </c>
      <c r="C44" s="93" t="s">
        <v>256</v>
      </c>
      <c r="D44" s="91" t="s">
        <v>208</v>
      </c>
      <c r="E44" s="92">
        <v>75</v>
      </c>
      <c r="F44" s="92">
        <v>15</v>
      </c>
      <c r="G44" s="92" t="s">
        <v>31</v>
      </c>
    </row>
    <row r="45" spans="1:7" s="82" customFormat="1">
      <c r="A45" s="93" t="s">
        <v>257</v>
      </c>
      <c r="B45" s="93" t="s">
        <v>244</v>
      </c>
      <c r="C45" s="93" t="s">
        <v>258</v>
      </c>
      <c r="D45" s="91" t="s">
        <v>208</v>
      </c>
      <c r="E45" s="92">
        <v>40</v>
      </c>
      <c r="F45" s="92">
        <v>15</v>
      </c>
      <c r="G45" s="92" t="s">
        <v>31</v>
      </c>
    </row>
    <row r="46" spans="1:7" s="82" customFormat="1">
      <c r="A46" s="93" t="s">
        <v>235</v>
      </c>
      <c r="B46" s="93" t="s">
        <v>236</v>
      </c>
      <c r="C46" s="93" t="s">
        <v>237</v>
      </c>
      <c r="D46" s="91" t="s">
        <v>208</v>
      </c>
      <c r="E46" s="92">
        <v>60</v>
      </c>
      <c r="F46" s="92">
        <v>15</v>
      </c>
      <c r="G46" s="92" t="s">
        <v>31</v>
      </c>
    </row>
    <row r="47" spans="1:7" s="82" customFormat="1">
      <c r="A47" s="93" t="s">
        <v>238</v>
      </c>
      <c r="B47" s="93" t="s">
        <v>236</v>
      </c>
      <c r="C47" s="93" t="s">
        <v>239</v>
      </c>
      <c r="D47" s="91" t="s">
        <v>208</v>
      </c>
      <c r="E47" s="92">
        <v>60</v>
      </c>
      <c r="F47" s="92">
        <v>15</v>
      </c>
      <c r="G47" s="92" t="s">
        <v>31</v>
      </c>
    </row>
    <row r="48" spans="1:7" s="82" customFormat="1">
      <c r="A48" s="93" t="s">
        <v>240</v>
      </c>
      <c r="B48" s="93" t="s">
        <v>236</v>
      </c>
      <c r="C48" s="93" t="s">
        <v>241</v>
      </c>
      <c r="D48" s="91" t="s">
        <v>208</v>
      </c>
      <c r="E48" s="92">
        <v>60</v>
      </c>
      <c r="F48" s="92">
        <v>15</v>
      </c>
      <c r="G48" s="92" t="s">
        <v>31</v>
      </c>
    </row>
    <row r="49" spans="1:7" s="82" customFormat="1">
      <c r="A49" s="93" t="s">
        <v>459</v>
      </c>
      <c r="B49" s="93" t="s">
        <v>236</v>
      </c>
      <c r="C49" s="93" t="s">
        <v>460</v>
      </c>
      <c r="D49" s="91" t="s">
        <v>208</v>
      </c>
      <c r="E49" s="92">
        <v>60</v>
      </c>
      <c r="F49" s="92">
        <v>15</v>
      </c>
      <c r="G49" s="92" t="s">
        <v>31</v>
      </c>
    </row>
    <row r="50" spans="1:7" s="82" customFormat="1">
      <c r="A50" s="93" t="s">
        <v>242</v>
      </c>
      <c r="B50" s="93" t="s">
        <v>236</v>
      </c>
      <c r="C50" s="93" t="s">
        <v>243</v>
      </c>
      <c r="D50" s="91" t="s">
        <v>208</v>
      </c>
      <c r="E50" s="92">
        <v>60</v>
      </c>
      <c r="F50" s="92">
        <v>15</v>
      </c>
      <c r="G50" s="92" t="s">
        <v>31</v>
      </c>
    </row>
    <row r="51" spans="1:7" s="82" customFormat="1">
      <c r="A51" s="93" t="s">
        <v>207</v>
      </c>
      <c r="B51" s="93" t="s">
        <v>19</v>
      </c>
      <c r="C51" s="93" t="s">
        <v>20</v>
      </c>
      <c r="D51" s="91" t="s">
        <v>208</v>
      </c>
      <c r="E51" s="92">
        <v>50</v>
      </c>
      <c r="F51" s="92">
        <v>50</v>
      </c>
      <c r="G51" s="92" t="s">
        <v>21</v>
      </c>
    </row>
    <row r="52" spans="1:7" s="82" customFormat="1">
      <c r="A52" s="93" t="s">
        <v>209</v>
      </c>
      <c r="B52" s="93" t="s">
        <v>19</v>
      </c>
      <c r="C52" s="93" t="s">
        <v>23</v>
      </c>
      <c r="D52" s="91" t="s">
        <v>208</v>
      </c>
      <c r="E52" s="92">
        <v>25</v>
      </c>
      <c r="F52" s="92">
        <v>7</v>
      </c>
      <c r="G52" s="92" t="s">
        <v>21</v>
      </c>
    </row>
    <row r="53" spans="1:7" s="82" customFormat="1">
      <c r="A53" s="93" t="s">
        <v>278</v>
      </c>
      <c r="B53" s="93" t="s">
        <v>93</v>
      </c>
      <c r="C53" s="93" t="s">
        <v>26</v>
      </c>
      <c r="D53" s="91" t="s">
        <v>208</v>
      </c>
      <c r="E53" s="92">
        <v>0</v>
      </c>
      <c r="F53" s="92">
        <v>0</v>
      </c>
      <c r="G53" s="92" t="s">
        <v>21</v>
      </c>
    </row>
    <row r="54" spans="1:7" s="82" customFormat="1">
      <c r="A54" s="93" t="s">
        <v>233</v>
      </c>
      <c r="B54" s="90" t="s">
        <v>211</v>
      </c>
      <c r="C54" s="93" t="s">
        <v>26</v>
      </c>
      <c r="D54" s="91" t="s">
        <v>208</v>
      </c>
      <c r="E54" s="92">
        <v>0</v>
      </c>
      <c r="F54" s="92">
        <v>0</v>
      </c>
      <c r="G54" s="92" t="s">
        <v>21</v>
      </c>
    </row>
    <row r="55" spans="1:7" s="82" customFormat="1">
      <c r="A55" s="93" t="s">
        <v>268</v>
      </c>
      <c r="B55" s="93" t="s">
        <v>64</v>
      </c>
      <c r="C55" s="93" t="s">
        <v>66</v>
      </c>
      <c r="D55" s="91" t="s">
        <v>208</v>
      </c>
      <c r="E55" s="92">
        <v>110</v>
      </c>
      <c r="F55" s="92">
        <v>15</v>
      </c>
      <c r="G55" s="94" t="s">
        <v>31</v>
      </c>
    </row>
    <row r="56" spans="1:7" s="82" customFormat="1">
      <c r="A56" s="93" t="s">
        <v>279</v>
      </c>
      <c r="B56" s="93" t="s">
        <v>93</v>
      </c>
      <c r="C56" s="93" t="s">
        <v>66</v>
      </c>
      <c r="D56" s="91" t="s">
        <v>208</v>
      </c>
      <c r="E56" s="92">
        <v>75</v>
      </c>
      <c r="F56" s="92">
        <v>39</v>
      </c>
      <c r="G56" s="92" t="s">
        <v>21</v>
      </c>
    </row>
    <row r="57" spans="1:7" s="82" customFormat="1">
      <c r="A57" s="93" t="s">
        <v>234</v>
      </c>
      <c r="B57" s="90" t="s">
        <v>211</v>
      </c>
      <c r="C57" s="93" t="s">
        <v>453</v>
      </c>
      <c r="D57" s="91" t="s">
        <v>208</v>
      </c>
      <c r="E57" s="92">
        <v>60</v>
      </c>
      <c r="F57" s="92">
        <v>15</v>
      </c>
      <c r="G57" s="94" t="s">
        <v>31</v>
      </c>
    </row>
    <row r="58" spans="1:7" s="82" customFormat="1">
      <c r="A58" s="93" t="s">
        <v>451</v>
      </c>
      <c r="B58" s="90" t="s">
        <v>211</v>
      </c>
      <c r="C58" s="93" t="s">
        <v>452</v>
      </c>
      <c r="D58" s="91" t="s">
        <v>208</v>
      </c>
      <c r="E58" s="92">
        <v>20</v>
      </c>
      <c r="F58" s="92">
        <v>5</v>
      </c>
      <c r="G58" s="94" t="s">
        <v>31</v>
      </c>
    </row>
    <row r="59" spans="1:7" s="82" customFormat="1">
      <c r="A59" s="93" t="s">
        <v>280</v>
      </c>
      <c r="B59" s="93" t="s">
        <v>93</v>
      </c>
      <c r="C59" s="93" t="s">
        <v>281</v>
      </c>
      <c r="D59" s="91" t="s">
        <v>208</v>
      </c>
      <c r="E59" s="92">
        <v>35</v>
      </c>
      <c r="F59" s="92">
        <v>15</v>
      </c>
      <c r="G59" s="92" t="s">
        <v>31</v>
      </c>
    </row>
    <row r="60" spans="1:7" s="82" customFormat="1">
      <c r="A60" s="93" t="s">
        <v>627</v>
      </c>
      <c r="B60" s="93" t="s">
        <v>93</v>
      </c>
      <c r="C60" s="93" t="s">
        <v>628</v>
      </c>
      <c r="D60" s="91" t="s">
        <v>208</v>
      </c>
      <c r="E60" s="92">
        <v>20</v>
      </c>
      <c r="F60" s="92">
        <v>15</v>
      </c>
      <c r="G60" s="92" t="s">
        <v>31</v>
      </c>
    </row>
    <row r="61" spans="1:7" s="82" customFormat="1">
      <c r="A61" s="93" t="s">
        <v>282</v>
      </c>
      <c r="B61" s="93" t="s">
        <v>93</v>
      </c>
      <c r="C61" s="93" t="s">
        <v>693</v>
      </c>
      <c r="D61" s="91" t="s">
        <v>208</v>
      </c>
      <c r="E61" s="91">
        <v>7</v>
      </c>
      <c r="F61" s="92">
        <v>5</v>
      </c>
      <c r="G61" s="92" t="s">
        <v>31</v>
      </c>
    </row>
    <row r="62" spans="1:7" s="82" customFormat="1">
      <c r="A62" s="93" t="s">
        <v>717</v>
      </c>
      <c r="B62" s="93" t="s">
        <v>93</v>
      </c>
      <c r="C62" s="93" t="s">
        <v>691</v>
      </c>
      <c r="D62" s="91" t="s">
        <v>208</v>
      </c>
      <c r="E62" s="91">
        <v>10</v>
      </c>
      <c r="F62" s="92">
        <v>5</v>
      </c>
      <c r="G62" s="92" t="s">
        <v>31</v>
      </c>
    </row>
    <row r="63" spans="1:7" s="82" customFormat="1">
      <c r="A63" s="93" t="s">
        <v>718</v>
      </c>
      <c r="B63" s="93" t="s">
        <v>93</v>
      </c>
      <c r="C63" s="93" t="s">
        <v>692</v>
      </c>
      <c r="D63" s="91" t="s">
        <v>208</v>
      </c>
      <c r="E63" s="91">
        <v>15</v>
      </c>
      <c r="F63" s="92">
        <v>5</v>
      </c>
      <c r="G63" s="92" t="s">
        <v>31</v>
      </c>
    </row>
    <row r="64" spans="1:7" s="82" customFormat="1">
      <c r="A64" s="93" t="s">
        <v>719</v>
      </c>
      <c r="B64" s="93" t="s">
        <v>93</v>
      </c>
      <c r="C64" s="93" t="s">
        <v>713</v>
      </c>
      <c r="D64" s="91" t="s">
        <v>208</v>
      </c>
      <c r="E64" s="91">
        <v>20</v>
      </c>
      <c r="F64" s="92">
        <v>5</v>
      </c>
      <c r="G64" s="92" t="s">
        <v>31</v>
      </c>
    </row>
    <row r="65" spans="1:7" s="82" customFormat="1">
      <c r="A65" s="93" t="s">
        <v>283</v>
      </c>
      <c r="B65" s="93" t="s">
        <v>93</v>
      </c>
      <c r="C65" s="93" t="s">
        <v>284</v>
      </c>
      <c r="D65" s="91" t="s">
        <v>208</v>
      </c>
      <c r="E65" s="92">
        <v>35</v>
      </c>
      <c r="F65" s="92">
        <v>15</v>
      </c>
      <c r="G65" s="92" t="s">
        <v>31</v>
      </c>
    </row>
    <row r="66" spans="1:7" s="82" customFormat="1">
      <c r="A66" s="93" t="s">
        <v>285</v>
      </c>
      <c r="B66" s="93" t="s">
        <v>93</v>
      </c>
      <c r="C66" s="93" t="s">
        <v>286</v>
      </c>
      <c r="D66" s="91" t="s">
        <v>208</v>
      </c>
      <c r="E66" s="92">
        <v>60</v>
      </c>
      <c r="F66" s="92">
        <v>15</v>
      </c>
      <c r="G66" s="92" t="s">
        <v>31</v>
      </c>
    </row>
    <row r="67" spans="1:7" s="82" customFormat="1">
      <c r="A67" s="93" t="s">
        <v>287</v>
      </c>
      <c r="B67" s="93" t="s">
        <v>93</v>
      </c>
      <c r="C67" s="93" t="s">
        <v>288</v>
      </c>
      <c r="D67" s="91" t="s">
        <v>208</v>
      </c>
      <c r="E67" s="92">
        <v>25</v>
      </c>
      <c r="F67" s="92">
        <v>15</v>
      </c>
      <c r="G67" s="92" t="s">
        <v>31</v>
      </c>
    </row>
    <row r="68" spans="1:7" s="82" customFormat="1">
      <c r="A68" s="93" t="s">
        <v>289</v>
      </c>
      <c r="B68" s="93" t="s">
        <v>93</v>
      </c>
      <c r="C68" s="93" t="s">
        <v>545</v>
      </c>
      <c r="D68" s="91" t="s">
        <v>208</v>
      </c>
      <c r="E68" s="92">
        <v>10</v>
      </c>
      <c r="F68" s="92">
        <v>5</v>
      </c>
      <c r="G68" s="92" t="s">
        <v>31</v>
      </c>
    </row>
    <row r="69" spans="1:7" s="82" customFormat="1">
      <c r="A69" s="93" t="s">
        <v>606</v>
      </c>
      <c r="B69" s="93" t="s">
        <v>93</v>
      </c>
      <c r="C69" s="93" t="s">
        <v>558</v>
      </c>
      <c r="D69" s="91" t="s">
        <v>208</v>
      </c>
      <c r="E69" s="92">
        <v>10</v>
      </c>
      <c r="F69" s="92">
        <v>7</v>
      </c>
      <c r="G69" s="92" t="s">
        <v>31</v>
      </c>
    </row>
    <row r="70" spans="1:7" s="82" customFormat="1">
      <c r="A70" s="93" t="s">
        <v>290</v>
      </c>
      <c r="B70" s="93" t="s">
        <v>93</v>
      </c>
      <c r="C70" s="93" t="s">
        <v>631</v>
      </c>
      <c r="D70" s="91" t="s">
        <v>208</v>
      </c>
      <c r="E70" s="92">
        <v>5</v>
      </c>
      <c r="F70" s="92">
        <v>5</v>
      </c>
      <c r="G70" s="92" t="s">
        <v>31</v>
      </c>
    </row>
    <row r="71" spans="1:7" s="82" customFormat="1">
      <c r="A71" s="93" t="s">
        <v>473</v>
      </c>
      <c r="B71" s="93" t="s">
        <v>93</v>
      </c>
      <c r="C71" s="93" t="s">
        <v>474</v>
      </c>
      <c r="D71" s="91" t="s">
        <v>208</v>
      </c>
      <c r="E71" s="92">
        <v>15</v>
      </c>
      <c r="F71" s="92">
        <v>5</v>
      </c>
      <c r="G71" s="92" t="s">
        <v>31</v>
      </c>
    </row>
    <row r="72" spans="1:7" s="82" customFormat="1">
      <c r="A72" s="93" t="s">
        <v>629</v>
      </c>
      <c r="B72" s="93" t="s">
        <v>93</v>
      </c>
      <c r="C72" s="93" t="s">
        <v>630</v>
      </c>
      <c r="D72" s="91" t="s">
        <v>208</v>
      </c>
      <c r="E72" s="92">
        <v>15</v>
      </c>
      <c r="F72" s="92">
        <v>5</v>
      </c>
      <c r="G72" s="92" t="s">
        <v>31</v>
      </c>
    </row>
    <row r="73" spans="1:7" s="82" customFormat="1">
      <c r="A73" s="93" t="s">
        <v>291</v>
      </c>
      <c r="B73" s="93" t="s">
        <v>93</v>
      </c>
      <c r="C73" s="93" t="s">
        <v>632</v>
      </c>
      <c r="D73" s="91" t="s">
        <v>208</v>
      </c>
      <c r="E73" s="92">
        <v>5</v>
      </c>
      <c r="F73" s="92">
        <v>5</v>
      </c>
      <c r="G73" s="92" t="s">
        <v>31</v>
      </c>
    </row>
    <row r="74" spans="1:7" s="82" customFormat="1">
      <c r="A74" s="93" t="s">
        <v>633</v>
      </c>
      <c r="B74" s="93" t="s">
        <v>93</v>
      </c>
      <c r="C74" s="93" t="s">
        <v>634</v>
      </c>
      <c r="D74" s="91" t="s">
        <v>208</v>
      </c>
      <c r="E74" s="92">
        <v>3</v>
      </c>
      <c r="F74" s="92">
        <v>5</v>
      </c>
      <c r="G74" s="92" t="s">
        <v>31</v>
      </c>
    </row>
    <row r="75" spans="1:7" s="82" customFormat="1">
      <c r="A75" s="93" t="s">
        <v>635</v>
      </c>
      <c r="B75" s="93" t="s">
        <v>93</v>
      </c>
      <c r="C75" s="93" t="s">
        <v>637</v>
      </c>
      <c r="D75" s="91" t="s">
        <v>208</v>
      </c>
      <c r="E75" s="92">
        <v>10</v>
      </c>
      <c r="F75" s="92">
        <v>5</v>
      </c>
      <c r="G75" s="92" t="s">
        <v>31</v>
      </c>
    </row>
    <row r="76" spans="1:7" s="82" customFormat="1">
      <c r="A76" s="93" t="s">
        <v>636</v>
      </c>
      <c r="B76" s="93" t="s">
        <v>93</v>
      </c>
      <c r="C76" s="93" t="s">
        <v>638</v>
      </c>
      <c r="D76" s="91" t="s">
        <v>208</v>
      </c>
      <c r="E76" s="92">
        <v>20</v>
      </c>
      <c r="F76" s="92">
        <v>5</v>
      </c>
      <c r="G76" s="92" t="s">
        <v>31</v>
      </c>
    </row>
    <row r="77" spans="1:7" s="82" customFormat="1">
      <c r="A77" s="93" t="s">
        <v>292</v>
      </c>
      <c r="B77" s="93" t="s">
        <v>93</v>
      </c>
      <c r="C77" s="93" t="s">
        <v>111</v>
      </c>
      <c r="D77" s="91" t="s">
        <v>208</v>
      </c>
      <c r="E77" s="92">
        <v>15</v>
      </c>
      <c r="F77" s="92">
        <v>5</v>
      </c>
      <c r="G77" s="92" t="s">
        <v>31</v>
      </c>
    </row>
    <row r="78" spans="1:7" s="82" customFormat="1">
      <c r="A78" s="93" t="s">
        <v>536</v>
      </c>
      <c r="B78" s="93" t="s">
        <v>93</v>
      </c>
      <c r="C78" s="93" t="s">
        <v>101</v>
      </c>
      <c r="D78" s="91" t="s">
        <v>208</v>
      </c>
      <c r="E78" s="92">
        <v>10</v>
      </c>
      <c r="F78" s="92">
        <v>7</v>
      </c>
      <c r="G78" s="92" t="s">
        <v>31</v>
      </c>
    </row>
    <row r="79" spans="1:7" s="82" customFormat="1">
      <c r="A79" s="93" t="s">
        <v>607</v>
      </c>
      <c r="B79" s="93" t="s">
        <v>93</v>
      </c>
      <c r="C79" s="93" t="s">
        <v>639</v>
      </c>
      <c r="D79" s="91" t="s">
        <v>208</v>
      </c>
      <c r="E79" s="92">
        <v>10</v>
      </c>
      <c r="F79" s="92">
        <v>7</v>
      </c>
      <c r="G79" s="92" t="s">
        <v>31</v>
      </c>
    </row>
    <row r="80" spans="1:7" s="82" customFormat="1">
      <c r="A80" s="93" t="s">
        <v>18</v>
      </c>
      <c r="B80" s="93" t="s">
        <v>19</v>
      </c>
      <c r="C80" s="93" t="s">
        <v>20</v>
      </c>
      <c r="D80" s="91">
        <v>301</v>
      </c>
      <c r="E80" s="92">
        <v>50</v>
      </c>
      <c r="F80" s="92">
        <v>50</v>
      </c>
      <c r="G80" s="92" t="s">
        <v>21</v>
      </c>
    </row>
    <row r="81" spans="1:7" s="82" customFormat="1">
      <c r="A81" s="93" t="s">
        <v>22</v>
      </c>
      <c r="B81" s="93" t="s">
        <v>19</v>
      </c>
      <c r="C81" s="93" t="s">
        <v>23</v>
      </c>
      <c r="D81" s="91">
        <v>303</v>
      </c>
      <c r="E81" s="92">
        <v>25</v>
      </c>
      <c r="F81" s="92">
        <v>7</v>
      </c>
      <c r="G81" s="92" t="s">
        <v>21</v>
      </c>
    </row>
    <row r="82" spans="1:7" s="82" customFormat="1">
      <c r="A82" s="93" t="s">
        <v>24</v>
      </c>
      <c r="B82" s="93" t="s">
        <v>25</v>
      </c>
      <c r="C82" s="93" t="s">
        <v>26</v>
      </c>
      <c r="D82" s="91">
        <v>310</v>
      </c>
      <c r="E82" s="92">
        <v>0</v>
      </c>
      <c r="F82" s="92">
        <v>0</v>
      </c>
      <c r="G82" s="92" t="s">
        <v>21</v>
      </c>
    </row>
    <row r="83" spans="1:7" s="82" customFormat="1">
      <c r="A83" s="93" t="s">
        <v>27</v>
      </c>
      <c r="B83" s="93" t="s">
        <v>25</v>
      </c>
      <c r="C83" s="93" t="s">
        <v>28</v>
      </c>
      <c r="D83" s="91">
        <v>311</v>
      </c>
      <c r="E83" s="92">
        <v>50</v>
      </c>
      <c r="F83" s="92">
        <v>39</v>
      </c>
      <c r="G83" s="92" t="s">
        <v>21</v>
      </c>
    </row>
    <row r="84" spans="1:7" s="82" customFormat="1">
      <c r="A84" s="93" t="s">
        <v>29</v>
      </c>
      <c r="B84" s="93" t="s">
        <v>25</v>
      </c>
      <c r="C84" s="93" t="s">
        <v>30</v>
      </c>
      <c r="D84" s="91">
        <v>312</v>
      </c>
      <c r="E84" s="92">
        <v>75</v>
      </c>
      <c r="F84" s="92">
        <v>15</v>
      </c>
      <c r="G84" s="92" t="s">
        <v>31</v>
      </c>
    </row>
    <row r="85" spans="1:7" s="82" customFormat="1">
      <c r="A85" s="93" t="s">
        <v>32</v>
      </c>
      <c r="B85" s="93" t="s">
        <v>25</v>
      </c>
      <c r="C85" s="93" t="s">
        <v>33</v>
      </c>
      <c r="D85" s="91">
        <v>313</v>
      </c>
      <c r="E85" s="92">
        <v>75</v>
      </c>
      <c r="F85" s="92">
        <v>15</v>
      </c>
      <c r="G85" s="92" t="s">
        <v>31</v>
      </c>
    </row>
    <row r="86" spans="1:7" s="82" customFormat="1">
      <c r="A86" s="93" t="s">
        <v>34</v>
      </c>
      <c r="B86" s="93" t="s">
        <v>25</v>
      </c>
      <c r="C86" s="93" t="s">
        <v>35</v>
      </c>
      <c r="D86" s="91">
        <v>314</v>
      </c>
      <c r="E86" s="92">
        <v>75</v>
      </c>
      <c r="F86" s="92">
        <v>15</v>
      </c>
      <c r="G86" s="92" t="s">
        <v>31</v>
      </c>
    </row>
    <row r="87" spans="1:7" s="82" customFormat="1">
      <c r="A87" s="93" t="s">
        <v>36</v>
      </c>
      <c r="B87" s="93" t="s">
        <v>25</v>
      </c>
      <c r="C87" s="93" t="s">
        <v>37</v>
      </c>
      <c r="D87" s="91">
        <v>315</v>
      </c>
      <c r="E87" s="92"/>
      <c r="F87" s="92">
        <v>15</v>
      </c>
      <c r="G87" s="92" t="s">
        <v>31</v>
      </c>
    </row>
    <row r="88" spans="1:7" s="82" customFormat="1">
      <c r="A88" s="93" t="s">
        <v>38</v>
      </c>
      <c r="B88" s="93" t="s">
        <v>25</v>
      </c>
      <c r="C88" s="93" t="s">
        <v>39</v>
      </c>
      <c r="D88" s="91">
        <v>316</v>
      </c>
      <c r="E88" s="92"/>
      <c r="F88" s="92">
        <v>15</v>
      </c>
      <c r="G88" s="92" t="s">
        <v>31</v>
      </c>
    </row>
    <row r="89" spans="1:7" s="82" customFormat="1">
      <c r="A89" s="93" t="s">
        <v>640</v>
      </c>
      <c r="B89" s="93" t="s">
        <v>43</v>
      </c>
      <c r="C89" s="93" t="s">
        <v>641</v>
      </c>
      <c r="D89" s="91">
        <v>341</v>
      </c>
      <c r="E89" s="92">
        <v>50</v>
      </c>
      <c r="F89" s="92">
        <v>39</v>
      </c>
      <c r="G89" s="92" t="s">
        <v>21</v>
      </c>
    </row>
    <row r="90" spans="1:7" s="82" customFormat="1">
      <c r="A90" s="93" t="s">
        <v>40</v>
      </c>
      <c r="B90" s="93" t="s">
        <v>43</v>
      </c>
      <c r="C90" s="93" t="s">
        <v>41</v>
      </c>
      <c r="D90" s="91">
        <v>342</v>
      </c>
      <c r="E90" s="92">
        <v>55</v>
      </c>
      <c r="F90" s="92">
        <v>15</v>
      </c>
      <c r="G90" s="92" t="s">
        <v>31</v>
      </c>
    </row>
    <row r="91" spans="1:7" s="82" customFormat="1">
      <c r="A91" s="93" t="s">
        <v>42</v>
      </c>
      <c r="B91" s="93" t="s">
        <v>43</v>
      </c>
      <c r="C91" s="93" t="s">
        <v>44</v>
      </c>
      <c r="D91" s="91">
        <v>344</v>
      </c>
      <c r="E91" s="92">
        <v>50</v>
      </c>
      <c r="F91" s="92">
        <v>15</v>
      </c>
      <c r="G91" s="92" t="s">
        <v>31</v>
      </c>
    </row>
    <row r="92" spans="1:7" s="82" customFormat="1">
      <c r="A92" s="93" t="s">
        <v>587</v>
      </c>
      <c r="B92" s="93" t="s">
        <v>43</v>
      </c>
      <c r="C92" s="93" t="s">
        <v>37</v>
      </c>
      <c r="D92" s="91">
        <v>345</v>
      </c>
      <c r="E92" s="92">
        <v>25</v>
      </c>
      <c r="F92" s="92">
        <v>15</v>
      </c>
      <c r="G92" s="92" t="s">
        <v>31</v>
      </c>
    </row>
    <row r="93" spans="1:7" s="82" customFormat="1">
      <c r="A93" s="93" t="s">
        <v>642</v>
      </c>
      <c r="B93" s="93" t="s">
        <v>43</v>
      </c>
      <c r="C93" s="93" t="s">
        <v>643</v>
      </c>
      <c r="D93" s="91">
        <v>345</v>
      </c>
      <c r="E93" s="92">
        <v>20</v>
      </c>
      <c r="F93" s="92">
        <v>15</v>
      </c>
      <c r="G93" s="92" t="s">
        <v>31</v>
      </c>
    </row>
    <row r="94" spans="1:7" s="82" customFormat="1">
      <c r="A94" s="93" t="s">
        <v>592</v>
      </c>
      <c r="B94" s="93" t="s">
        <v>43</v>
      </c>
      <c r="C94" s="93" t="s">
        <v>39</v>
      </c>
      <c r="D94" s="91">
        <v>345</v>
      </c>
      <c r="E94" s="92"/>
      <c r="F94" s="92">
        <v>15</v>
      </c>
      <c r="G94" s="92" t="s">
        <v>31</v>
      </c>
    </row>
    <row r="95" spans="1:7" s="82" customFormat="1">
      <c r="A95" s="93" t="s">
        <v>45</v>
      </c>
      <c r="B95" s="93" t="s">
        <v>46</v>
      </c>
      <c r="C95" s="93" t="s">
        <v>26</v>
      </c>
      <c r="D95" s="91">
        <v>350</v>
      </c>
      <c r="E95" s="92">
        <v>0</v>
      </c>
      <c r="F95" s="92">
        <v>0</v>
      </c>
      <c r="G95" s="92" t="s">
        <v>21</v>
      </c>
    </row>
    <row r="96" spans="1:7" s="82" customFormat="1">
      <c r="A96" s="93" t="s">
        <v>47</v>
      </c>
      <c r="B96" s="93" t="s">
        <v>46</v>
      </c>
      <c r="C96" s="93" t="s">
        <v>48</v>
      </c>
      <c r="D96" s="91">
        <v>352</v>
      </c>
      <c r="E96" s="92"/>
      <c r="F96" s="92">
        <v>39</v>
      </c>
      <c r="G96" s="92" t="s">
        <v>21</v>
      </c>
    </row>
    <row r="97" spans="1:7" s="82" customFormat="1">
      <c r="A97" s="93" t="s">
        <v>49</v>
      </c>
      <c r="B97" s="93" t="s">
        <v>46</v>
      </c>
      <c r="C97" s="93" t="s">
        <v>50</v>
      </c>
      <c r="D97" s="91">
        <v>353</v>
      </c>
      <c r="E97" s="92"/>
      <c r="F97" s="92">
        <v>15</v>
      </c>
      <c r="G97" s="92" t="s">
        <v>31</v>
      </c>
    </row>
    <row r="98" spans="1:7" s="82" customFormat="1">
      <c r="A98" s="93" t="s">
        <v>51</v>
      </c>
      <c r="B98" s="93" t="s">
        <v>46</v>
      </c>
      <c r="C98" s="93" t="s">
        <v>52</v>
      </c>
      <c r="D98" s="91">
        <v>354</v>
      </c>
      <c r="E98" s="92"/>
      <c r="F98" s="92">
        <v>15</v>
      </c>
      <c r="G98" s="92" t="s">
        <v>31</v>
      </c>
    </row>
    <row r="99" spans="1:7" s="82" customFormat="1">
      <c r="A99" s="93" t="s">
        <v>53</v>
      </c>
      <c r="B99" s="93" t="s">
        <v>46</v>
      </c>
      <c r="C99" s="93" t="s">
        <v>54</v>
      </c>
      <c r="D99" s="91">
        <v>355</v>
      </c>
      <c r="E99" s="92"/>
      <c r="F99" s="92">
        <v>15</v>
      </c>
      <c r="G99" s="92" t="s">
        <v>31</v>
      </c>
    </row>
    <row r="100" spans="1:7" s="82" customFormat="1">
      <c r="A100" s="93" t="s">
        <v>55</v>
      </c>
      <c r="B100" s="93" t="s">
        <v>46</v>
      </c>
      <c r="C100" s="93" t="s">
        <v>56</v>
      </c>
      <c r="D100" s="91">
        <v>356</v>
      </c>
      <c r="E100" s="92"/>
      <c r="F100" s="92">
        <v>15</v>
      </c>
      <c r="G100" s="92" t="s">
        <v>31</v>
      </c>
    </row>
    <row r="101" spans="1:7" s="82" customFormat="1">
      <c r="A101" s="93" t="s">
        <v>57</v>
      </c>
      <c r="B101" s="93" t="s">
        <v>46</v>
      </c>
      <c r="C101" s="93" t="s">
        <v>58</v>
      </c>
      <c r="D101" s="91">
        <v>357</v>
      </c>
      <c r="E101" s="92"/>
      <c r="F101" s="92">
        <v>15</v>
      </c>
      <c r="G101" s="92" t="s">
        <v>31</v>
      </c>
    </row>
    <row r="102" spans="1:7" s="82" customFormat="1">
      <c r="A102" s="93" t="s">
        <v>59</v>
      </c>
      <c r="B102" s="93" t="s">
        <v>46</v>
      </c>
      <c r="C102" s="93" t="s">
        <v>60</v>
      </c>
      <c r="D102" s="91">
        <v>358</v>
      </c>
      <c r="E102" s="92"/>
      <c r="F102" s="92">
        <v>15</v>
      </c>
      <c r="G102" s="92" t="s">
        <v>31</v>
      </c>
    </row>
    <row r="103" spans="1:7" s="82" customFormat="1">
      <c r="A103" s="93" t="s">
        <v>61</v>
      </c>
      <c r="B103" s="93" t="s">
        <v>46</v>
      </c>
      <c r="C103" s="93" t="s">
        <v>62</v>
      </c>
      <c r="D103" s="91">
        <v>359</v>
      </c>
      <c r="E103" s="92"/>
      <c r="F103" s="92">
        <v>15</v>
      </c>
      <c r="G103" s="92" t="s">
        <v>31</v>
      </c>
    </row>
    <row r="104" spans="1:7" s="82" customFormat="1">
      <c r="A104" s="93" t="s">
        <v>63</v>
      </c>
      <c r="B104" s="93" t="s">
        <v>64</v>
      </c>
      <c r="C104" s="93" t="s">
        <v>26</v>
      </c>
      <c r="D104" s="91">
        <v>360</v>
      </c>
      <c r="E104" s="92">
        <v>0</v>
      </c>
      <c r="F104" s="92">
        <v>0</v>
      </c>
      <c r="G104" s="92" t="s">
        <v>21</v>
      </c>
    </row>
    <row r="105" spans="1:7" s="82" customFormat="1">
      <c r="A105" s="93" t="s">
        <v>65</v>
      </c>
      <c r="B105" s="93" t="s">
        <v>64</v>
      </c>
      <c r="C105" s="93" t="s">
        <v>645</v>
      </c>
      <c r="D105" s="91">
        <v>361</v>
      </c>
      <c r="E105" s="92">
        <v>75</v>
      </c>
      <c r="F105" s="92">
        <v>39</v>
      </c>
      <c r="G105" s="92" t="s">
        <v>21</v>
      </c>
    </row>
    <row r="106" spans="1:7" s="82" customFormat="1">
      <c r="A106" s="93" t="s">
        <v>644</v>
      </c>
      <c r="B106" s="93" t="s">
        <v>64</v>
      </c>
      <c r="C106" s="93" t="s">
        <v>646</v>
      </c>
      <c r="D106" s="91">
        <v>361</v>
      </c>
      <c r="E106" s="92">
        <v>50</v>
      </c>
      <c r="F106" s="92">
        <v>7</v>
      </c>
      <c r="G106" s="94" t="s">
        <v>31</v>
      </c>
    </row>
    <row r="107" spans="1:7" s="82" customFormat="1">
      <c r="A107" s="93" t="s">
        <v>67</v>
      </c>
      <c r="B107" s="93" t="s">
        <v>64</v>
      </c>
      <c r="C107" s="93" t="s">
        <v>50</v>
      </c>
      <c r="D107" s="91">
        <v>362</v>
      </c>
      <c r="E107" s="92">
        <v>50</v>
      </c>
      <c r="F107" s="92">
        <v>15</v>
      </c>
      <c r="G107" s="92" t="s">
        <v>31</v>
      </c>
    </row>
    <row r="108" spans="1:7" s="82" customFormat="1">
      <c r="A108" s="93" t="s">
        <v>439</v>
      </c>
      <c r="B108" s="93" t="s">
        <v>64</v>
      </c>
      <c r="C108" s="93" t="s">
        <v>436</v>
      </c>
      <c r="D108" s="91">
        <v>362</v>
      </c>
      <c r="E108" s="92">
        <v>20</v>
      </c>
      <c r="F108" s="92">
        <v>5</v>
      </c>
      <c r="G108" s="92" t="s">
        <v>31</v>
      </c>
    </row>
    <row r="109" spans="1:7" s="82" customFormat="1">
      <c r="A109" s="93" t="s">
        <v>68</v>
      </c>
      <c r="B109" s="93" t="s">
        <v>64</v>
      </c>
      <c r="C109" s="93" t="s">
        <v>69</v>
      </c>
      <c r="D109" s="91">
        <v>363</v>
      </c>
      <c r="E109" s="92"/>
      <c r="F109" s="92">
        <v>15</v>
      </c>
      <c r="G109" s="92" t="s">
        <v>31</v>
      </c>
    </row>
    <row r="110" spans="1:7" s="82" customFormat="1">
      <c r="A110" s="93" t="s">
        <v>70</v>
      </c>
      <c r="B110" s="93" t="s">
        <v>64</v>
      </c>
      <c r="C110" s="93" t="s">
        <v>71</v>
      </c>
      <c r="D110" s="91">
        <v>364</v>
      </c>
      <c r="E110" s="91" t="s">
        <v>72</v>
      </c>
      <c r="F110" s="92">
        <v>15</v>
      </c>
      <c r="G110" s="92" t="s">
        <v>31</v>
      </c>
    </row>
    <row r="111" spans="1:7" s="82" customFormat="1">
      <c r="A111" s="93" t="s">
        <v>73</v>
      </c>
      <c r="B111" s="93" t="s">
        <v>64</v>
      </c>
      <c r="C111" s="93" t="s">
        <v>74</v>
      </c>
      <c r="D111" s="91">
        <v>365</v>
      </c>
      <c r="E111" s="91" t="s">
        <v>75</v>
      </c>
      <c r="F111" s="92">
        <v>15</v>
      </c>
      <c r="G111" s="92" t="s">
        <v>31</v>
      </c>
    </row>
    <row r="112" spans="1:7" s="82" customFormat="1">
      <c r="A112" s="93" t="s">
        <v>76</v>
      </c>
      <c r="B112" s="93" t="s">
        <v>64</v>
      </c>
      <c r="C112" s="93" t="s">
        <v>58</v>
      </c>
      <c r="D112" s="91">
        <v>366</v>
      </c>
      <c r="E112" s="91" t="s">
        <v>77</v>
      </c>
      <c r="F112" s="92">
        <v>15</v>
      </c>
      <c r="G112" s="92" t="s">
        <v>31</v>
      </c>
    </row>
    <row r="113" spans="1:7" s="82" customFormat="1">
      <c r="A113" s="93" t="s">
        <v>78</v>
      </c>
      <c r="B113" s="93" t="s">
        <v>64</v>
      </c>
      <c r="C113" s="93" t="s">
        <v>79</v>
      </c>
      <c r="D113" s="91">
        <v>367</v>
      </c>
      <c r="E113" s="92">
        <v>50</v>
      </c>
      <c r="F113" s="92">
        <v>15</v>
      </c>
      <c r="G113" s="92" t="s">
        <v>31</v>
      </c>
    </row>
    <row r="114" spans="1:7" s="82" customFormat="1">
      <c r="A114" s="93" t="s">
        <v>80</v>
      </c>
      <c r="B114" s="93" t="s">
        <v>64</v>
      </c>
      <c r="C114" s="93" t="s">
        <v>81</v>
      </c>
      <c r="D114" s="91">
        <v>368</v>
      </c>
      <c r="E114" s="92">
        <v>40</v>
      </c>
      <c r="F114" s="92">
        <v>15</v>
      </c>
      <c r="G114" s="92" t="s">
        <v>31</v>
      </c>
    </row>
    <row r="115" spans="1:7" s="82" customFormat="1">
      <c r="A115" s="93" t="s">
        <v>82</v>
      </c>
      <c r="B115" s="93" t="s">
        <v>64</v>
      </c>
      <c r="C115" s="93" t="s">
        <v>83</v>
      </c>
      <c r="D115" s="91">
        <v>369</v>
      </c>
      <c r="E115" s="92">
        <v>40</v>
      </c>
      <c r="F115" s="92">
        <v>15</v>
      </c>
      <c r="G115" s="92" t="s">
        <v>31</v>
      </c>
    </row>
    <row r="116" spans="1:7" s="82" customFormat="1">
      <c r="A116" s="93" t="s">
        <v>84</v>
      </c>
      <c r="B116" s="93" t="s">
        <v>64</v>
      </c>
      <c r="C116" s="93" t="s">
        <v>85</v>
      </c>
      <c r="D116" s="91">
        <v>370</v>
      </c>
      <c r="E116" s="92">
        <v>20</v>
      </c>
      <c r="F116" s="92">
        <v>15</v>
      </c>
      <c r="G116" s="92" t="s">
        <v>31</v>
      </c>
    </row>
    <row r="117" spans="1:7" s="82" customFormat="1">
      <c r="A117" s="93" t="s">
        <v>539</v>
      </c>
      <c r="B117" s="93" t="s">
        <v>64</v>
      </c>
      <c r="C117" s="93" t="s">
        <v>540</v>
      </c>
      <c r="D117" s="91">
        <v>370</v>
      </c>
      <c r="E117" s="92">
        <v>20</v>
      </c>
      <c r="F117" s="92">
        <v>15</v>
      </c>
      <c r="G117" s="92" t="s">
        <v>31</v>
      </c>
    </row>
    <row r="118" spans="1:7" s="82" customFormat="1">
      <c r="A118" s="93" t="s">
        <v>86</v>
      </c>
      <c r="B118" s="93" t="s">
        <v>64</v>
      </c>
      <c r="C118" s="93" t="s">
        <v>87</v>
      </c>
      <c r="D118" s="91">
        <v>371</v>
      </c>
      <c r="E118" s="92">
        <v>50</v>
      </c>
      <c r="F118" s="92">
        <v>15</v>
      </c>
      <c r="G118" s="92" t="s">
        <v>31</v>
      </c>
    </row>
    <row r="119" spans="1:7" s="82" customFormat="1">
      <c r="A119" s="93" t="s">
        <v>88</v>
      </c>
      <c r="B119" s="93" t="s">
        <v>64</v>
      </c>
      <c r="C119" s="93" t="s">
        <v>89</v>
      </c>
      <c r="D119" s="91">
        <v>372</v>
      </c>
      <c r="E119" s="92">
        <v>50</v>
      </c>
      <c r="F119" s="92">
        <v>15</v>
      </c>
      <c r="G119" s="92" t="s">
        <v>31</v>
      </c>
    </row>
    <row r="120" spans="1:7" s="82" customFormat="1">
      <c r="A120" s="93" t="s">
        <v>90</v>
      </c>
      <c r="B120" s="93" t="s">
        <v>64</v>
      </c>
      <c r="C120" s="93" t="s">
        <v>91</v>
      </c>
      <c r="D120" s="91">
        <v>373</v>
      </c>
      <c r="E120" s="92">
        <v>50</v>
      </c>
      <c r="F120" s="92">
        <v>15</v>
      </c>
      <c r="G120" s="92" t="s">
        <v>31</v>
      </c>
    </row>
    <row r="121" spans="1:7" s="82" customFormat="1">
      <c r="A121" s="93" t="s">
        <v>92</v>
      </c>
      <c r="B121" s="93" t="s">
        <v>93</v>
      </c>
      <c r="C121" s="93" t="s">
        <v>26</v>
      </c>
      <c r="D121" s="91">
        <v>389</v>
      </c>
      <c r="E121" s="92">
        <v>0</v>
      </c>
      <c r="F121" s="92">
        <v>0</v>
      </c>
      <c r="G121" s="92" t="s">
        <v>21</v>
      </c>
    </row>
    <row r="122" spans="1:7" s="82" customFormat="1">
      <c r="A122" s="93" t="s">
        <v>94</v>
      </c>
      <c r="B122" s="93" t="s">
        <v>93</v>
      </c>
      <c r="C122" s="93" t="s">
        <v>66</v>
      </c>
      <c r="D122" s="91">
        <v>390</v>
      </c>
      <c r="E122" s="92">
        <v>50</v>
      </c>
      <c r="F122" s="92">
        <v>39</v>
      </c>
      <c r="G122" s="92" t="s">
        <v>21</v>
      </c>
    </row>
    <row r="123" spans="1:7" s="82" customFormat="1">
      <c r="A123" s="93" t="s">
        <v>95</v>
      </c>
      <c r="B123" s="93" t="s">
        <v>93</v>
      </c>
      <c r="C123" s="93" t="s">
        <v>545</v>
      </c>
      <c r="D123" s="91">
        <v>391</v>
      </c>
      <c r="E123" s="92">
        <v>5</v>
      </c>
      <c r="F123" s="92">
        <v>5</v>
      </c>
      <c r="G123" s="92" t="s">
        <v>31</v>
      </c>
    </row>
    <row r="124" spans="1:7" s="82" customFormat="1">
      <c r="A124" s="93" t="s">
        <v>547</v>
      </c>
      <c r="B124" s="93" t="s">
        <v>93</v>
      </c>
      <c r="C124" s="93" t="s">
        <v>546</v>
      </c>
      <c r="D124" s="91">
        <v>391</v>
      </c>
      <c r="E124" s="92">
        <v>10</v>
      </c>
      <c r="F124" s="92">
        <v>7</v>
      </c>
      <c r="G124" s="92" t="s">
        <v>31</v>
      </c>
    </row>
    <row r="125" spans="1:7" s="82" customFormat="1">
      <c r="A125" s="93" t="s">
        <v>96</v>
      </c>
      <c r="B125" s="93" t="s">
        <v>93</v>
      </c>
      <c r="C125" s="93" t="s">
        <v>649</v>
      </c>
      <c r="D125" s="91">
        <v>392</v>
      </c>
      <c r="E125" s="92">
        <v>10</v>
      </c>
      <c r="F125" s="92">
        <v>5</v>
      </c>
      <c r="G125" s="92" t="s">
        <v>31</v>
      </c>
    </row>
    <row r="126" spans="1:7" s="82" customFormat="1">
      <c r="A126" s="93" t="s">
        <v>647</v>
      </c>
      <c r="B126" s="93" t="s">
        <v>93</v>
      </c>
      <c r="C126" s="93" t="s">
        <v>648</v>
      </c>
      <c r="D126" s="91">
        <v>392</v>
      </c>
      <c r="E126" s="92">
        <v>15</v>
      </c>
      <c r="F126" s="92">
        <v>5</v>
      </c>
      <c r="G126" s="92" t="s">
        <v>31</v>
      </c>
    </row>
    <row r="127" spans="1:7" s="82" customFormat="1">
      <c r="A127" s="93" t="s">
        <v>98</v>
      </c>
      <c r="B127" s="93" t="s">
        <v>93</v>
      </c>
      <c r="C127" s="93" t="s">
        <v>99</v>
      </c>
      <c r="D127" s="91">
        <v>393</v>
      </c>
      <c r="E127" s="92">
        <v>10</v>
      </c>
      <c r="F127" s="92">
        <v>7</v>
      </c>
      <c r="G127" s="92" t="s">
        <v>31</v>
      </c>
    </row>
    <row r="128" spans="1:7" s="82" customFormat="1">
      <c r="A128" s="93" t="s">
        <v>100</v>
      </c>
      <c r="B128" s="93" t="s">
        <v>93</v>
      </c>
      <c r="C128" s="93" t="s">
        <v>650</v>
      </c>
      <c r="D128" s="91">
        <v>394</v>
      </c>
      <c r="E128" s="92">
        <v>10</v>
      </c>
      <c r="F128" s="92">
        <v>7</v>
      </c>
      <c r="G128" s="92" t="s">
        <v>31</v>
      </c>
    </row>
    <row r="129" spans="1:7" s="82" customFormat="1">
      <c r="A129" s="93" t="s">
        <v>652</v>
      </c>
      <c r="B129" s="93" t="s">
        <v>93</v>
      </c>
      <c r="C129" s="93" t="s">
        <v>651</v>
      </c>
      <c r="D129" s="91">
        <v>394</v>
      </c>
      <c r="E129" s="92">
        <v>20</v>
      </c>
      <c r="F129" s="92">
        <v>7</v>
      </c>
      <c r="G129" s="92" t="s">
        <v>31</v>
      </c>
    </row>
    <row r="130" spans="1:7" s="82" customFormat="1">
      <c r="A130" s="93" t="s">
        <v>102</v>
      </c>
      <c r="B130" s="93" t="s">
        <v>93</v>
      </c>
      <c r="C130" s="93" t="s">
        <v>103</v>
      </c>
      <c r="D130" s="91">
        <v>395</v>
      </c>
      <c r="E130" s="92">
        <v>15</v>
      </c>
      <c r="F130" s="92">
        <v>7</v>
      </c>
      <c r="G130" s="92" t="s">
        <v>31</v>
      </c>
    </row>
    <row r="131" spans="1:7" s="82" customFormat="1">
      <c r="A131" s="93" t="s">
        <v>104</v>
      </c>
      <c r="B131" s="93" t="s">
        <v>93</v>
      </c>
      <c r="C131" s="93" t="s">
        <v>105</v>
      </c>
      <c r="D131" s="91">
        <v>396</v>
      </c>
      <c r="E131" s="92">
        <v>10</v>
      </c>
      <c r="F131" s="92">
        <v>7</v>
      </c>
      <c r="G131" s="92" t="s">
        <v>31</v>
      </c>
    </row>
    <row r="132" spans="1:7" s="82" customFormat="1">
      <c r="A132" s="93" t="s">
        <v>106</v>
      </c>
      <c r="B132" s="93" t="s">
        <v>93</v>
      </c>
      <c r="C132" s="93" t="s">
        <v>107</v>
      </c>
      <c r="D132" s="91">
        <v>397</v>
      </c>
      <c r="E132" s="92">
        <v>7</v>
      </c>
      <c r="F132" s="92">
        <v>5</v>
      </c>
      <c r="G132" s="92" t="s">
        <v>31</v>
      </c>
    </row>
    <row r="133" spans="1:7" s="82" customFormat="1">
      <c r="A133" s="93" t="s">
        <v>653</v>
      </c>
      <c r="B133" s="93" t="s">
        <v>93</v>
      </c>
      <c r="C133" s="93" t="s">
        <v>654</v>
      </c>
      <c r="D133" s="91">
        <v>397</v>
      </c>
      <c r="E133" s="92">
        <v>15</v>
      </c>
      <c r="F133" s="92">
        <v>5</v>
      </c>
      <c r="G133" s="92" t="s">
        <v>31</v>
      </c>
    </row>
    <row r="134" spans="1:7" s="82" customFormat="1">
      <c r="A134" s="93" t="s">
        <v>108</v>
      </c>
      <c r="B134" s="93" t="s">
        <v>93</v>
      </c>
      <c r="C134" s="93" t="s">
        <v>109</v>
      </c>
      <c r="D134" s="91">
        <v>398</v>
      </c>
      <c r="E134" s="92">
        <v>15</v>
      </c>
      <c r="F134" s="92">
        <v>7</v>
      </c>
      <c r="G134" s="92" t="s">
        <v>31</v>
      </c>
    </row>
    <row r="135" spans="1:7" s="82" customFormat="1">
      <c r="A135" s="93" t="s">
        <v>110</v>
      </c>
      <c r="B135" s="93" t="s">
        <v>93</v>
      </c>
      <c r="C135" s="93" t="s">
        <v>111</v>
      </c>
      <c r="D135" s="91">
        <v>399</v>
      </c>
      <c r="E135" s="92">
        <v>10</v>
      </c>
      <c r="F135" s="92">
        <v>5</v>
      </c>
      <c r="G135" s="92" t="s">
        <v>31</v>
      </c>
    </row>
    <row r="136" spans="1:7" s="82" customFormat="1">
      <c r="A136" s="93" t="s">
        <v>585</v>
      </c>
      <c r="B136" s="93" t="s">
        <v>19</v>
      </c>
      <c r="C136" s="93" t="s">
        <v>20</v>
      </c>
      <c r="D136" s="91">
        <v>301</v>
      </c>
      <c r="E136" s="92">
        <v>50</v>
      </c>
      <c r="F136" s="92">
        <v>50</v>
      </c>
      <c r="G136" s="92" t="s">
        <v>21</v>
      </c>
    </row>
    <row r="137" spans="1:7" s="82" customFormat="1">
      <c r="A137" s="93" t="s">
        <v>655</v>
      </c>
      <c r="B137" s="93" t="s">
        <v>19</v>
      </c>
      <c r="C137" s="93" t="s">
        <v>656</v>
      </c>
      <c r="D137" s="91">
        <v>301</v>
      </c>
      <c r="E137" s="92">
        <v>5</v>
      </c>
      <c r="F137" s="92">
        <v>7</v>
      </c>
      <c r="G137" s="94" t="s">
        <v>31</v>
      </c>
    </row>
    <row r="138" spans="1:7" s="82" customFormat="1">
      <c r="A138" s="93" t="s">
        <v>440</v>
      </c>
      <c r="B138" s="93" t="s">
        <v>93</v>
      </c>
      <c r="C138" s="93" t="s">
        <v>26</v>
      </c>
      <c r="D138" s="91">
        <v>303</v>
      </c>
      <c r="E138" s="92">
        <v>0</v>
      </c>
      <c r="F138" s="92">
        <v>0</v>
      </c>
      <c r="G138" s="92" t="s">
        <v>21</v>
      </c>
    </row>
    <row r="139" spans="1:7" s="82" customFormat="1">
      <c r="A139" s="93" t="s">
        <v>441</v>
      </c>
      <c r="B139" s="93" t="s">
        <v>93</v>
      </c>
      <c r="C139" s="93" t="s">
        <v>645</v>
      </c>
      <c r="D139" s="91">
        <v>304</v>
      </c>
      <c r="E139" s="92">
        <v>75</v>
      </c>
      <c r="F139" s="92">
        <v>39</v>
      </c>
      <c r="G139" s="92" t="s">
        <v>21</v>
      </c>
    </row>
    <row r="140" spans="1:7" s="82" customFormat="1">
      <c r="A140" s="93" t="s">
        <v>657</v>
      </c>
      <c r="B140" s="93" t="s">
        <v>93</v>
      </c>
      <c r="C140" s="93" t="s">
        <v>658</v>
      </c>
      <c r="D140" s="91">
        <v>304</v>
      </c>
      <c r="E140" s="92">
        <v>7</v>
      </c>
      <c r="F140" s="92">
        <v>5</v>
      </c>
      <c r="G140" s="94" t="s">
        <v>31</v>
      </c>
    </row>
    <row r="141" spans="1:7" s="82" customFormat="1">
      <c r="A141" s="93" t="s">
        <v>442</v>
      </c>
      <c r="B141" s="93" t="s">
        <v>93</v>
      </c>
      <c r="C141" s="93" t="s">
        <v>545</v>
      </c>
      <c r="D141" s="91">
        <v>340</v>
      </c>
      <c r="E141" s="92">
        <v>5</v>
      </c>
      <c r="F141" s="92">
        <v>5</v>
      </c>
      <c r="G141" s="92" t="s">
        <v>31</v>
      </c>
    </row>
    <row r="142" spans="1:7" s="82" customFormat="1">
      <c r="A142" s="93" t="s">
        <v>544</v>
      </c>
      <c r="B142" s="93" t="s">
        <v>93</v>
      </c>
      <c r="C142" s="93" t="s">
        <v>546</v>
      </c>
      <c r="D142" s="91">
        <v>340</v>
      </c>
      <c r="E142" s="92">
        <v>10</v>
      </c>
      <c r="F142" s="92">
        <v>7</v>
      </c>
      <c r="G142" s="92" t="s">
        <v>31</v>
      </c>
    </row>
    <row r="143" spans="1:7" s="82" customFormat="1">
      <c r="A143" s="93" t="s">
        <v>443</v>
      </c>
      <c r="B143" s="93" t="s">
        <v>93</v>
      </c>
      <c r="C143" s="93" t="s">
        <v>97</v>
      </c>
      <c r="D143" s="91">
        <v>341</v>
      </c>
      <c r="E143" s="92">
        <v>10</v>
      </c>
      <c r="F143" s="92">
        <v>5</v>
      </c>
      <c r="G143" s="92" t="s">
        <v>31</v>
      </c>
    </row>
    <row r="144" spans="1:7" s="82" customFormat="1">
      <c r="A144" s="93" t="s">
        <v>444</v>
      </c>
      <c r="B144" s="93" t="s">
        <v>93</v>
      </c>
      <c r="C144" s="93" t="s">
        <v>99</v>
      </c>
      <c r="D144" s="91">
        <v>342</v>
      </c>
      <c r="E144" s="92">
        <v>10</v>
      </c>
      <c r="F144" s="92">
        <v>7</v>
      </c>
      <c r="G144" s="92" t="s">
        <v>31</v>
      </c>
    </row>
    <row r="145" spans="1:7" s="82" customFormat="1">
      <c r="A145" s="93" t="s">
        <v>445</v>
      </c>
      <c r="B145" s="93" t="s">
        <v>93</v>
      </c>
      <c r="C145" s="93" t="s">
        <v>101</v>
      </c>
      <c r="D145" s="91">
        <v>343</v>
      </c>
      <c r="E145" s="92">
        <v>10</v>
      </c>
      <c r="F145" s="92">
        <v>7</v>
      </c>
      <c r="G145" s="92" t="s">
        <v>31</v>
      </c>
    </row>
    <row r="146" spans="1:7" s="82" customFormat="1">
      <c r="A146" s="93" t="s">
        <v>446</v>
      </c>
      <c r="B146" s="93" t="s">
        <v>93</v>
      </c>
      <c r="C146" s="93" t="s">
        <v>103</v>
      </c>
      <c r="D146" s="91">
        <v>344</v>
      </c>
      <c r="E146" s="92">
        <v>15</v>
      </c>
      <c r="F146" s="92">
        <v>7</v>
      </c>
      <c r="G146" s="92" t="s">
        <v>31</v>
      </c>
    </row>
    <row r="147" spans="1:7" s="82" customFormat="1">
      <c r="A147" s="93" t="s">
        <v>447</v>
      </c>
      <c r="B147" s="93" t="s">
        <v>93</v>
      </c>
      <c r="C147" s="93" t="s">
        <v>105</v>
      </c>
      <c r="D147" s="91">
        <v>345</v>
      </c>
      <c r="E147" s="92">
        <v>10</v>
      </c>
      <c r="F147" s="92">
        <v>7</v>
      </c>
      <c r="G147" s="92" t="s">
        <v>31</v>
      </c>
    </row>
    <row r="148" spans="1:7" s="82" customFormat="1">
      <c r="A148" s="93" t="s">
        <v>448</v>
      </c>
      <c r="B148" s="93" t="s">
        <v>93</v>
      </c>
      <c r="C148" s="93" t="s">
        <v>107</v>
      </c>
      <c r="D148" s="91">
        <v>346</v>
      </c>
      <c r="E148" s="92">
        <v>7</v>
      </c>
      <c r="F148" s="92">
        <v>5</v>
      </c>
      <c r="G148" s="92" t="s">
        <v>31</v>
      </c>
    </row>
    <row r="149" spans="1:7" s="82" customFormat="1">
      <c r="A149" s="93" t="s">
        <v>449</v>
      </c>
      <c r="B149" s="93" t="s">
        <v>93</v>
      </c>
      <c r="C149" s="93" t="s">
        <v>109</v>
      </c>
      <c r="D149" s="91">
        <v>347</v>
      </c>
      <c r="E149" s="92">
        <v>15</v>
      </c>
      <c r="F149" s="92">
        <v>7</v>
      </c>
      <c r="G149" s="92" t="s">
        <v>31</v>
      </c>
    </row>
    <row r="150" spans="1:7" s="82" customFormat="1">
      <c r="A150" s="93" t="s">
        <v>450</v>
      </c>
      <c r="B150" s="93" t="s">
        <v>93</v>
      </c>
      <c r="C150" s="93" t="s">
        <v>661</v>
      </c>
      <c r="D150" s="91">
        <v>348</v>
      </c>
      <c r="E150" s="92">
        <v>3</v>
      </c>
      <c r="F150" s="92">
        <v>5</v>
      </c>
      <c r="G150" s="92" t="s">
        <v>31</v>
      </c>
    </row>
    <row r="151" spans="1:7" s="82" customFormat="1">
      <c r="A151" s="93" t="s">
        <v>659</v>
      </c>
      <c r="B151" s="93" t="s">
        <v>93</v>
      </c>
      <c r="C151" s="93" t="s">
        <v>660</v>
      </c>
      <c r="D151" s="91">
        <v>348</v>
      </c>
      <c r="E151" s="92">
        <v>10</v>
      </c>
      <c r="F151" s="92">
        <v>5</v>
      </c>
      <c r="G151" s="92" t="s">
        <v>31</v>
      </c>
    </row>
    <row r="152" spans="1:7" s="82" customFormat="1">
      <c r="A152" s="90" t="s">
        <v>293</v>
      </c>
      <c r="B152" s="90" t="s">
        <v>19</v>
      </c>
      <c r="C152" s="90" t="s">
        <v>20</v>
      </c>
      <c r="D152" s="91">
        <v>301</v>
      </c>
      <c r="E152" s="92">
        <v>50</v>
      </c>
      <c r="F152" s="92">
        <v>50</v>
      </c>
      <c r="G152" s="92" t="s">
        <v>21</v>
      </c>
    </row>
    <row r="153" spans="1:7" s="82" customFormat="1">
      <c r="A153" s="93" t="s">
        <v>294</v>
      </c>
      <c r="B153" s="93" t="s">
        <v>19</v>
      </c>
      <c r="C153" s="93" t="s">
        <v>23</v>
      </c>
      <c r="D153" s="91">
        <v>303</v>
      </c>
      <c r="E153" s="92">
        <v>25</v>
      </c>
      <c r="F153" s="92">
        <v>7</v>
      </c>
      <c r="G153" s="92" t="s">
        <v>21</v>
      </c>
    </row>
    <row r="154" spans="1:7" s="82" customFormat="1">
      <c r="A154" s="93" t="s">
        <v>295</v>
      </c>
      <c r="B154" s="93" t="s">
        <v>64</v>
      </c>
      <c r="C154" s="93" t="s">
        <v>26</v>
      </c>
      <c r="D154" s="91">
        <v>374</v>
      </c>
      <c r="E154" s="92">
        <v>0</v>
      </c>
      <c r="F154" s="92">
        <v>0</v>
      </c>
      <c r="G154" s="92" t="s">
        <v>21</v>
      </c>
    </row>
    <row r="155" spans="1:7" s="82" customFormat="1">
      <c r="A155" s="93" t="s">
        <v>296</v>
      </c>
      <c r="B155" s="93" t="s">
        <v>64</v>
      </c>
      <c r="C155" s="93" t="s">
        <v>66</v>
      </c>
      <c r="D155" s="91">
        <v>375</v>
      </c>
      <c r="E155" s="92">
        <v>75</v>
      </c>
      <c r="F155" s="92">
        <v>39</v>
      </c>
      <c r="G155" s="92" t="s">
        <v>21</v>
      </c>
    </row>
    <row r="156" spans="1:7" s="82" customFormat="1">
      <c r="A156" s="93" t="s">
        <v>297</v>
      </c>
      <c r="B156" s="93" t="s">
        <v>64</v>
      </c>
      <c r="C156" s="93" t="s">
        <v>298</v>
      </c>
      <c r="D156" s="91">
        <v>376</v>
      </c>
      <c r="E156" s="92" t="s">
        <v>299</v>
      </c>
      <c r="F156" s="92">
        <v>15</v>
      </c>
      <c r="G156" s="92" t="s">
        <v>31</v>
      </c>
    </row>
    <row r="157" spans="1:7" s="82" customFormat="1">
      <c r="A157" s="93" t="s">
        <v>300</v>
      </c>
      <c r="B157" s="93" t="s">
        <v>64</v>
      </c>
      <c r="C157" s="93" t="s">
        <v>301</v>
      </c>
      <c r="D157" s="91">
        <v>377</v>
      </c>
      <c r="E157" s="92">
        <v>40</v>
      </c>
      <c r="F157" s="92">
        <v>15</v>
      </c>
      <c r="G157" s="92" t="s">
        <v>31</v>
      </c>
    </row>
    <row r="158" spans="1:7" s="82" customFormat="1">
      <c r="A158" s="93" t="s">
        <v>302</v>
      </c>
      <c r="B158" s="93" t="s">
        <v>64</v>
      </c>
      <c r="C158" s="93" t="s">
        <v>303</v>
      </c>
      <c r="D158" s="91">
        <v>378</v>
      </c>
      <c r="E158" s="92">
        <v>25</v>
      </c>
      <c r="F158" s="92">
        <v>15</v>
      </c>
      <c r="G158" s="92" t="s">
        <v>31</v>
      </c>
    </row>
    <row r="159" spans="1:7" s="82" customFormat="1">
      <c r="A159" s="93" t="s">
        <v>475</v>
      </c>
      <c r="B159" s="93" t="s">
        <v>64</v>
      </c>
      <c r="C159" s="93" t="s">
        <v>474</v>
      </c>
      <c r="D159" s="91">
        <v>378</v>
      </c>
      <c r="E159" s="92">
        <v>15</v>
      </c>
      <c r="F159" s="92">
        <v>5</v>
      </c>
      <c r="G159" s="92" t="s">
        <v>31</v>
      </c>
    </row>
    <row r="160" spans="1:7" s="82" customFormat="1">
      <c r="A160" s="93" t="s">
        <v>304</v>
      </c>
      <c r="B160" s="93" t="s">
        <v>64</v>
      </c>
      <c r="C160" s="93" t="s">
        <v>305</v>
      </c>
      <c r="D160" s="91">
        <v>379</v>
      </c>
      <c r="E160" s="92">
        <v>25</v>
      </c>
      <c r="F160" s="92">
        <v>15</v>
      </c>
      <c r="G160" s="92" t="s">
        <v>31</v>
      </c>
    </row>
    <row r="161" spans="1:7" s="82" customFormat="1">
      <c r="A161" s="93" t="s">
        <v>306</v>
      </c>
      <c r="B161" s="93" t="s">
        <v>64</v>
      </c>
      <c r="C161" s="93" t="s">
        <v>83</v>
      </c>
      <c r="D161" s="91">
        <v>380</v>
      </c>
      <c r="E161" s="92">
        <v>50</v>
      </c>
      <c r="F161" s="92">
        <v>15</v>
      </c>
      <c r="G161" s="92" t="s">
        <v>31</v>
      </c>
    </row>
    <row r="162" spans="1:7" s="82" customFormat="1">
      <c r="A162" s="93" t="s">
        <v>307</v>
      </c>
      <c r="B162" s="93" t="s">
        <v>64</v>
      </c>
      <c r="C162" s="93" t="s">
        <v>85</v>
      </c>
      <c r="D162" s="91">
        <v>381</v>
      </c>
      <c r="E162" s="92">
        <v>35</v>
      </c>
      <c r="F162" s="92">
        <v>15</v>
      </c>
      <c r="G162" s="92" t="s">
        <v>31</v>
      </c>
    </row>
    <row r="163" spans="1:7" s="82" customFormat="1">
      <c r="A163" s="93" t="s">
        <v>662</v>
      </c>
      <c r="B163" s="93" t="s">
        <v>64</v>
      </c>
      <c r="C163" s="93" t="s">
        <v>665</v>
      </c>
      <c r="D163" s="91">
        <v>381</v>
      </c>
      <c r="E163" s="92">
        <v>40</v>
      </c>
      <c r="F163" s="92">
        <v>15</v>
      </c>
      <c r="G163" s="92" t="s">
        <v>31</v>
      </c>
    </row>
    <row r="164" spans="1:7" s="82" customFormat="1">
      <c r="A164" s="93" t="s">
        <v>663</v>
      </c>
      <c r="B164" s="93" t="s">
        <v>64</v>
      </c>
      <c r="C164" s="93" t="s">
        <v>664</v>
      </c>
      <c r="D164" s="91">
        <v>381</v>
      </c>
      <c r="E164" s="92">
        <v>20</v>
      </c>
      <c r="F164" s="92">
        <v>15</v>
      </c>
      <c r="G164" s="92" t="s">
        <v>31</v>
      </c>
    </row>
    <row r="165" spans="1:7" s="82" customFormat="1">
      <c r="A165" s="93" t="s">
        <v>308</v>
      </c>
      <c r="B165" s="93" t="s">
        <v>64</v>
      </c>
      <c r="C165" s="93" t="s">
        <v>309</v>
      </c>
      <c r="D165" s="91">
        <v>382</v>
      </c>
      <c r="E165" s="92">
        <v>50</v>
      </c>
      <c r="F165" s="92">
        <v>15</v>
      </c>
      <c r="G165" s="92" t="s">
        <v>31</v>
      </c>
    </row>
    <row r="166" spans="1:7" s="82" customFormat="1">
      <c r="A166" s="93" t="s">
        <v>310</v>
      </c>
      <c r="B166" s="93" t="s">
        <v>64</v>
      </c>
      <c r="C166" s="93" t="s">
        <v>311</v>
      </c>
      <c r="D166" s="91">
        <v>383</v>
      </c>
      <c r="E166" s="92">
        <v>35</v>
      </c>
      <c r="F166" s="92">
        <v>15</v>
      </c>
      <c r="G166" s="92" t="s">
        <v>31</v>
      </c>
    </row>
    <row r="167" spans="1:7" s="82" customFormat="1">
      <c r="A167" s="93" t="s">
        <v>312</v>
      </c>
      <c r="B167" s="93" t="s">
        <v>64</v>
      </c>
      <c r="C167" s="93" t="s">
        <v>313</v>
      </c>
      <c r="D167" s="91">
        <v>384</v>
      </c>
      <c r="E167" s="92">
        <v>50</v>
      </c>
      <c r="F167" s="92">
        <v>15</v>
      </c>
      <c r="G167" s="92" t="s">
        <v>31</v>
      </c>
    </row>
    <row r="168" spans="1:7" s="82" customFormat="1">
      <c r="A168" s="93" t="s">
        <v>314</v>
      </c>
      <c r="B168" s="93" t="s">
        <v>64</v>
      </c>
      <c r="C168" s="93" t="s">
        <v>315</v>
      </c>
      <c r="D168" s="91">
        <v>385</v>
      </c>
      <c r="E168" s="92">
        <v>35</v>
      </c>
      <c r="F168" s="92">
        <v>15</v>
      </c>
      <c r="G168" s="92" t="s">
        <v>31</v>
      </c>
    </row>
    <row r="169" spans="1:7" s="82" customFormat="1">
      <c r="A169" s="93" t="s">
        <v>316</v>
      </c>
      <c r="B169" s="93" t="s">
        <v>64</v>
      </c>
      <c r="C169" s="93" t="s">
        <v>317</v>
      </c>
      <c r="D169" s="91">
        <v>386</v>
      </c>
      <c r="E169" s="92">
        <v>35</v>
      </c>
      <c r="F169" s="92">
        <v>15</v>
      </c>
      <c r="G169" s="92" t="s">
        <v>31</v>
      </c>
    </row>
    <row r="170" spans="1:7" s="82" customFormat="1">
      <c r="A170" s="93" t="s">
        <v>318</v>
      </c>
      <c r="B170" s="93" t="s">
        <v>64</v>
      </c>
      <c r="C170" s="93" t="s">
        <v>319</v>
      </c>
      <c r="D170" s="91">
        <v>387</v>
      </c>
      <c r="E170" s="92">
        <v>20</v>
      </c>
      <c r="F170" s="92">
        <v>15</v>
      </c>
      <c r="G170" s="92" t="s">
        <v>31</v>
      </c>
    </row>
    <row r="171" spans="1:7" s="82" customFormat="1">
      <c r="A171" s="93" t="s">
        <v>320</v>
      </c>
      <c r="B171" s="93" t="s">
        <v>93</v>
      </c>
      <c r="C171" s="93" t="s">
        <v>26</v>
      </c>
      <c r="D171" s="91">
        <v>389</v>
      </c>
      <c r="E171" s="92">
        <v>0</v>
      </c>
      <c r="F171" s="92">
        <v>0</v>
      </c>
      <c r="G171" s="92" t="s">
        <v>21</v>
      </c>
    </row>
    <row r="172" spans="1:7" s="82" customFormat="1">
      <c r="A172" s="93" t="s">
        <v>321</v>
      </c>
      <c r="B172" s="93" t="s">
        <v>93</v>
      </c>
      <c r="C172" s="93" t="s">
        <v>66</v>
      </c>
      <c r="D172" s="91">
        <v>390</v>
      </c>
      <c r="E172" s="92">
        <v>75</v>
      </c>
      <c r="F172" s="92">
        <v>39</v>
      </c>
      <c r="G172" s="92" t="s">
        <v>21</v>
      </c>
    </row>
    <row r="173" spans="1:7" s="82" customFormat="1">
      <c r="A173" s="93" t="s">
        <v>322</v>
      </c>
      <c r="B173" s="93" t="s">
        <v>93</v>
      </c>
      <c r="C173" s="93" t="s">
        <v>545</v>
      </c>
      <c r="D173" s="91">
        <v>391</v>
      </c>
      <c r="E173" s="92">
        <v>5</v>
      </c>
      <c r="F173" s="92">
        <v>5</v>
      </c>
      <c r="G173" s="92" t="s">
        <v>31</v>
      </c>
    </row>
    <row r="174" spans="1:7" s="82" customFormat="1">
      <c r="A174" s="93" t="s">
        <v>559</v>
      </c>
      <c r="B174" s="93" t="s">
        <v>93</v>
      </c>
      <c r="C174" s="93" t="s">
        <v>558</v>
      </c>
      <c r="D174" s="91">
        <v>391</v>
      </c>
      <c r="E174" s="92">
        <v>10</v>
      </c>
      <c r="F174" s="92">
        <v>7</v>
      </c>
      <c r="G174" s="92" t="s">
        <v>31</v>
      </c>
    </row>
    <row r="175" spans="1:7" s="82" customFormat="1">
      <c r="A175" s="93" t="s">
        <v>323</v>
      </c>
      <c r="B175" s="93" t="s">
        <v>93</v>
      </c>
      <c r="C175" s="93" t="s">
        <v>97</v>
      </c>
      <c r="D175" s="91">
        <v>392</v>
      </c>
      <c r="E175" s="92">
        <v>10</v>
      </c>
      <c r="F175" s="92">
        <v>5</v>
      </c>
      <c r="G175" s="92" t="s">
        <v>31</v>
      </c>
    </row>
    <row r="176" spans="1:7" s="82" customFormat="1">
      <c r="A176" s="93" t="s">
        <v>324</v>
      </c>
      <c r="B176" s="93" t="s">
        <v>93</v>
      </c>
      <c r="C176" s="93" t="s">
        <v>99</v>
      </c>
      <c r="D176" s="91">
        <v>393</v>
      </c>
      <c r="E176" s="92">
        <v>10</v>
      </c>
      <c r="F176" s="92">
        <v>7</v>
      </c>
      <c r="G176" s="92" t="s">
        <v>31</v>
      </c>
    </row>
    <row r="177" spans="1:7" s="82" customFormat="1">
      <c r="A177" s="93" t="s">
        <v>325</v>
      </c>
      <c r="B177" s="93" t="s">
        <v>93</v>
      </c>
      <c r="C177" s="93" t="s">
        <v>101</v>
      </c>
      <c r="D177" s="91">
        <v>394</v>
      </c>
      <c r="E177" s="92">
        <v>10</v>
      </c>
      <c r="F177" s="92">
        <v>7</v>
      </c>
      <c r="G177" s="92" t="s">
        <v>31</v>
      </c>
    </row>
    <row r="178" spans="1:7" s="82" customFormat="1">
      <c r="A178" s="93" t="s">
        <v>326</v>
      </c>
      <c r="B178" s="93" t="s">
        <v>93</v>
      </c>
      <c r="C178" s="93" t="s">
        <v>103</v>
      </c>
      <c r="D178" s="91">
        <v>395</v>
      </c>
      <c r="E178" s="92">
        <v>7</v>
      </c>
      <c r="F178" s="92">
        <v>7</v>
      </c>
      <c r="G178" s="92" t="s">
        <v>31</v>
      </c>
    </row>
    <row r="179" spans="1:7" s="82" customFormat="1">
      <c r="A179" s="93" t="s">
        <v>327</v>
      </c>
      <c r="B179" s="93" t="s">
        <v>93</v>
      </c>
      <c r="C179" s="93" t="s">
        <v>105</v>
      </c>
      <c r="D179" s="91">
        <v>396</v>
      </c>
      <c r="E179" s="92">
        <v>10</v>
      </c>
      <c r="F179" s="92">
        <v>7</v>
      </c>
      <c r="G179" s="92" t="s">
        <v>31</v>
      </c>
    </row>
    <row r="180" spans="1:7" s="82" customFormat="1">
      <c r="A180" s="93" t="s">
        <v>328</v>
      </c>
      <c r="B180" s="93" t="s">
        <v>93</v>
      </c>
      <c r="C180" s="93" t="s">
        <v>107</v>
      </c>
      <c r="D180" s="91">
        <v>397</v>
      </c>
      <c r="E180" s="92">
        <v>7</v>
      </c>
      <c r="F180" s="92">
        <v>5</v>
      </c>
      <c r="G180" s="92" t="s">
        <v>31</v>
      </c>
    </row>
    <row r="181" spans="1:7" s="82" customFormat="1">
      <c r="A181" s="93" t="s">
        <v>329</v>
      </c>
      <c r="B181" s="93" t="s">
        <v>93</v>
      </c>
      <c r="C181" s="93" t="s">
        <v>109</v>
      </c>
      <c r="D181" s="91">
        <v>398</v>
      </c>
      <c r="E181" s="92">
        <v>7</v>
      </c>
      <c r="F181" s="92">
        <v>7</v>
      </c>
      <c r="G181" s="92" t="s">
        <v>31</v>
      </c>
    </row>
    <row r="182" spans="1:7" s="82" customFormat="1">
      <c r="A182" s="93" t="s">
        <v>330</v>
      </c>
      <c r="B182" s="93" t="s">
        <v>93</v>
      </c>
      <c r="C182" s="93" t="s">
        <v>111</v>
      </c>
      <c r="D182" s="91">
        <v>399</v>
      </c>
      <c r="E182" s="92">
        <v>15</v>
      </c>
      <c r="F182" s="92">
        <v>3</v>
      </c>
      <c r="G182" s="92" t="s">
        <v>31</v>
      </c>
    </row>
    <row r="183" spans="1:7" s="82" customFormat="1">
      <c r="A183" s="93" t="s">
        <v>112</v>
      </c>
      <c r="B183" s="93" t="s">
        <v>19</v>
      </c>
      <c r="C183" s="93" t="s">
        <v>20</v>
      </c>
      <c r="D183" s="91">
        <v>301</v>
      </c>
      <c r="E183" s="92">
        <v>50</v>
      </c>
      <c r="F183" s="92">
        <v>50</v>
      </c>
      <c r="G183" s="92" t="s">
        <v>21</v>
      </c>
    </row>
    <row r="184" spans="1:7" s="82" customFormat="1">
      <c r="A184" s="93" t="s">
        <v>130</v>
      </c>
      <c r="B184" s="93" t="s">
        <v>131</v>
      </c>
      <c r="C184" s="93" t="s">
        <v>132</v>
      </c>
      <c r="D184" s="91">
        <v>302</v>
      </c>
      <c r="E184" s="92">
        <v>0</v>
      </c>
      <c r="F184" s="92">
        <v>0</v>
      </c>
      <c r="G184" s="92" t="s">
        <v>21</v>
      </c>
    </row>
    <row r="185" spans="1:7" s="82" customFormat="1">
      <c r="A185" s="93" t="s">
        <v>666</v>
      </c>
      <c r="B185" s="93" t="s">
        <v>667</v>
      </c>
      <c r="C185" s="93" t="s">
        <v>26</v>
      </c>
      <c r="D185" s="91">
        <v>303</v>
      </c>
      <c r="E185" s="92">
        <v>0</v>
      </c>
      <c r="F185" s="92">
        <v>0</v>
      </c>
      <c r="G185" s="92" t="s">
        <v>21</v>
      </c>
    </row>
    <row r="186" spans="1:7" s="82" customFormat="1">
      <c r="A186" s="93" t="s">
        <v>148</v>
      </c>
      <c r="B186" s="93" t="s">
        <v>149</v>
      </c>
      <c r="C186" s="93" t="s">
        <v>26</v>
      </c>
      <c r="D186" s="91">
        <v>303</v>
      </c>
      <c r="E186" s="92">
        <v>0</v>
      </c>
      <c r="F186" s="92">
        <v>0</v>
      </c>
      <c r="G186" s="92" t="s">
        <v>21</v>
      </c>
    </row>
    <row r="187" spans="1:7" s="82" customFormat="1">
      <c r="A187" s="93" t="s">
        <v>114</v>
      </c>
      <c r="B187" s="93" t="s">
        <v>64</v>
      </c>
      <c r="C187" s="93" t="s">
        <v>26</v>
      </c>
      <c r="D187" s="91">
        <v>303</v>
      </c>
      <c r="E187" s="92">
        <v>0</v>
      </c>
      <c r="F187" s="92">
        <v>0</v>
      </c>
      <c r="G187" s="92" t="s">
        <v>21</v>
      </c>
    </row>
    <row r="188" spans="1:7" s="82" customFormat="1">
      <c r="A188" s="93" t="s">
        <v>156</v>
      </c>
      <c r="B188" s="93" t="s">
        <v>93</v>
      </c>
      <c r="C188" s="93" t="s">
        <v>26</v>
      </c>
      <c r="D188" s="91">
        <v>303</v>
      </c>
      <c r="E188" s="92">
        <v>0</v>
      </c>
      <c r="F188" s="92">
        <v>0</v>
      </c>
      <c r="G188" s="92" t="s">
        <v>21</v>
      </c>
    </row>
    <row r="189" spans="1:7" s="82" customFormat="1">
      <c r="A189" s="93" t="s">
        <v>133</v>
      </c>
      <c r="B189" s="93" t="s">
        <v>131</v>
      </c>
      <c r="C189" s="93" t="s">
        <v>645</v>
      </c>
      <c r="D189" s="91">
        <v>304</v>
      </c>
      <c r="E189" s="92">
        <v>75</v>
      </c>
      <c r="F189" s="92">
        <v>39</v>
      </c>
      <c r="G189" s="92" t="s">
        <v>21</v>
      </c>
    </row>
    <row r="190" spans="1:7" s="82" customFormat="1">
      <c r="A190" s="93" t="s">
        <v>548</v>
      </c>
      <c r="B190" s="93" t="s">
        <v>131</v>
      </c>
      <c r="C190" s="93" t="s">
        <v>549</v>
      </c>
      <c r="D190" s="91">
        <v>304</v>
      </c>
      <c r="E190" s="92">
        <v>10</v>
      </c>
      <c r="F190" s="92">
        <v>5</v>
      </c>
      <c r="G190" s="94" t="s">
        <v>31</v>
      </c>
    </row>
    <row r="191" spans="1:7" s="82" customFormat="1">
      <c r="A191" s="93" t="s">
        <v>150</v>
      </c>
      <c r="B191" s="93" t="s">
        <v>149</v>
      </c>
      <c r="C191" s="93" t="s">
        <v>66</v>
      </c>
      <c r="D191" s="91">
        <v>304</v>
      </c>
      <c r="E191" s="92">
        <v>75</v>
      </c>
      <c r="F191" s="92">
        <v>39</v>
      </c>
      <c r="G191" s="92" t="s">
        <v>21</v>
      </c>
    </row>
    <row r="192" spans="1:7" s="82" customFormat="1">
      <c r="A192" s="93" t="s">
        <v>115</v>
      </c>
      <c r="B192" s="93" t="s">
        <v>64</v>
      </c>
      <c r="C192" s="93" t="s">
        <v>66</v>
      </c>
      <c r="D192" s="91">
        <v>304</v>
      </c>
      <c r="E192" s="92">
        <v>75</v>
      </c>
      <c r="F192" s="92">
        <v>25</v>
      </c>
      <c r="G192" s="92" t="s">
        <v>21</v>
      </c>
    </row>
    <row r="193" spans="1:7" s="82" customFormat="1">
      <c r="A193" s="93" t="s">
        <v>157</v>
      </c>
      <c r="B193" s="93" t="s">
        <v>93</v>
      </c>
      <c r="C193" s="93" t="s">
        <v>591</v>
      </c>
      <c r="D193" s="91">
        <v>304</v>
      </c>
      <c r="E193" s="92">
        <v>75</v>
      </c>
      <c r="F193" s="92">
        <v>25</v>
      </c>
      <c r="G193" s="92" t="s">
        <v>21</v>
      </c>
    </row>
    <row r="194" spans="1:7" s="82" customFormat="1">
      <c r="A194" s="93" t="s">
        <v>590</v>
      </c>
      <c r="B194" s="93" t="s">
        <v>93</v>
      </c>
      <c r="C194" s="93" t="s">
        <v>452</v>
      </c>
      <c r="D194" s="91">
        <v>304</v>
      </c>
      <c r="E194" s="92">
        <v>20</v>
      </c>
      <c r="F194" s="92">
        <v>25</v>
      </c>
      <c r="G194" s="94" t="s">
        <v>31</v>
      </c>
    </row>
    <row r="195" spans="1:7" s="82" customFormat="1">
      <c r="A195" s="93" t="s">
        <v>668</v>
      </c>
      <c r="B195" s="93" t="s">
        <v>93</v>
      </c>
      <c r="C195" s="93" t="s">
        <v>669</v>
      </c>
      <c r="D195" s="91">
        <v>304</v>
      </c>
      <c r="E195" s="92">
        <v>50</v>
      </c>
      <c r="F195" s="92">
        <v>25</v>
      </c>
      <c r="G195" s="94" t="s">
        <v>31</v>
      </c>
    </row>
    <row r="196" spans="1:7" s="82" customFormat="1">
      <c r="A196" s="93" t="s">
        <v>134</v>
      </c>
      <c r="B196" s="93" t="s">
        <v>131</v>
      </c>
      <c r="C196" s="93" t="s">
        <v>135</v>
      </c>
      <c r="D196" s="91">
        <v>305</v>
      </c>
      <c r="E196" s="92">
        <v>125</v>
      </c>
      <c r="F196" s="92">
        <v>25</v>
      </c>
      <c r="G196" s="92" t="s">
        <v>31</v>
      </c>
    </row>
    <row r="197" spans="1:7" s="82" customFormat="1">
      <c r="A197" s="93" t="s">
        <v>136</v>
      </c>
      <c r="B197" s="93" t="s">
        <v>131</v>
      </c>
      <c r="C197" s="93" t="s">
        <v>137</v>
      </c>
      <c r="D197" s="91">
        <v>306</v>
      </c>
      <c r="E197" s="92">
        <v>40</v>
      </c>
      <c r="F197" s="92">
        <v>25</v>
      </c>
      <c r="G197" s="92" t="s">
        <v>31</v>
      </c>
    </row>
    <row r="198" spans="1:7" s="82" customFormat="1">
      <c r="A198" s="93" t="s">
        <v>138</v>
      </c>
      <c r="B198" s="93" t="s">
        <v>131</v>
      </c>
      <c r="C198" s="93" t="s">
        <v>139</v>
      </c>
      <c r="D198" s="91">
        <v>307</v>
      </c>
      <c r="E198" s="92">
        <v>50</v>
      </c>
      <c r="F198" s="92">
        <v>25</v>
      </c>
      <c r="G198" s="92" t="s">
        <v>31</v>
      </c>
    </row>
    <row r="199" spans="1:7" s="82" customFormat="1">
      <c r="A199" s="93" t="s">
        <v>140</v>
      </c>
      <c r="B199" s="93" t="s">
        <v>131</v>
      </c>
      <c r="C199" s="93" t="s">
        <v>141</v>
      </c>
      <c r="D199" s="91">
        <v>308</v>
      </c>
      <c r="E199" s="92">
        <v>25</v>
      </c>
      <c r="F199" s="92">
        <v>25</v>
      </c>
      <c r="G199" s="92" t="s">
        <v>31</v>
      </c>
    </row>
    <row r="200" spans="1:7" s="82" customFormat="1">
      <c r="A200" s="93" t="s">
        <v>142</v>
      </c>
      <c r="B200" s="93" t="s">
        <v>131</v>
      </c>
      <c r="C200" s="93" t="s">
        <v>143</v>
      </c>
      <c r="D200" s="91">
        <v>309</v>
      </c>
      <c r="E200" s="92">
        <v>40</v>
      </c>
      <c r="F200" s="92">
        <v>25</v>
      </c>
      <c r="G200" s="92" t="s">
        <v>31</v>
      </c>
    </row>
    <row r="201" spans="1:7" s="82" customFormat="1">
      <c r="A201" s="93" t="s">
        <v>144</v>
      </c>
      <c r="B201" s="93" t="s">
        <v>131</v>
      </c>
      <c r="C201" s="93" t="s">
        <v>145</v>
      </c>
      <c r="D201" s="91">
        <v>310</v>
      </c>
      <c r="E201" s="92">
        <v>35</v>
      </c>
      <c r="F201" s="92">
        <v>25</v>
      </c>
      <c r="G201" s="92" t="s">
        <v>31</v>
      </c>
    </row>
    <row r="202" spans="1:7" s="82" customFormat="1">
      <c r="A202" s="93" t="s">
        <v>146</v>
      </c>
      <c r="B202" s="93" t="s">
        <v>131</v>
      </c>
      <c r="C202" s="93" t="s">
        <v>117</v>
      </c>
      <c r="D202" s="91">
        <v>311</v>
      </c>
      <c r="E202" s="92">
        <v>25</v>
      </c>
      <c r="F202" s="92">
        <v>25</v>
      </c>
      <c r="G202" s="92" t="s">
        <v>31</v>
      </c>
    </row>
    <row r="203" spans="1:7" s="82" customFormat="1">
      <c r="A203" s="93" t="s">
        <v>593</v>
      </c>
      <c r="B203" s="93" t="s">
        <v>131</v>
      </c>
      <c r="C203" s="93" t="s">
        <v>599</v>
      </c>
      <c r="D203" s="91">
        <v>311</v>
      </c>
      <c r="E203" s="92">
        <v>25</v>
      </c>
      <c r="F203" s="92">
        <v>25</v>
      </c>
      <c r="G203" s="92" t="s">
        <v>31</v>
      </c>
    </row>
    <row r="204" spans="1:7" s="82" customFormat="1">
      <c r="A204" s="93" t="s">
        <v>594</v>
      </c>
      <c r="B204" s="93" t="s">
        <v>131</v>
      </c>
      <c r="C204" s="93" t="s">
        <v>599</v>
      </c>
      <c r="D204" s="91">
        <v>311</v>
      </c>
      <c r="E204" s="92">
        <v>25</v>
      </c>
      <c r="F204" s="92">
        <v>25</v>
      </c>
      <c r="G204" s="92" t="s">
        <v>31</v>
      </c>
    </row>
    <row r="205" spans="1:7" s="82" customFormat="1">
      <c r="A205" s="93" t="s">
        <v>595</v>
      </c>
      <c r="B205" s="93" t="s">
        <v>131</v>
      </c>
      <c r="C205" s="93" t="s">
        <v>597</v>
      </c>
      <c r="D205" s="91">
        <v>311</v>
      </c>
      <c r="E205" s="92">
        <v>25</v>
      </c>
      <c r="F205" s="92">
        <v>25</v>
      </c>
      <c r="G205" s="92" t="s">
        <v>31</v>
      </c>
    </row>
    <row r="206" spans="1:7" s="82" customFormat="1">
      <c r="A206" s="93" t="s">
        <v>596</v>
      </c>
      <c r="B206" s="93" t="s">
        <v>131</v>
      </c>
      <c r="C206" s="93" t="s">
        <v>598</v>
      </c>
      <c r="D206" s="91">
        <v>311</v>
      </c>
      <c r="E206" s="92">
        <v>25</v>
      </c>
      <c r="F206" s="92">
        <v>25</v>
      </c>
      <c r="G206" s="92" t="s">
        <v>31</v>
      </c>
    </row>
    <row r="207" spans="1:7" s="82" customFormat="1">
      <c r="A207" s="93" t="s">
        <v>151</v>
      </c>
      <c r="B207" s="93" t="s">
        <v>149</v>
      </c>
      <c r="C207" s="93" t="s">
        <v>117</v>
      </c>
      <c r="D207" s="91">
        <v>311</v>
      </c>
      <c r="E207" s="92">
        <v>25</v>
      </c>
      <c r="F207" s="92">
        <v>25</v>
      </c>
      <c r="G207" s="92" t="s">
        <v>31</v>
      </c>
    </row>
    <row r="208" spans="1:7" s="82" customFormat="1">
      <c r="A208" s="93" t="s">
        <v>550</v>
      </c>
      <c r="B208" s="93" t="s">
        <v>149</v>
      </c>
      <c r="C208" s="93" t="s">
        <v>551</v>
      </c>
      <c r="D208" s="91">
        <v>311</v>
      </c>
      <c r="E208" s="92">
        <v>25</v>
      </c>
      <c r="F208" s="92">
        <v>25</v>
      </c>
      <c r="G208" s="92" t="s">
        <v>31</v>
      </c>
    </row>
    <row r="209" spans="1:7" s="82" customFormat="1">
      <c r="A209" s="93" t="s">
        <v>552</v>
      </c>
      <c r="B209" s="93" t="s">
        <v>149</v>
      </c>
      <c r="C209" s="93" t="s">
        <v>554</v>
      </c>
      <c r="D209" s="91">
        <v>311</v>
      </c>
      <c r="E209" s="92">
        <v>25</v>
      </c>
      <c r="F209" s="92">
        <v>25</v>
      </c>
      <c r="G209" s="92" t="s">
        <v>31</v>
      </c>
    </row>
    <row r="210" spans="1:7" s="82" customFormat="1">
      <c r="A210" s="93" t="s">
        <v>553</v>
      </c>
      <c r="B210" s="93" t="s">
        <v>149</v>
      </c>
      <c r="C210" s="93" t="s">
        <v>555</v>
      </c>
      <c r="D210" s="91">
        <v>311</v>
      </c>
      <c r="E210" s="92">
        <v>25</v>
      </c>
      <c r="F210" s="92">
        <v>25</v>
      </c>
      <c r="G210" s="92" t="s">
        <v>31</v>
      </c>
    </row>
    <row r="211" spans="1:7" s="82" customFormat="1">
      <c r="A211" s="93" t="s">
        <v>116</v>
      </c>
      <c r="B211" s="93" t="s">
        <v>64</v>
      </c>
      <c r="C211" s="93" t="s">
        <v>556</v>
      </c>
      <c r="D211" s="91">
        <v>311</v>
      </c>
      <c r="E211" s="92">
        <v>25</v>
      </c>
      <c r="F211" s="92">
        <v>25</v>
      </c>
      <c r="G211" s="92" t="s">
        <v>31</v>
      </c>
    </row>
    <row r="212" spans="1:7" s="82" customFormat="1">
      <c r="A212" s="93" t="s">
        <v>477</v>
      </c>
      <c r="B212" s="93" t="s">
        <v>64</v>
      </c>
      <c r="C212" s="93" t="s">
        <v>474</v>
      </c>
      <c r="D212" s="91">
        <v>311</v>
      </c>
      <c r="E212" s="92">
        <v>15</v>
      </c>
      <c r="F212" s="92">
        <v>25</v>
      </c>
      <c r="G212" s="92" t="s">
        <v>31</v>
      </c>
    </row>
    <row r="213" spans="1:7" s="82" customFormat="1">
      <c r="A213" s="93" t="s">
        <v>531</v>
      </c>
      <c r="B213" s="93" t="s">
        <v>64</v>
      </c>
      <c r="C213" s="93" t="s">
        <v>532</v>
      </c>
      <c r="D213" s="91">
        <v>311</v>
      </c>
      <c r="E213" s="92">
        <v>15</v>
      </c>
      <c r="F213" s="92">
        <v>25</v>
      </c>
      <c r="G213" s="92" t="s">
        <v>31</v>
      </c>
    </row>
    <row r="214" spans="1:7" s="82" customFormat="1">
      <c r="A214" s="93" t="s">
        <v>533</v>
      </c>
      <c r="B214" s="93" t="s">
        <v>64</v>
      </c>
      <c r="C214" s="93" t="s">
        <v>534</v>
      </c>
      <c r="D214" s="91">
        <v>311</v>
      </c>
      <c r="E214" s="92">
        <v>15</v>
      </c>
      <c r="F214" s="92">
        <v>25</v>
      </c>
      <c r="G214" s="92" t="s">
        <v>31</v>
      </c>
    </row>
    <row r="215" spans="1:7" s="82" customFormat="1">
      <c r="A215" s="93" t="s">
        <v>586</v>
      </c>
      <c r="B215" s="93" t="s">
        <v>64</v>
      </c>
      <c r="C215" s="93" t="s">
        <v>535</v>
      </c>
      <c r="D215" s="91">
        <v>311</v>
      </c>
      <c r="E215" s="92">
        <v>50</v>
      </c>
      <c r="F215" s="92">
        <v>25</v>
      </c>
      <c r="G215" s="92" t="s">
        <v>31</v>
      </c>
    </row>
    <row r="216" spans="1:7" s="82" customFormat="1">
      <c r="A216" s="93" t="s">
        <v>152</v>
      </c>
      <c r="B216" s="93" t="s">
        <v>149</v>
      </c>
      <c r="C216" s="93" t="s">
        <v>153</v>
      </c>
      <c r="D216" s="91">
        <v>320</v>
      </c>
      <c r="E216" s="91" t="s">
        <v>154</v>
      </c>
      <c r="F216" s="92">
        <v>25</v>
      </c>
      <c r="G216" s="92" t="s">
        <v>31</v>
      </c>
    </row>
    <row r="217" spans="1:7" s="82" customFormat="1">
      <c r="A217" s="93" t="s">
        <v>118</v>
      </c>
      <c r="B217" s="93" t="s">
        <v>64</v>
      </c>
      <c r="C217" s="93" t="s">
        <v>119</v>
      </c>
      <c r="D217" s="91">
        <v>330</v>
      </c>
      <c r="E217" s="92">
        <v>75</v>
      </c>
      <c r="F217" s="92">
        <v>25</v>
      </c>
      <c r="G217" s="92" t="s">
        <v>31</v>
      </c>
    </row>
    <row r="218" spans="1:7" s="82" customFormat="1">
      <c r="A218" s="93" t="s">
        <v>120</v>
      </c>
      <c r="B218" s="93" t="s">
        <v>64</v>
      </c>
      <c r="C218" s="93" t="s">
        <v>121</v>
      </c>
      <c r="D218" s="91">
        <v>331</v>
      </c>
      <c r="E218" s="92">
        <v>70</v>
      </c>
      <c r="F218" s="92">
        <v>25</v>
      </c>
      <c r="G218" s="92" t="s">
        <v>31</v>
      </c>
    </row>
    <row r="219" spans="1:7" s="82" customFormat="1">
      <c r="A219" s="93" t="s">
        <v>122</v>
      </c>
      <c r="B219" s="93" t="s">
        <v>64</v>
      </c>
      <c r="C219" s="93" t="s">
        <v>83</v>
      </c>
      <c r="D219" s="91">
        <v>333</v>
      </c>
      <c r="E219" s="92">
        <v>70</v>
      </c>
      <c r="F219" s="92">
        <v>25</v>
      </c>
      <c r="G219" s="92" t="s">
        <v>31</v>
      </c>
    </row>
    <row r="220" spans="1:7" s="82" customFormat="1">
      <c r="A220" s="93" t="s">
        <v>123</v>
      </c>
      <c r="B220" s="93" t="s">
        <v>64</v>
      </c>
      <c r="C220" s="93" t="s">
        <v>542</v>
      </c>
      <c r="D220" s="91">
        <v>334</v>
      </c>
      <c r="E220" s="91">
        <v>50</v>
      </c>
      <c r="F220" s="92">
        <v>25</v>
      </c>
      <c r="G220" s="92" t="s">
        <v>31</v>
      </c>
    </row>
    <row r="221" spans="1:7" s="82" customFormat="1">
      <c r="A221" s="93" t="s">
        <v>541</v>
      </c>
      <c r="B221" s="93" t="s">
        <v>64</v>
      </c>
      <c r="C221" s="93" t="s">
        <v>85</v>
      </c>
      <c r="D221" s="91">
        <v>334</v>
      </c>
      <c r="E221" s="91">
        <v>25</v>
      </c>
      <c r="F221" s="92">
        <v>25</v>
      </c>
      <c r="G221" s="92" t="s">
        <v>31</v>
      </c>
    </row>
    <row r="222" spans="1:7" s="82" customFormat="1">
      <c r="A222" s="93" t="s">
        <v>543</v>
      </c>
      <c r="B222" s="93" t="s">
        <v>64</v>
      </c>
      <c r="C222" s="93" t="s">
        <v>540</v>
      </c>
      <c r="D222" s="91">
        <v>334</v>
      </c>
      <c r="E222" s="91">
        <v>20</v>
      </c>
      <c r="F222" s="92">
        <v>25</v>
      </c>
      <c r="G222" s="92" t="s">
        <v>31</v>
      </c>
    </row>
    <row r="223" spans="1:7" s="82" customFormat="1">
      <c r="A223" s="93" t="s">
        <v>670</v>
      </c>
      <c r="B223" s="93" t="s">
        <v>64</v>
      </c>
      <c r="C223" s="93" t="s">
        <v>671</v>
      </c>
      <c r="D223" s="91">
        <v>334</v>
      </c>
      <c r="E223" s="91">
        <v>25</v>
      </c>
      <c r="F223" s="92">
        <v>25</v>
      </c>
      <c r="G223" s="92" t="s">
        <v>31</v>
      </c>
    </row>
    <row r="224" spans="1:7" s="82" customFormat="1">
      <c r="A224" s="93" t="s">
        <v>124</v>
      </c>
      <c r="B224" s="93" t="s">
        <v>64</v>
      </c>
      <c r="C224" s="93" t="s">
        <v>125</v>
      </c>
      <c r="D224" s="91">
        <v>335</v>
      </c>
      <c r="E224" s="92">
        <v>70</v>
      </c>
      <c r="F224" s="92">
        <v>25</v>
      </c>
      <c r="G224" s="92" t="s">
        <v>31</v>
      </c>
    </row>
    <row r="225" spans="1:7" s="82" customFormat="1">
      <c r="A225" s="93" t="s">
        <v>126</v>
      </c>
      <c r="B225" s="93" t="s">
        <v>64</v>
      </c>
      <c r="C225" s="93" t="s">
        <v>127</v>
      </c>
      <c r="D225" s="91">
        <v>336</v>
      </c>
      <c r="E225" s="92">
        <v>25</v>
      </c>
      <c r="F225" s="92">
        <v>7</v>
      </c>
      <c r="G225" s="92" t="s">
        <v>31</v>
      </c>
    </row>
    <row r="226" spans="1:7" s="82" customFormat="1">
      <c r="A226" s="93" t="s">
        <v>113</v>
      </c>
      <c r="B226" s="93" t="s">
        <v>19</v>
      </c>
      <c r="C226" s="93" t="s">
        <v>23</v>
      </c>
      <c r="D226" s="91">
        <v>339</v>
      </c>
      <c r="E226" s="92">
        <v>25</v>
      </c>
      <c r="F226" s="92">
        <v>7</v>
      </c>
      <c r="G226" s="92" t="s">
        <v>21</v>
      </c>
    </row>
    <row r="227" spans="1:7" s="82" customFormat="1">
      <c r="A227" s="93" t="s">
        <v>147</v>
      </c>
      <c r="B227" s="93" t="s">
        <v>131</v>
      </c>
      <c r="C227" s="93" t="s">
        <v>129</v>
      </c>
      <c r="D227" s="91">
        <v>339</v>
      </c>
      <c r="E227" s="92">
        <v>20</v>
      </c>
      <c r="F227" s="92">
        <v>7</v>
      </c>
      <c r="G227" s="92" t="s">
        <v>31</v>
      </c>
    </row>
    <row r="228" spans="1:7" s="82" customFormat="1">
      <c r="A228" s="93" t="s">
        <v>155</v>
      </c>
      <c r="B228" s="93" t="s">
        <v>149</v>
      </c>
      <c r="C228" s="93" t="s">
        <v>129</v>
      </c>
      <c r="D228" s="91">
        <v>339</v>
      </c>
      <c r="E228" s="92">
        <v>25</v>
      </c>
      <c r="F228" s="92">
        <v>7</v>
      </c>
      <c r="G228" s="92" t="s">
        <v>31</v>
      </c>
    </row>
    <row r="229" spans="1:7" s="82" customFormat="1">
      <c r="A229" s="93" t="s">
        <v>128</v>
      </c>
      <c r="B229" s="93" t="s">
        <v>64</v>
      </c>
      <c r="C229" s="93" t="s">
        <v>129</v>
      </c>
      <c r="D229" s="91">
        <v>339</v>
      </c>
      <c r="E229" s="92">
        <v>20</v>
      </c>
      <c r="F229" s="92">
        <v>7</v>
      </c>
      <c r="G229" s="92" t="s">
        <v>31</v>
      </c>
    </row>
    <row r="230" spans="1:7" s="82" customFormat="1">
      <c r="A230" s="93" t="s">
        <v>158</v>
      </c>
      <c r="B230" s="93" t="s">
        <v>93</v>
      </c>
      <c r="C230" s="93" t="s">
        <v>545</v>
      </c>
      <c r="D230" s="91">
        <v>340</v>
      </c>
      <c r="E230" s="92">
        <v>5</v>
      </c>
      <c r="F230" s="92">
        <v>5</v>
      </c>
      <c r="G230" s="92" t="s">
        <v>31</v>
      </c>
    </row>
    <row r="231" spans="1:7" s="82" customFormat="1">
      <c r="A231" s="93" t="s">
        <v>557</v>
      </c>
      <c r="B231" s="93" t="s">
        <v>93</v>
      </c>
      <c r="C231" s="93" t="s">
        <v>558</v>
      </c>
      <c r="D231" s="91">
        <v>340</v>
      </c>
      <c r="E231" s="92">
        <v>10</v>
      </c>
      <c r="F231" s="92">
        <v>7</v>
      </c>
      <c r="G231" s="92" t="s">
        <v>31</v>
      </c>
    </row>
    <row r="232" spans="1:7" s="82" customFormat="1">
      <c r="A232" s="93" t="s">
        <v>159</v>
      </c>
      <c r="B232" s="93" t="s">
        <v>93</v>
      </c>
      <c r="C232" s="93" t="s">
        <v>691</v>
      </c>
      <c r="D232" s="91">
        <v>341</v>
      </c>
      <c r="E232" s="92">
        <v>10</v>
      </c>
      <c r="F232" s="92">
        <v>5</v>
      </c>
      <c r="G232" s="92" t="s">
        <v>31</v>
      </c>
    </row>
    <row r="233" spans="1:7" s="82" customFormat="1">
      <c r="A233" s="93" t="s">
        <v>560</v>
      </c>
      <c r="B233" s="93" t="s">
        <v>93</v>
      </c>
      <c r="C233" s="93" t="s">
        <v>692</v>
      </c>
      <c r="D233" s="91">
        <v>341</v>
      </c>
      <c r="E233" s="92">
        <v>15</v>
      </c>
      <c r="F233" s="92">
        <v>5</v>
      </c>
      <c r="G233" s="92" t="s">
        <v>31</v>
      </c>
    </row>
    <row r="234" spans="1:7" s="82" customFormat="1">
      <c r="A234" s="93" t="s">
        <v>561</v>
      </c>
      <c r="B234" s="93" t="s">
        <v>93</v>
      </c>
      <c r="C234" s="93" t="s">
        <v>693</v>
      </c>
      <c r="D234" s="91">
        <v>341</v>
      </c>
      <c r="E234" s="92">
        <v>7</v>
      </c>
      <c r="F234" s="92">
        <v>5</v>
      </c>
      <c r="G234" s="92" t="s">
        <v>31</v>
      </c>
    </row>
    <row r="235" spans="1:7" s="82" customFormat="1">
      <c r="A235" s="93" t="s">
        <v>160</v>
      </c>
      <c r="B235" s="93" t="s">
        <v>93</v>
      </c>
      <c r="C235" s="93" t="s">
        <v>99</v>
      </c>
      <c r="D235" s="91">
        <v>342</v>
      </c>
      <c r="E235" s="92">
        <v>10</v>
      </c>
      <c r="F235" s="92">
        <v>7</v>
      </c>
      <c r="G235" s="92" t="s">
        <v>31</v>
      </c>
    </row>
    <row r="236" spans="1:7" s="82" customFormat="1">
      <c r="A236" s="93" t="s">
        <v>161</v>
      </c>
      <c r="B236" s="93" t="s">
        <v>93</v>
      </c>
      <c r="C236" s="93" t="s">
        <v>694</v>
      </c>
      <c r="D236" s="91">
        <v>343</v>
      </c>
      <c r="E236" s="92">
        <v>10</v>
      </c>
      <c r="F236" s="92">
        <v>7</v>
      </c>
      <c r="G236" s="92" t="s">
        <v>31</v>
      </c>
    </row>
    <row r="237" spans="1:7" s="82" customFormat="1">
      <c r="A237" s="93" t="s">
        <v>562</v>
      </c>
      <c r="B237" s="93" t="s">
        <v>93</v>
      </c>
      <c r="C237" s="93" t="s">
        <v>695</v>
      </c>
      <c r="D237" s="91">
        <v>343</v>
      </c>
      <c r="E237" s="92">
        <v>7</v>
      </c>
      <c r="F237" s="92">
        <v>7</v>
      </c>
      <c r="G237" s="92" t="s">
        <v>31</v>
      </c>
    </row>
    <row r="238" spans="1:7" s="82" customFormat="1">
      <c r="A238" s="93" t="s">
        <v>563</v>
      </c>
      <c r="B238" s="93" t="s">
        <v>93</v>
      </c>
      <c r="C238" s="93" t="s">
        <v>696</v>
      </c>
      <c r="D238" s="91">
        <v>343</v>
      </c>
      <c r="E238" s="92">
        <v>5</v>
      </c>
      <c r="F238" s="92">
        <v>7</v>
      </c>
      <c r="G238" s="92" t="s">
        <v>31</v>
      </c>
    </row>
    <row r="239" spans="1:7" s="82" customFormat="1">
      <c r="A239" s="93" t="s">
        <v>564</v>
      </c>
      <c r="B239" s="93" t="s">
        <v>93</v>
      </c>
      <c r="C239" s="93" t="s">
        <v>697</v>
      </c>
      <c r="D239" s="91">
        <v>343</v>
      </c>
      <c r="E239" s="92">
        <v>3</v>
      </c>
      <c r="F239" s="92">
        <v>7</v>
      </c>
      <c r="G239" s="92" t="s">
        <v>31</v>
      </c>
    </row>
    <row r="240" spans="1:7" s="82" customFormat="1">
      <c r="A240" s="93" t="s">
        <v>162</v>
      </c>
      <c r="B240" s="93" t="s">
        <v>93</v>
      </c>
      <c r="C240" s="93" t="s">
        <v>698</v>
      </c>
      <c r="D240" s="91">
        <v>344</v>
      </c>
      <c r="E240" s="92">
        <v>10</v>
      </c>
      <c r="F240" s="92">
        <v>7</v>
      </c>
      <c r="G240" s="92" t="s">
        <v>31</v>
      </c>
    </row>
    <row r="241" spans="1:7" s="82" customFormat="1">
      <c r="A241" s="93" t="s">
        <v>565</v>
      </c>
      <c r="B241" s="93" t="s">
        <v>93</v>
      </c>
      <c r="C241" s="93" t="s">
        <v>699</v>
      </c>
      <c r="D241" s="91">
        <v>344</v>
      </c>
      <c r="E241" s="92">
        <v>15</v>
      </c>
      <c r="F241" s="92">
        <v>7</v>
      </c>
      <c r="G241" s="92" t="s">
        <v>31</v>
      </c>
    </row>
    <row r="242" spans="1:7" s="82" customFormat="1">
      <c r="A242" s="93" t="s">
        <v>566</v>
      </c>
      <c r="B242" s="93" t="s">
        <v>93</v>
      </c>
      <c r="C242" s="93" t="s">
        <v>700</v>
      </c>
      <c r="D242" s="91">
        <v>344</v>
      </c>
      <c r="E242" s="92">
        <v>5</v>
      </c>
      <c r="F242" s="92">
        <v>7</v>
      </c>
      <c r="G242" s="92" t="s">
        <v>31</v>
      </c>
    </row>
    <row r="243" spans="1:7" s="82" customFormat="1">
      <c r="A243" s="93" t="s">
        <v>163</v>
      </c>
      <c r="B243" s="93" t="s">
        <v>93</v>
      </c>
      <c r="C243" s="93" t="s">
        <v>639</v>
      </c>
      <c r="D243" s="91">
        <v>345</v>
      </c>
      <c r="E243" s="92">
        <v>10</v>
      </c>
      <c r="F243" s="92">
        <v>5</v>
      </c>
      <c r="G243" s="92" t="s">
        <v>31</v>
      </c>
    </row>
    <row r="244" spans="1:7" s="82" customFormat="1">
      <c r="A244" s="93" t="s">
        <v>567</v>
      </c>
      <c r="B244" s="93" t="s">
        <v>93</v>
      </c>
      <c r="C244" s="93" t="s">
        <v>701</v>
      </c>
      <c r="D244" s="91">
        <v>345</v>
      </c>
      <c r="E244" s="92">
        <v>5</v>
      </c>
      <c r="F244" s="92">
        <v>5</v>
      </c>
      <c r="G244" s="92" t="s">
        <v>31</v>
      </c>
    </row>
    <row r="245" spans="1:7" s="82" customFormat="1">
      <c r="A245" s="93" t="s">
        <v>672</v>
      </c>
      <c r="B245" s="93" t="s">
        <v>93</v>
      </c>
      <c r="C245" s="93" t="s">
        <v>702</v>
      </c>
      <c r="D245" s="91">
        <v>345</v>
      </c>
      <c r="E245" s="92">
        <v>20</v>
      </c>
      <c r="F245" s="92">
        <v>5</v>
      </c>
      <c r="G245" s="92" t="s">
        <v>31</v>
      </c>
    </row>
    <row r="246" spans="1:7" s="82" customFormat="1">
      <c r="A246" s="93" t="s">
        <v>164</v>
      </c>
      <c r="B246" s="93" t="s">
        <v>93</v>
      </c>
      <c r="C246" s="93" t="s">
        <v>703</v>
      </c>
      <c r="D246" s="91">
        <v>346</v>
      </c>
      <c r="E246" s="92">
        <v>5</v>
      </c>
      <c r="F246" s="92">
        <v>5</v>
      </c>
      <c r="G246" s="92" t="s">
        <v>31</v>
      </c>
    </row>
    <row r="247" spans="1:7" s="82" customFormat="1">
      <c r="A247" s="93" t="s">
        <v>568</v>
      </c>
      <c r="B247" s="93" t="s">
        <v>93</v>
      </c>
      <c r="C247" s="93" t="s">
        <v>704</v>
      </c>
      <c r="D247" s="91">
        <v>346</v>
      </c>
      <c r="E247" s="92">
        <v>7</v>
      </c>
      <c r="F247" s="92">
        <v>5</v>
      </c>
      <c r="G247" s="92" t="s">
        <v>31</v>
      </c>
    </row>
    <row r="248" spans="1:7" s="82" customFormat="1">
      <c r="A248" s="93" t="s">
        <v>569</v>
      </c>
      <c r="B248" s="93" t="s">
        <v>93</v>
      </c>
      <c r="C248" s="93" t="s">
        <v>705</v>
      </c>
      <c r="D248" s="91">
        <v>346</v>
      </c>
      <c r="E248" s="92">
        <v>10</v>
      </c>
      <c r="F248" s="92">
        <v>5</v>
      </c>
      <c r="G248" s="92" t="s">
        <v>31</v>
      </c>
    </row>
    <row r="249" spans="1:7" s="82" customFormat="1">
      <c r="A249" s="93" t="s">
        <v>673</v>
      </c>
      <c r="B249" s="93" t="s">
        <v>93</v>
      </c>
      <c r="C249" s="93" t="s">
        <v>706</v>
      </c>
      <c r="D249" s="91">
        <v>346</v>
      </c>
      <c r="E249" s="92">
        <v>15</v>
      </c>
      <c r="F249" s="92">
        <v>5</v>
      </c>
      <c r="G249" s="92" t="s">
        <v>31</v>
      </c>
    </row>
    <row r="250" spans="1:7" s="84" customFormat="1">
      <c r="A250" s="93" t="s">
        <v>165</v>
      </c>
      <c r="B250" s="93" t="s">
        <v>93</v>
      </c>
      <c r="C250" s="93" t="s">
        <v>109</v>
      </c>
      <c r="D250" s="91">
        <v>347</v>
      </c>
      <c r="E250" s="94">
        <v>15</v>
      </c>
      <c r="F250" s="94">
        <v>5</v>
      </c>
      <c r="G250" s="94" t="s">
        <v>31</v>
      </c>
    </row>
    <row r="251" spans="1:7" s="82" customFormat="1">
      <c r="A251" s="93" t="s">
        <v>166</v>
      </c>
      <c r="B251" s="93" t="s">
        <v>93</v>
      </c>
      <c r="C251" s="93" t="s">
        <v>661</v>
      </c>
      <c r="D251" s="91">
        <v>348</v>
      </c>
      <c r="E251" s="92">
        <v>3</v>
      </c>
      <c r="F251" s="92">
        <v>5</v>
      </c>
      <c r="G251" s="92" t="s">
        <v>31</v>
      </c>
    </row>
    <row r="252" spans="1:7" s="82" customFormat="1">
      <c r="A252" s="93" t="s">
        <v>676</v>
      </c>
      <c r="B252" s="93" t="s">
        <v>93</v>
      </c>
      <c r="C252" s="93" t="s">
        <v>675</v>
      </c>
      <c r="D252" s="91">
        <v>348</v>
      </c>
      <c r="E252" s="92">
        <v>5</v>
      </c>
      <c r="F252" s="92">
        <v>5</v>
      </c>
      <c r="G252" s="92" t="s">
        <v>31</v>
      </c>
    </row>
    <row r="253" spans="1:7" s="82" customFormat="1">
      <c r="A253" s="93" t="s">
        <v>677</v>
      </c>
      <c r="B253" s="93" t="s">
        <v>93</v>
      </c>
      <c r="C253" s="93" t="s">
        <v>674</v>
      </c>
      <c r="D253" s="91">
        <v>348</v>
      </c>
      <c r="E253" s="92">
        <v>10</v>
      </c>
      <c r="F253" s="92">
        <v>5</v>
      </c>
      <c r="G253" s="92" t="s">
        <v>31</v>
      </c>
    </row>
    <row r="254" spans="1:7" s="82" customFormat="1">
      <c r="A254" s="90" t="s">
        <v>167</v>
      </c>
      <c r="B254" s="90" t="s">
        <v>19</v>
      </c>
      <c r="C254" s="90" t="s">
        <v>20</v>
      </c>
      <c r="D254" s="91">
        <v>351</v>
      </c>
      <c r="E254" s="92">
        <v>50</v>
      </c>
      <c r="F254" s="92">
        <v>50</v>
      </c>
      <c r="G254" s="92" t="s">
        <v>21</v>
      </c>
    </row>
    <row r="255" spans="1:7" s="82" customFormat="1">
      <c r="A255" s="90" t="s">
        <v>169</v>
      </c>
      <c r="B255" s="90" t="s">
        <v>170</v>
      </c>
      <c r="C255" s="90" t="s">
        <v>26</v>
      </c>
      <c r="D255" s="91">
        <v>353</v>
      </c>
      <c r="E255" s="92">
        <v>0</v>
      </c>
      <c r="F255" s="92">
        <v>0</v>
      </c>
      <c r="G255" s="92" t="s">
        <v>21</v>
      </c>
    </row>
    <row r="256" spans="1:7" s="82" customFormat="1">
      <c r="A256" s="90" t="s">
        <v>187</v>
      </c>
      <c r="B256" s="90" t="s">
        <v>149</v>
      </c>
      <c r="C256" s="90" t="s">
        <v>26</v>
      </c>
      <c r="D256" s="91">
        <v>353</v>
      </c>
      <c r="E256" s="92">
        <v>0</v>
      </c>
      <c r="F256" s="92">
        <v>0</v>
      </c>
      <c r="G256" s="92" t="s">
        <v>21</v>
      </c>
    </row>
    <row r="257" spans="1:7" s="82" customFormat="1">
      <c r="A257" s="90" t="s">
        <v>196</v>
      </c>
      <c r="B257" s="90" t="s">
        <v>93</v>
      </c>
      <c r="C257" s="90" t="s">
        <v>26</v>
      </c>
      <c r="D257" s="91">
        <v>353</v>
      </c>
      <c r="E257" s="92">
        <v>0</v>
      </c>
      <c r="F257" s="92">
        <v>0</v>
      </c>
      <c r="G257" s="92" t="s">
        <v>21</v>
      </c>
    </row>
    <row r="258" spans="1:7" s="82" customFormat="1">
      <c r="A258" s="90" t="s">
        <v>171</v>
      </c>
      <c r="B258" s="90" t="s">
        <v>170</v>
      </c>
      <c r="C258" s="90" t="s">
        <v>66</v>
      </c>
      <c r="D258" s="91">
        <v>354</v>
      </c>
      <c r="E258" s="92">
        <v>25</v>
      </c>
      <c r="F258" s="92">
        <v>39</v>
      </c>
      <c r="G258" s="92" t="s">
        <v>21</v>
      </c>
    </row>
    <row r="259" spans="1:7" s="82" customFormat="1">
      <c r="A259" s="90" t="s">
        <v>600</v>
      </c>
      <c r="B259" s="90" t="s">
        <v>601</v>
      </c>
      <c r="C259" s="90" t="s">
        <v>66</v>
      </c>
      <c r="D259" s="91">
        <v>354</v>
      </c>
      <c r="E259" s="92">
        <v>25</v>
      </c>
      <c r="F259" s="92">
        <v>39</v>
      </c>
      <c r="G259" s="92" t="s">
        <v>21</v>
      </c>
    </row>
    <row r="260" spans="1:7" s="82" customFormat="1">
      <c r="A260" s="90" t="s">
        <v>188</v>
      </c>
      <c r="B260" s="90" t="s">
        <v>149</v>
      </c>
      <c r="C260" s="90" t="s">
        <v>66</v>
      </c>
      <c r="D260" s="91">
        <v>354</v>
      </c>
      <c r="E260" s="92">
        <v>40</v>
      </c>
      <c r="F260" s="92">
        <v>39</v>
      </c>
      <c r="G260" s="92" t="s">
        <v>21</v>
      </c>
    </row>
    <row r="261" spans="1:7" s="82" customFormat="1">
      <c r="A261" s="90" t="s">
        <v>197</v>
      </c>
      <c r="B261" s="90" t="s">
        <v>93</v>
      </c>
      <c r="C261" s="90" t="s">
        <v>66</v>
      </c>
      <c r="D261" s="91">
        <v>354</v>
      </c>
      <c r="E261" s="92">
        <v>40</v>
      </c>
      <c r="F261" s="92">
        <v>39</v>
      </c>
      <c r="G261" s="92" t="s">
        <v>21</v>
      </c>
    </row>
    <row r="262" spans="1:7" s="82" customFormat="1">
      <c r="A262" s="90" t="s">
        <v>172</v>
      </c>
      <c r="B262" s="90" t="s">
        <v>170</v>
      </c>
      <c r="C262" s="90" t="s">
        <v>173</v>
      </c>
      <c r="D262" s="91">
        <v>355</v>
      </c>
      <c r="E262" s="92">
        <v>35</v>
      </c>
      <c r="F262" s="92">
        <v>25</v>
      </c>
      <c r="G262" s="92" t="s">
        <v>31</v>
      </c>
    </row>
    <row r="263" spans="1:7" s="82" customFormat="1">
      <c r="A263" s="90" t="s">
        <v>189</v>
      </c>
      <c r="B263" s="90" t="s">
        <v>149</v>
      </c>
      <c r="C263" s="90" t="s">
        <v>173</v>
      </c>
      <c r="D263" s="91">
        <v>355</v>
      </c>
      <c r="E263" s="92">
        <v>35</v>
      </c>
      <c r="F263" s="92">
        <v>25</v>
      </c>
      <c r="G263" s="92" t="s">
        <v>31</v>
      </c>
    </row>
    <row r="264" spans="1:7" s="82" customFormat="1">
      <c r="A264" s="90" t="s">
        <v>174</v>
      </c>
      <c r="B264" s="90" t="s">
        <v>170</v>
      </c>
      <c r="C264" s="90" t="s">
        <v>175</v>
      </c>
      <c r="D264" s="91">
        <v>360</v>
      </c>
      <c r="E264" s="92">
        <v>70</v>
      </c>
      <c r="F264" s="92">
        <v>25</v>
      </c>
      <c r="G264" s="92" t="s">
        <v>31</v>
      </c>
    </row>
    <row r="265" spans="1:7" s="82" customFormat="1">
      <c r="A265" s="90" t="s">
        <v>176</v>
      </c>
      <c r="B265" s="90" t="s">
        <v>170</v>
      </c>
      <c r="C265" s="90" t="s">
        <v>177</v>
      </c>
      <c r="D265" s="91">
        <v>361</v>
      </c>
      <c r="E265" s="92">
        <v>70</v>
      </c>
      <c r="F265" s="92">
        <v>25</v>
      </c>
      <c r="G265" s="92" t="s">
        <v>31</v>
      </c>
    </row>
    <row r="266" spans="1:7" s="82" customFormat="1">
      <c r="A266" s="90" t="s">
        <v>570</v>
      </c>
      <c r="B266" s="90" t="s">
        <v>170</v>
      </c>
      <c r="C266" s="90" t="s">
        <v>571</v>
      </c>
      <c r="D266" s="91">
        <v>361</v>
      </c>
      <c r="E266" s="92">
        <v>70</v>
      </c>
      <c r="F266" s="92">
        <v>25</v>
      </c>
      <c r="G266" s="92" t="s">
        <v>31</v>
      </c>
    </row>
    <row r="267" spans="1:7" s="82" customFormat="1">
      <c r="A267" s="90" t="s">
        <v>572</v>
      </c>
      <c r="B267" s="90" t="s">
        <v>170</v>
      </c>
      <c r="C267" s="90" t="s">
        <v>574</v>
      </c>
      <c r="D267" s="91">
        <v>361</v>
      </c>
      <c r="E267" s="92">
        <v>70</v>
      </c>
      <c r="F267" s="92">
        <v>25</v>
      </c>
      <c r="G267" s="92" t="s">
        <v>31</v>
      </c>
    </row>
    <row r="268" spans="1:7" s="82" customFormat="1">
      <c r="A268" s="90" t="s">
        <v>573</v>
      </c>
      <c r="B268" s="90" t="s">
        <v>170</v>
      </c>
      <c r="C268" s="90" t="s">
        <v>575</v>
      </c>
      <c r="D268" s="91">
        <v>361</v>
      </c>
      <c r="E268" s="92">
        <v>70</v>
      </c>
      <c r="F268" s="92">
        <v>25</v>
      </c>
      <c r="G268" s="92" t="s">
        <v>31</v>
      </c>
    </row>
    <row r="269" spans="1:7" s="82" customFormat="1">
      <c r="A269" s="90" t="s">
        <v>178</v>
      </c>
      <c r="B269" s="90" t="s">
        <v>170</v>
      </c>
      <c r="C269" s="90" t="s">
        <v>179</v>
      </c>
      <c r="D269" s="91">
        <v>362</v>
      </c>
      <c r="E269" s="92">
        <v>30</v>
      </c>
      <c r="F269" s="92">
        <v>25</v>
      </c>
      <c r="G269" s="92" t="s">
        <v>31</v>
      </c>
    </row>
    <row r="270" spans="1:7" s="82" customFormat="1">
      <c r="A270" s="90" t="s">
        <v>180</v>
      </c>
      <c r="B270" s="90" t="s">
        <v>170</v>
      </c>
      <c r="C270" s="90" t="s">
        <v>181</v>
      </c>
      <c r="D270" s="91">
        <v>363</v>
      </c>
      <c r="E270" s="92">
        <v>30</v>
      </c>
      <c r="F270" s="92">
        <v>25</v>
      </c>
      <c r="G270" s="92" t="s">
        <v>31</v>
      </c>
    </row>
    <row r="271" spans="1:7" s="82" customFormat="1">
      <c r="A271" s="90" t="s">
        <v>182</v>
      </c>
      <c r="B271" s="90" t="s">
        <v>170</v>
      </c>
      <c r="C271" s="90" t="s">
        <v>707</v>
      </c>
      <c r="D271" s="91">
        <v>364</v>
      </c>
      <c r="E271" s="92">
        <v>15</v>
      </c>
      <c r="F271" s="92">
        <v>25</v>
      </c>
      <c r="G271" s="92" t="s">
        <v>31</v>
      </c>
    </row>
    <row r="272" spans="1:7" s="82" customFormat="1">
      <c r="A272" s="90" t="s">
        <v>524</v>
      </c>
      <c r="B272" s="90" t="s">
        <v>170</v>
      </c>
      <c r="C272" s="90" t="s">
        <v>708</v>
      </c>
      <c r="D272" s="91">
        <v>364</v>
      </c>
      <c r="E272" s="92">
        <v>10</v>
      </c>
      <c r="F272" s="92">
        <v>25</v>
      </c>
      <c r="G272" s="92" t="s">
        <v>31</v>
      </c>
    </row>
    <row r="273" spans="1:7" s="82" customFormat="1">
      <c r="A273" s="90" t="s">
        <v>525</v>
      </c>
      <c r="B273" s="90" t="s">
        <v>170</v>
      </c>
      <c r="C273" s="90" t="s">
        <v>528</v>
      </c>
      <c r="D273" s="91">
        <v>364</v>
      </c>
      <c r="E273" s="92">
        <v>25</v>
      </c>
      <c r="F273" s="92">
        <v>25</v>
      </c>
      <c r="G273" s="92" t="s">
        <v>31</v>
      </c>
    </row>
    <row r="274" spans="1:7" s="82" customFormat="1">
      <c r="A274" s="90" t="s">
        <v>527</v>
      </c>
      <c r="B274" s="90" t="s">
        <v>170</v>
      </c>
      <c r="C274" s="90" t="s">
        <v>530</v>
      </c>
      <c r="D274" s="91">
        <v>364</v>
      </c>
      <c r="E274" s="92">
        <v>25</v>
      </c>
      <c r="F274" s="92">
        <v>25</v>
      </c>
      <c r="G274" s="92" t="s">
        <v>31</v>
      </c>
    </row>
    <row r="275" spans="1:7" s="82" customFormat="1">
      <c r="A275" s="90" t="s">
        <v>529</v>
      </c>
      <c r="B275" s="90" t="s">
        <v>170</v>
      </c>
      <c r="C275" s="90" t="s">
        <v>526</v>
      </c>
      <c r="D275" s="91">
        <v>364</v>
      </c>
      <c r="E275" s="92">
        <v>50</v>
      </c>
      <c r="F275" s="92">
        <v>25</v>
      </c>
      <c r="G275" s="92" t="s">
        <v>31</v>
      </c>
    </row>
    <row r="276" spans="1:7" s="82" customFormat="1">
      <c r="A276" s="90" t="s">
        <v>183</v>
      </c>
      <c r="B276" s="90" t="s">
        <v>170</v>
      </c>
      <c r="C276" s="90" t="s">
        <v>184</v>
      </c>
      <c r="D276" s="91">
        <v>365</v>
      </c>
      <c r="E276" s="92">
        <v>15</v>
      </c>
      <c r="F276" s="92">
        <v>25</v>
      </c>
      <c r="G276" s="92" t="s">
        <v>31</v>
      </c>
    </row>
    <row r="277" spans="1:7" s="82" customFormat="1">
      <c r="A277" s="90" t="s">
        <v>602</v>
      </c>
      <c r="B277" s="90" t="s">
        <v>170</v>
      </c>
      <c r="C277" s="90" t="s">
        <v>605</v>
      </c>
      <c r="D277" s="91">
        <v>367</v>
      </c>
      <c r="E277" s="92">
        <v>15</v>
      </c>
      <c r="F277" s="92">
        <v>25</v>
      </c>
      <c r="G277" s="92" t="s">
        <v>31</v>
      </c>
    </row>
    <row r="278" spans="1:7" s="82" customFormat="1">
      <c r="A278" s="90" t="s">
        <v>603</v>
      </c>
      <c r="B278" s="90" t="s">
        <v>601</v>
      </c>
      <c r="C278" s="90" t="s">
        <v>604</v>
      </c>
      <c r="D278" s="91">
        <v>370</v>
      </c>
      <c r="E278" s="92">
        <v>15</v>
      </c>
      <c r="F278" s="92">
        <v>25</v>
      </c>
      <c r="G278" s="92" t="s">
        <v>31</v>
      </c>
    </row>
    <row r="279" spans="1:7" s="82" customFormat="1">
      <c r="A279" s="90" t="s">
        <v>678</v>
      </c>
      <c r="B279" s="90" t="s">
        <v>601</v>
      </c>
      <c r="C279" s="90" t="s">
        <v>679</v>
      </c>
      <c r="D279" s="91">
        <v>371</v>
      </c>
      <c r="E279" s="92">
        <v>15</v>
      </c>
      <c r="F279" s="92">
        <v>25</v>
      </c>
      <c r="G279" s="92" t="s">
        <v>31</v>
      </c>
    </row>
    <row r="280" spans="1:7" s="82" customFormat="1">
      <c r="A280" s="90" t="s">
        <v>680</v>
      </c>
      <c r="B280" s="90" t="s">
        <v>601</v>
      </c>
      <c r="C280" s="90" t="s">
        <v>685</v>
      </c>
      <c r="D280" s="91">
        <v>371</v>
      </c>
      <c r="E280" s="92">
        <v>20</v>
      </c>
      <c r="F280" s="92">
        <v>25</v>
      </c>
      <c r="G280" s="92" t="s">
        <v>31</v>
      </c>
    </row>
    <row r="281" spans="1:7" s="82" customFormat="1">
      <c r="A281" s="90" t="s">
        <v>681</v>
      </c>
      <c r="B281" s="90" t="s">
        <v>601</v>
      </c>
      <c r="C281" s="90" t="s">
        <v>684</v>
      </c>
      <c r="D281" s="91">
        <v>371</v>
      </c>
      <c r="E281" s="92">
        <v>20</v>
      </c>
      <c r="F281" s="92">
        <v>25</v>
      </c>
      <c r="G281" s="92" t="s">
        <v>31</v>
      </c>
    </row>
    <row r="282" spans="1:7" s="82" customFormat="1">
      <c r="A282" s="90" t="s">
        <v>682</v>
      </c>
      <c r="B282" s="90" t="s">
        <v>601</v>
      </c>
      <c r="C282" s="90" t="s">
        <v>683</v>
      </c>
      <c r="D282" s="91">
        <v>371</v>
      </c>
      <c r="E282" s="92">
        <v>15</v>
      </c>
      <c r="F282" s="92">
        <v>25</v>
      </c>
      <c r="G282" s="92" t="s">
        <v>31</v>
      </c>
    </row>
    <row r="283" spans="1:7" s="82" customFormat="1">
      <c r="A283" s="90" t="s">
        <v>190</v>
      </c>
      <c r="B283" s="90" t="s">
        <v>149</v>
      </c>
      <c r="C283" s="90" t="s">
        <v>686</v>
      </c>
      <c r="D283" s="91">
        <v>380</v>
      </c>
      <c r="E283" s="92">
        <v>50</v>
      </c>
      <c r="F283" s="92">
        <v>25</v>
      </c>
      <c r="G283" s="92" t="s">
        <v>31</v>
      </c>
    </row>
    <row r="284" spans="1:7" s="82" customFormat="1">
      <c r="A284" s="90" t="s">
        <v>191</v>
      </c>
      <c r="B284" s="90" t="s">
        <v>149</v>
      </c>
      <c r="C284" s="90" t="s">
        <v>192</v>
      </c>
      <c r="D284" s="91">
        <v>381</v>
      </c>
      <c r="E284" s="92">
        <v>10</v>
      </c>
      <c r="F284" s="92">
        <v>25</v>
      </c>
      <c r="G284" s="92" t="s">
        <v>31</v>
      </c>
    </row>
    <row r="285" spans="1:7" s="82" customFormat="1">
      <c r="A285" s="90" t="s">
        <v>193</v>
      </c>
      <c r="B285" s="90" t="s">
        <v>149</v>
      </c>
      <c r="C285" s="90" t="s">
        <v>194</v>
      </c>
      <c r="D285" s="91">
        <v>382</v>
      </c>
      <c r="E285" s="92">
        <v>30</v>
      </c>
      <c r="F285" s="92">
        <v>25</v>
      </c>
      <c r="G285" s="92" t="s">
        <v>31</v>
      </c>
    </row>
    <row r="286" spans="1:7" s="82" customFormat="1">
      <c r="A286" s="93" t="s">
        <v>168</v>
      </c>
      <c r="B286" s="90" t="s">
        <v>19</v>
      </c>
      <c r="C286" s="93" t="s">
        <v>23</v>
      </c>
      <c r="D286" s="91">
        <v>389</v>
      </c>
      <c r="E286" s="92">
        <v>5</v>
      </c>
      <c r="F286" s="92">
        <v>7</v>
      </c>
      <c r="G286" s="92" t="s">
        <v>21</v>
      </c>
    </row>
    <row r="287" spans="1:7" s="82" customFormat="1">
      <c r="A287" s="93" t="s">
        <v>185</v>
      </c>
      <c r="B287" s="90" t="s">
        <v>170</v>
      </c>
      <c r="C287" s="93" t="s">
        <v>186</v>
      </c>
      <c r="D287" s="91">
        <v>389</v>
      </c>
      <c r="E287" s="92">
        <v>5</v>
      </c>
      <c r="F287" s="92">
        <v>7</v>
      </c>
      <c r="G287" s="92" t="s">
        <v>31</v>
      </c>
    </row>
    <row r="288" spans="1:7" s="82" customFormat="1">
      <c r="A288" s="93" t="s">
        <v>195</v>
      </c>
      <c r="B288" s="90" t="s">
        <v>149</v>
      </c>
      <c r="C288" s="93" t="s">
        <v>186</v>
      </c>
      <c r="D288" s="91">
        <v>389</v>
      </c>
      <c r="E288" s="92">
        <v>10</v>
      </c>
      <c r="F288" s="92">
        <v>7</v>
      </c>
      <c r="G288" s="92" t="s">
        <v>31</v>
      </c>
    </row>
    <row r="289" spans="1:7" s="82" customFormat="1">
      <c r="A289" s="93" t="s">
        <v>198</v>
      </c>
      <c r="B289" s="90" t="s">
        <v>93</v>
      </c>
      <c r="C289" s="93" t="s">
        <v>709</v>
      </c>
      <c r="D289" s="91">
        <v>390</v>
      </c>
      <c r="E289" s="92">
        <v>5</v>
      </c>
      <c r="F289" s="92">
        <v>5</v>
      </c>
      <c r="G289" s="92" t="s">
        <v>31</v>
      </c>
    </row>
    <row r="290" spans="1:7" s="82" customFormat="1">
      <c r="A290" s="93" t="s">
        <v>576</v>
      </c>
      <c r="B290" s="90" t="s">
        <v>93</v>
      </c>
      <c r="C290" s="93" t="s">
        <v>710</v>
      </c>
      <c r="D290" s="91">
        <v>390</v>
      </c>
      <c r="E290" s="92">
        <v>10</v>
      </c>
      <c r="F290" s="92">
        <v>7</v>
      </c>
      <c r="G290" s="92" t="s">
        <v>31</v>
      </c>
    </row>
    <row r="291" spans="1:7" s="82" customFormat="1">
      <c r="A291" s="93" t="s">
        <v>577</v>
      </c>
      <c r="B291" s="90" t="s">
        <v>93</v>
      </c>
      <c r="C291" s="93" t="s">
        <v>711</v>
      </c>
      <c r="D291" s="91">
        <v>390</v>
      </c>
      <c r="E291" s="92">
        <v>2</v>
      </c>
      <c r="F291" s="92">
        <v>7</v>
      </c>
      <c r="G291" s="92" t="s">
        <v>31</v>
      </c>
    </row>
    <row r="292" spans="1:7" s="82" customFormat="1">
      <c r="A292" s="93" t="s">
        <v>199</v>
      </c>
      <c r="B292" s="90" t="s">
        <v>93</v>
      </c>
      <c r="C292" s="93" t="s">
        <v>691</v>
      </c>
      <c r="D292" s="91">
        <v>391</v>
      </c>
      <c r="E292" s="92">
        <v>10</v>
      </c>
      <c r="F292" s="92">
        <v>5</v>
      </c>
      <c r="G292" s="92" t="s">
        <v>31</v>
      </c>
    </row>
    <row r="293" spans="1:7" s="82" customFormat="1">
      <c r="A293" s="93" t="s">
        <v>578</v>
      </c>
      <c r="B293" s="90" t="s">
        <v>93</v>
      </c>
      <c r="C293" s="93" t="s">
        <v>712</v>
      </c>
      <c r="D293" s="91">
        <v>391</v>
      </c>
      <c r="E293" s="92">
        <v>5</v>
      </c>
      <c r="F293" s="92">
        <v>5</v>
      </c>
      <c r="G293" s="92" t="s">
        <v>31</v>
      </c>
    </row>
    <row r="294" spans="1:7" s="82" customFormat="1">
      <c r="A294" s="93" t="s">
        <v>579</v>
      </c>
      <c r="B294" s="90" t="s">
        <v>93</v>
      </c>
      <c r="C294" s="93" t="s">
        <v>692</v>
      </c>
      <c r="D294" s="91">
        <v>391</v>
      </c>
      <c r="E294" s="92">
        <v>15</v>
      </c>
      <c r="F294" s="92">
        <v>7</v>
      </c>
      <c r="G294" s="92" t="s">
        <v>31</v>
      </c>
    </row>
    <row r="295" spans="1:7" s="82" customFormat="1">
      <c r="A295" s="93" t="s">
        <v>687</v>
      </c>
      <c r="B295" s="90" t="s">
        <v>93</v>
      </c>
      <c r="C295" s="93" t="s">
        <v>713</v>
      </c>
      <c r="D295" s="91">
        <v>391</v>
      </c>
      <c r="E295" s="92">
        <v>20</v>
      </c>
      <c r="F295" s="92">
        <v>7</v>
      </c>
      <c r="G295" s="92" t="s">
        <v>31</v>
      </c>
    </row>
    <row r="296" spans="1:7" s="82" customFormat="1">
      <c r="A296" s="93" t="s">
        <v>200</v>
      </c>
      <c r="B296" s="90" t="s">
        <v>93</v>
      </c>
      <c r="C296" s="93" t="s">
        <v>99</v>
      </c>
      <c r="D296" s="91">
        <v>392</v>
      </c>
      <c r="E296" s="92">
        <v>10</v>
      </c>
      <c r="F296" s="92">
        <v>7</v>
      </c>
      <c r="G296" s="92" t="s">
        <v>31</v>
      </c>
    </row>
    <row r="297" spans="1:7" s="82" customFormat="1">
      <c r="A297" s="93" t="s">
        <v>201</v>
      </c>
      <c r="B297" s="90" t="s">
        <v>93</v>
      </c>
      <c r="C297" s="93" t="s">
        <v>714</v>
      </c>
      <c r="D297" s="91">
        <v>393</v>
      </c>
      <c r="E297" s="92">
        <v>7</v>
      </c>
      <c r="F297" s="92">
        <v>7</v>
      </c>
      <c r="G297" s="92" t="s">
        <v>31</v>
      </c>
    </row>
    <row r="298" spans="1:7" s="82" customFormat="1">
      <c r="A298" s="93" t="s">
        <v>580</v>
      </c>
      <c r="B298" s="90" t="s">
        <v>93</v>
      </c>
      <c r="C298" s="93" t="s">
        <v>715</v>
      </c>
      <c r="D298" s="91">
        <v>393</v>
      </c>
      <c r="E298" s="92">
        <v>5</v>
      </c>
      <c r="F298" s="92">
        <v>7</v>
      </c>
      <c r="G298" s="92" t="s">
        <v>31</v>
      </c>
    </row>
    <row r="299" spans="1:7" s="82" customFormat="1">
      <c r="A299" s="93" t="s">
        <v>202</v>
      </c>
      <c r="B299" s="90" t="s">
        <v>93</v>
      </c>
      <c r="C299" s="93" t="s">
        <v>103</v>
      </c>
      <c r="D299" s="91">
        <v>394</v>
      </c>
      <c r="E299" s="92">
        <v>7</v>
      </c>
      <c r="F299" s="92">
        <v>7</v>
      </c>
      <c r="G299" s="92" t="s">
        <v>31</v>
      </c>
    </row>
    <row r="300" spans="1:7" s="82" customFormat="1">
      <c r="A300" s="93" t="s">
        <v>203</v>
      </c>
      <c r="B300" s="90" t="s">
        <v>93</v>
      </c>
      <c r="C300" s="93" t="s">
        <v>639</v>
      </c>
      <c r="D300" s="91">
        <v>395</v>
      </c>
      <c r="E300" s="92">
        <v>10</v>
      </c>
      <c r="F300" s="92">
        <v>5</v>
      </c>
      <c r="G300" s="92" t="s">
        <v>31</v>
      </c>
    </row>
    <row r="301" spans="1:7" s="82" customFormat="1">
      <c r="A301" s="93" t="s">
        <v>581</v>
      </c>
      <c r="B301" s="90" t="s">
        <v>93</v>
      </c>
      <c r="C301" s="93" t="s">
        <v>716</v>
      </c>
      <c r="D301" s="91">
        <v>395</v>
      </c>
      <c r="E301" s="92">
        <v>7</v>
      </c>
      <c r="F301" s="92">
        <v>5</v>
      </c>
      <c r="G301" s="92" t="s">
        <v>31</v>
      </c>
    </row>
    <row r="302" spans="1:7" s="82" customFormat="1">
      <c r="A302" s="93" t="s">
        <v>582</v>
      </c>
      <c r="B302" s="90" t="s">
        <v>93</v>
      </c>
      <c r="C302" s="93" t="s">
        <v>701</v>
      </c>
      <c r="D302" s="91">
        <v>395</v>
      </c>
      <c r="E302" s="92">
        <v>5</v>
      </c>
      <c r="F302" s="92">
        <v>5</v>
      </c>
      <c r="G302" s="92" t="s">
        <v>31</v>
      </c>
    </row>
    <row r="303" spans="1:7" s="82" customFormat="1">
      <c r="A303" s="93" t="s">
        <v>204</v>
      </c>
      <c r="B303" s="90" t="s">
        <v>93</v>
      </c>
      <c r="C303" s="93" t="s">
        <v>706</v>
      </c>
      <c r="D303" s="91">
        <v>396</v>
      </c>
      <c r="E303" s="92">
        <v>15</v>
      </c>
      <c r="F303" s="92">
        <v>5</v>
      </c>
      <c r="G303" s="92" t="s">
        <v>31</v>
      </c>
    </row>
    <row r="304" spans="1:7" s="82" customFormat="1">
      <c r="A304" s="93" t="s">
        <v>476</v>
      </c>
      <c r="B304" s="90" t="s">
        <v>93</v>
      </c>
      <c r="C304" s="93" t="s">
        <v>474</v>
      </c>
      <c r="D304" s="91">
        <v>396</v>
      </c>
      <c r="E304" s="92">
        <v>15</v>
      </c>
      <c r="F304" s="92">
        <v>5</v>
      </c>
      <c r="G304" s="92" t="s">
        <v>31</v>
      </c>
    </row>
    <row r="305" spans="1:7" s="82" customFormat="1">
      <c r="A305" s="93" t="s">
        <v>583</v>
      </c>
      <c r="B305" s="90" t="s">
        <v>93</v>
      </c>
      <c r="C305" s="93" t="s">
        <v>705</v>
      </c>
      <c r="D305" s="91">
        <v>396</v>
      </c>
      <c r="E305" s="92">
        <v>10</v>
      </c>
      <c r="F305" s="92">
        <v>5</v>
      </c>
      <c r="G305" s="92" t="s">
        <v>31</v>
      </c>
    </row>
    <row r="306" spans="1:7" s="82" customFormat="1">
      <c r="A306" s="93" t="s">
        <v>584</v>
      </c>
      <c r="B306" s="90" t="s">
        <v>93</v>
      </c>
      <c r="C306" s="93" t="s">
        <v>704</v>
      </c>
      <c r="D306" s="91">
        <v>396</v>
      </c>
      <c r="E306" s="92">
        <v>7</v>
      </c>
      <c r="F306" s="92">
        <v>5</v>
      </c>
      <c r="G306" s="92" t="s">
        <v>31</v>
      </c>
    </row>
    <row r="307" spans="1:7" s="82" customFormat="1">
      <c r="A307" s="93" t="s">
        <v>689</v>
      </c>
      <c r="B307" s="90" t="s">
        <v>93</v>
      </c>
      <c r="C307" s="93" t="s">
        <v>703</v>
      </c>
      <c r="D307" s="91">
        <v>396</v>
      </c>
      <c r="E307" s="92">
        <v>5</v>
      </c>
      <c r="F307" s="92">
        <v>5</v>
      </c>
      <c r="G307" s="92" t="s">
        <v>31</v>
      </c>
    </row>
    <row r="308" spans="1:7" s="82" customFormat="1">
      <c r="A308" s="93" t="s">
        <v>205</v>
      </c>
      <c r="B308" s="90" t="s">
        <v>93</v>
      </c>
      <c r="C308" s="93" t="s">
        <v>109</v>
      </c>
      <c r="D308" s="91">
        <v>397</v>
      </c>
      <c r="E308" s="92">
        <v>7</v>
      </c>
      <c r="F308" s="92">
        <v>5</v>
      </c>
      <c r="G308" s="92" t="s">
        <v>31</v>
      </c>
    </row>
    <row r="309" spans="1:7" s="82" customFormat="1">
      <c r="A309" s="93" t="s">
        <v>206</v>
      </c>
      <c r="B309" s="90" t="s">
        <v>93</v>
      </c>
      <c r="C309" s="93" t="s">
        <v>690</v>
      </c>
      <c r="D309" s="91">
        <v>398</v>
      </c>
      <c r="E309" s="92">
        <v>15</v>
      </c>
      <c r="F309" s="92">
        <v>3</v>
      </c>
      <c r="G309" s="92" t="s">
        <v>31</v>
      </c>
    </row>
    <row r="310" spans="1:7" s="82" customFormat="1">
      <c r="A310" s="93" t="s">
        <v>688</v>
      </c>
      <c r="B310" s="90" t="s">
        <v>93</v>
      </c>
      <c r="C310" s="93" t="s">
        <v>675</v>
      </c>
      <c r="D310" s="91">
        <v>398</v>
      </c>
      <c r="E310" s="92">
        <v>5</v>
      </c>
      <c r="F310" s="92">
        <v>3</v>
      </c>
      <c r="G310" s="92" t="s">
        <v>31</v>
      </c>
    </row>
    <row r="311" spans="1:7" s="82" customFormat="1">
      <c r="A311" s="4"/>
      <c r="B311" s="4"/>
      <c r="C311" s="4"/>
      <c r="D311" s="8"/>
      <c r="E311" s="81"/>
      <c r="F311" s="81"/>
      <c r="G311" s="81"/>
    </row>
    <row r="312" spans="1:7" s="82" customFormat="1">
      <c r="A312" s="4"/>
      <c r="B312" s="4"/>
      <c r="C312" s="4"/>
      <c r="D312" s="8"/>
      <c r="E312" s="81"/>
      <c r="F312" s="81"/>
      <c r="G312" s="81"/>
    </row>
    <row r="313" spans="1:7" s="82" customFormat="1">
      <c r="A313" s="4"/>
      <c r="B313" s="4"/>
      <c r="C313" s="4"/>
      <c r="D313" s="8"/>
      <c r="E313" s="81"/>
      <c r="F313" s="81"/>
      <c r="G313" s="81"/>
    </row>
    <row r="314" spans="1:7" s="82" customFormat="1">
      <c r="A314" s="4"/>
      <c r="B314" s="4"/>
      <c r="C314" s="4"/>
      <c r="D314" s="8"/>
      <c r="E314" s="81"/>
      <c r="F314" s="81"/>
      <c r="G314" s="81"/>
    </row>
    <row r="315" spans="1:7" s="82" customFormat="1">
      <c r="A315" s="4"/>
      <c r="B315" s="4"/>
      <c r="C315" s="4"/>
      <c r="D315" s="8"/>
      <c r="E315" s="81"/>
      <c r="F315" s="81"/>
      <c r="G315" s="81"/>
    </row>
    <row r="316" spans="1:7" s="82" customFormat="1">
      <c r="A316" s="4"/>
      <c r="B316" s="4"/>
      <c r="C316" s="4"/>
      <c r="D316" s="8"/>
      <c r="E316" s="81"/>
      <c r="F316" s="81"/>
      <c r="G316" s="81"/>
    </row>
    <row r="317" spans="1:7" s="82" customFormat="1">
      <c r="A317" s="4"/>
      <c r="B317" s="4"/>
      <c r="C317" s="4"/>
      <c r="D317" s="8"/>
      <c r="E317" s="81"/>
      <c r="F317" s="81"/>
      <c r="G317" s="81"/>
    </row>
    <row r="318" spans="1:7" s="82" customFormat="1">
      <c r="A318" s="4"/>
      <c r="B318" s="4"/>
      <c r="C318" s="4"/>
      <c r="D318" s="8"/>
      <c r="E318" s="81"/>
      <c r="F318" s="81"/>
      <c r="G318" s="81"/>
    </row>
    <row r="319" spans="1:7" s="82" customFormat="1">
      <c r="A319" s="4"/>
      <c r="B319" s="4"/>
      <c r="C319" s="4"/>
      <c r="D319" s="8"/>
      <c r="E319" s="81"/>
      <c r="F319" s="81"/>
      <c r="G319" s="81"/>
    </row>
    <row r="320" spans="1:7" s="82" customFormat="1">
      <c r="A320" s="4"/>
      <c r="B320" s="7"/>
      <c r="C320" s="4"/>
      <c r="D320" s="8"/>
      <c r="E320" s="81"/>
      <c r="F320" s="81"/>
      <c r="G320" s="81"/>
    </row>
    <row r="321" spans="1:7" s="82" customFormat="1">
      <c r="A321" s="4"/>
      <c r="B321" s="7"/>
      <c r="C321" s="4"/>
      <c r="D321" s="8"/>
      <c r="E321" s="81"/>
      <c r="F321" s="81"/>
      <c r="G321" s="81"/>
    </row>
    <row r="322" spans="1:7" s="82" customFormat="1">
      <c r="A322" s="4"/>
      <c r="B322" s="7"/>
      <c r="C322" s="4"/>
      <c r="D322" s="8"/>
      <c r="E322" s="81"/>
      <c r="F322" s="81"/>
      <c r="G322" s="81"/>
    </row>
    <row r="323" spans="1:7">
      <c r="A323" s="5"/>
      <c r="B323" s="5"/>
      <c r="C323" s="5"/>
      <c r="D323" s="6"/>
      <c r="E323" s="1"/>
    </row>
    <row r="324" spans="1:7">
      <c r="A324" s="4"/>
      <c r="B324" s="9"/>
      <c r="C324" s="5"/>
      <c r="D324" s="6"/>
      <c r="E324" s="1"/>
    </row>
    <row r="325" spans="1:7">
      <c r="A325" s="4"/>
      <c r="B325" s="5"/>
      <c r="C325" s="5"/>
      <c r="D325" s="6"/>
      <c r="E325" s="1"/>
    </row>
    <row r="326" spans="1:7">
      <c r="A326" s="4"/>
      <c r="B326" s="5"/>
      <c r="C326" s="5"/>
      <c r="D326" s="6"/>
      <c r="E326" s="1"/>
    </row>
    <row r="327" spans="1:7">
      <c r="A327" s="7"/>
      <c r="B327" s="5"/>
      <c r="C327" s="9"/>
      <c r="D327" s="6"/>
      <c r="E327" s="1"/>
    </row>
    <row r="328" spans="1:7">
      <c r="A328" s="4"/>
      <c r="B328" s="5"/>
      <c r="C328" s="5"/>
      <c r="E328" s="1"/>
    </row>
    <row r="329" spans="1:7">
      <c r="A329" s="4"/>
      <c r="B329" s="5"/>
      <c r="C329" s="5"/>
      <c r="D329" s="1"/>
      <c r="E329" s="1"/>
    </row>
    <row r="330" spans="1:7">
      <c r="A330" s="4"/>
      <c r="B330" s="5"/>
      <c r="C330" s="5"/>
      <c r="D330" s="1"/>
      <c r="E330" s="1"/>
    </row>
  </sheetData>
  <phoneticPr fontId="2" type="noConversion"/>
  <printOptions horizontalCentered="1"/>
  <pageMargins left="0.5" right="0.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codeName="Sheet6" enableFormatConditionsCalculation="0">
    <tabColor indexed="10"/>
  </sheetPr>
  <dimension ref="A1:BQ602"/>
  <sheetViews>
    <sheetView workbookViewId="0">
      <selection activeCell="G11" sqref="G11"/>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478</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479</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70" t="s">
        <v>437</v>
      </c>
      <c r="B8" s="114"/>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74" t="s">
        <v>403</v>
      </c>
      <c r="B9" s="85"/>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74" t="s">
        <v>394</v>
      </c>
      <c r="B10" s="115"/>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75" t="s">
        <v>480</v>
      </c>
      <c r="B12" s="115"/>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74" t="s">
        <v>365</v>
      </c>
      <c r="B14" s="10">
        <v>1</v>
      </c>
      <c r="D14" s="74" t="s">
        <v>4</v>
      </c>
      <c r="E14" s="55">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364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74" t="s">
        <v>393</v>
      </c>
      <c r="D16" s="74"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74" t="s">
        <v>352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74" t="s">
        <v>366</v>
      </c>
      <c r="B19" s="26">
        <v>39448</v>
      </c>
      <c r="D19" s="74" t="s">
        <v>481</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71"/>
      <c r="D20" s="42"/>
      <c r="E20" s="7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76" t="s">
        <v>489</v>
      </c>
      <c r="B21" s="76" t="s">
        <v>491</v>
      </c>
      <c r="C21" s="76" t="s">
        <v>487</v>
      </c>
      <c r="D21" s="76" t="s">
        <v>490</v>
      </c>
      <c r="E21" s="76" t="s">
        <v>488</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72"/>
      <c r="C22" s="73"/>
      <c r="D22" s="73"/>
      <c r="E22" s="56"/>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72"/>
      <c r="C23" s="73"/>
      <c r="D23" s="73"/>
      <c r="E23" s="56"/>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72"/>
      <c r="C24" s="73"/>
      <c r="D24" s="73"/>
      <c r="E24" s="56"/>
      <c r="F24" s="18" t="s">
        <v>364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72"/>
      <c r="C25" s="73"/>
      <c r="D25" s="73"/>
      <c r="E25" s="56"/>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72"/>
      <c r="C26" s="73"/>
      <c r="D26" s="73"/>
      <c r="E26" s="56"/>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482</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74" t="s">
        <v>484</v>
      </c>
      <c r="B28" s="56"/>
      <c r="D28" s="30" t="s">
        <v>483</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1" t="s">
        <v>392</v>
      </c>
      <c r="B30" s="122"/>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77" t="s">
        <v>397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77" t="s">
        <v>398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611</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391</v>
      </c>
      <c r="B37" s="39"/>
      <c r="C37" s="39"/>
      <c r="D37" s="38" t="s">
        <v>386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387</v>
      </c>
      <c r="B38" s="32"/>
      <c r="C38" s="32"/>
      <c r="D38" s="33" t="s">
        <v>485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388</v>
      </c>
      <c r="B39" s="36"/>
      <c r="C39" s="36"/>
      <c r="D39" s="35" t="s">
        <v>486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sheetPr codeName="Sheet7"/>
  <dimension ref="A1:R311"/>
  <sheetViews>
    <sheetView workbookViewId="0">
      <selection activeCell="E33" sqref="E33"/>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367</v>
      </c>
      <c r="B1" s="2"/>
      <c r="C1" s="3" t="s">
        <v>368</v>
      </c>
      <c r="E1" s="3" t="s">
        <v>378</v>
      </c>
      <c r="G1" s="3" t="s">
        <v>14</v>
      </c>
      <c r="H1" s="3" t="s">
        <v>15</v>
      </c>
      <c r="I1" s="3" t="s">
        <v>16</v>
      </c>
      <c r="K1" s="3" t="s">
        <v>382</v>
      </c>
      <c r="M1" s="3" t="s">
        <v>420</v>
      </c>
      <c r="N1" s="3"/>
      <c r="O1" s="3" t="s">
        <v>434</v>
      </c>
      <c r="P1" s="3" t="s">
        <v>367</v>
      </c>
      <c r="Q1" s="3" t="s">
        <v>435</v>
      </c>
      <c r="R1" s="3" t="s">
        <v>368</v>
      </c>
    </row>
    <row r="2" spans="1:18">
      <c r="A2" s="3"/>
      <c r="B2" s="2"/>
      <c r="C2" s="3"/>
      <c r="E2" s="3"/>
      <c r="G2" s="3"/>
      <c r="H2" s="3"/>
      <c r="I2" s="3"/>
      <c r="K2" s="3"/>
      <c r="M2" s="3"/>
      <c r="N2" s="3"/>
      <c r="O2" s="3"/>
      <c r="P2" s="3"/>
      <c r="Q2" s="3"/>
      <c r="R2" s="3"/>
    </row>
    <row r="3" spans="1:18">
      <c r="A3" s="5" t="s">
        <v>369</v>
      </c>
      <c r="B3" s="5"/>
      <c r="C3" s="5" t="s">
        <v>377</v>
      </c>
      <c r="D3" s="5"/>
      <c r="E3" s="5" t="s">
        <v>339</v>
      </c>
      <c r="G3" s="7" t="s">
        <v>210</v>
      </c>
      <c r="H3" s="9" t="s">
        <v>211</v>
      </c>
      <c r="I3" s="9" t="s">
        <v>212</v>
      </c>
      <c r="K3" s="9" t="s">
        <v>383</v>
      </c>
      <c r="M3" s="9" t="s">
        <v>421</v>
      </c>
      <c r="N3" s="9"/>
      <c r="O3">
        <v>1</v>
      </c>
      <c r="P3" s="5" t="s">
        <v>384</v>
      </c>
      <c r="Q3">
        <v>1</v>
      </c>
      <c r="R3" s="5" t="s">
        <v>384</v>
      </c>
    </row>
    <row r="4" spans="1:18">
      <c r="A4" s="5" t="s">
        <v>372</v>
      </c>
      <c r="B4" s="5"/>
      <c r="C4" s="5" t="s">
        <v>369</v>
      </c>
      <c r="D4" s="5"/>
      <c r="E4" s="5" t="s">
        <v>344</v>
      </c>
      <c r="G4" s="7" t="s">
        <v>214</v>
      </c>
      <c r="H4" s="9" t="s">
        <v>211</v>
      </c>
      <c r="I4" s="9" t="s">
        <v>215</v>
      </c>
      <c r="K4" s="9" t="s">
        <v>384</v>
      </c>
      <c r="M4" s="9" t="s">
        <v>422</v>
      </c>
      <c r="N4" s="9"/>
      <c r="O4">
        <v>2</v>
      </c>
      <c r="P4" s="5" t="s">
        <v>369</v>
      </c>
      <c r="Q4">
        <v>2</v>
      </c>
      <c r="R4" s="5" t="s">
        <v>377</v>
      </c>
    </row>
    <row r="5" spans="1:18">
      <c r="A5" s="5" t="s">
        <v>371</v>
      </c>
      <c r="B5" s="5"/>
      <c r="C5" s="5" t="s">
        <v>376</v>
      </c>
      <c r="D5" s="5"/>
      <c r="E5" s="5" t="s">
        <v>340</v>
      </c>
      <c r="G5" s="7" t="s">
        <v>612</v>
      </c>
      <c r="H5" s="5" t="s">
        <v>211</v>
      </c>
      <c r="I5" s="5" t="s">
        <v>616</v>
      </c>
      <c r="O5">
        <v>3</v>
      </c>
      <c r="P5" s="5" t="s">
        <v>372</v>
      </c>
      <c r="Q5">
        <v>3</v>
      </c>
      <c r="R5" s="5" t="s">
        <v>369</v>
      </c>
    </row>
    <row r="6" spans="1:18">
      <c r="A6" s="5" t="s">
        <v>370</v>
      </c>
      <c r="B6" s="5"/>
      <c r="C6" s="5" t="s">
        <v>373</v>
      </c>
      <c r="D6" s="5"/>
      <c r="E6" s="5" t="s">
        <v>341</v>
      </c>
      <c r="G6" s="7" t="s">
        <v>613</v>
      </c>
      <c r="H6" s="9" t="s">
        <v>211</v>
      </c>
      <c r="I6" s="5" t="s">
        <v>615</v>
      </c>
      <c r="O6">
        <v>4</v>
      </c>
      <c r="P6" s="5" t="s">
        <v>371</v>
      </c>
      <c r="Q6">
        <v>4</v>
      </c>
      <c r="R6" s="5" t="s">
        <v>376</v>
      </c>
    </row>
    <row r="7" spans="1:18">
      <c r="A7" s="5"/>
      <c r="B7" s="5"/>
      <c r="C7" s="5" t="s">
        <v>375</v>
      </c>
      <c r="D7" s="5"/>
      <c r="E7" s="5" t="s">
        <v>342</v>
      </c>
      <c r="G7" s="7" t="s">
        <v>614</v>
      </c>
      <c r="H7" s="9" t="s">
        <v>211</v>
      </c>
      <c r="I7" s="5" t="s">
        <v>617</v>
      </c>
      <c r="O7">
        <v>5</v>
      </c>
      <c r="P7" s="5" t="s">
        <v>370</v>
      </c>
      <c r="Q7">
        <v>5</v>
      </c>
      <c r="R7" s="5" t="s">
        <v>373</v>
      </c>
    </row>
    <row r="8" spans="1:18">
      <c r="A8" s="5"/>
      <c r="B8" s="5"/>
      <c r="C8" s="5" t="s">
        <v>374</v>
      </c>
      <c r="D8" s="5"/>
      <c r="E8" s="5" t="s">
        <v>343</v>
      </c>
      <c r="G8" s="7" t="s">
        <v>216</v>
      </c>
      <c r="H8" s="9" t="s">
        <v>211</v>
      </c>
      <c r="I8" s="5" t="s">
        <v>217</v>
      </c>
      <c r="P8" s="5"/>
      <c r="Q8" s="5">
        <v>6</v>
      </c>
      <c r="R8" s="5" t="s">
        <v>375</v>
      </c>
    </row>
    <row r="9" spans="1:18">
      <c r="G9" s="7" t="s">
        <v>218</v>
      </c>
      <c r="H9" s="5" t="s">
        <v>211</v>
      </c>
      <c r="I9" s="5" t="s">
        <v>219</v>
      </c>
      <c r="Q9">
        <v>7</v>
      </c>
      <c r="R9" s="5" t="s">
        <v>374</v>
      </c>
    </row>
    <row r="10" spans="1:18">
      <c r="G10" s="7" t="s">
        <v>220</v>
      </c>
      <c r="H10" s="5" t="s">
        <v>211</v>
      </c>
      <c r="I10" s="9" t="s">
        <v>221</v>
      </c>
    </row>
    <row r="11" spans="1:18">
      <c r="G11" s="7" t="s">
        <v>259</v>
      </c>
      <c r="H11" s="5" t="s">
        <v>64</v>
      </c>
      <c r="I11" s="9" t="s">
        <v>263</v>
      </c>
    </row>
    <row r="12" spans="1:18">
      <c r="G12" s="7" t="s">
        <v>262</v>
      </c>
      <c r="H12" s="5" t="s">
        <v>64</v>
      </c>
      <c r="I12" s="9" t="s">
        <v>260</v>
      </c>
    </row>
    <row r="13" spans="1:18">
      <c r="G13" s="7" t="s">
        <v>537</v>
      </c>
      <c r="H13" s="5" t="s">
        <v>64</v>
      </c>
      <c r="I13" s="9" t="s">
        <v>538</v>
      </c>
    </row>
    <row r="14" spans="1:18">
      <c r="G14" s="7" t="s">
        <v>264</v>
      </c>
      <c r="H14" s="5" t="s">
        <v>64</v>
      </c>
      <c r="I14" s="9" t="s">
        <v>265</v>
      </c>
    </row>
    <row r="15" spans="1:18">
      <c r="G15" s="7" t="s">
        <v>463</v>
      </c>
      <c r="H15" s="5" t="s">
        <v>64</v>
      </c>
      <c r="I15" s="9" t="s">
        <v>465</v>
      </c>
    </row>
    <row r="16" spans="1:18">
      <c r="G16" s="7" t="s">
        <v>464</v>
      </c>
      <c r="H16" s="5" t="s">
        <v>64</v>
      </c>
      <c r="I16" s="9" t="s">
        <v>466</v>
      </c>
    </row>
    <row r="17" spans="7:9">
      <c r="G17" s="7" t="s">
        <v>266</v>
      </c>
      <c r="H17" s="5" t="s">
        <v>64</v>
      </c>
      <c r="I17" s="9" t="s">
        <v>267</v>
      </c>
    </row>
    <row r="18" spans="7:9">
      <c r="G18" s="7" t="s">
        <v>467</v>
      </c>
      <c r="H18" s="9" t="s">
        <v>64</v>
      </c>
      <c r="I18" s="9" t="s">
        <v>470</v>
      </c>
    </row>
    <row r="19" spans="7:9">
      <c r="G19" s="7" t="s">
        <v>468</v>
      </c>
      <c r="H19" s="9" t="s">
        <v>64</v>
      </c>
      <c r="I19" s="9" t="s">
        <v>471</v>
      </c>
    </row>
    <row r="20" spans="7:9">
      <c r="G20" s="7" t="s">
        <v>469</v>
      </c>
      <c r="H20" s="9" t="s">
        <v>64</v>
      </c>
      <c r="I20" s="9" t="s">
        <v>472</v>
      </c>
    </row>
    <row r="21" spans="7:9">
      <c r="G21" s="7" t="s">
        <v>222</v>
      </c>
      <c r="H21" s="9" t="s">
        <v>211</v>
      </c>
      <c r="I21" s="9" t="s">
        <v>139</v>
      </c>
    </row>
    <row r="22" spans="7:9">
      <c r="G22" s="7" t="s">
        <v>223</v>
      </c>
      <c r="H22" s="9" t="s">
        <v>211</v>
      </c>
      <c r="I22" s="9" t="s">
        <v>224</v>
      </c>
    </row>
    <row r="23" spans="7:9">
      <c r="G23" s="7" t="s">
        <v>225</v>
      </c>
      <c r="H23" s="9" t="s">
        <v>211</v>
      </c>
      <c r="I23" s="9" t="s">
        <v>226</v>
      </c>
    </row>
    <row r="24" spans="7:9">
      <c r="G24" s="7" t="s">
        <v>456</v>
      </c>
      <c r="H24" s="9" t="s">
        <v>211</v>
      </c>
      <c r="I24" s="9" t="s">
        <v>454</v>
      </c>
    </row>
    <row r="25" spans="7:9">
      <c r="G25" s="7" t="s">
        <v>457</v>
      </c>
      <c r="H25" s="9" t="s">
        <v>211</v>
      </c>
      <c r="I25" s="9" t="s">
        <v>44</v>
      </c>
    </row>
    <row r="26" spans="7:9">
      <c r="G26" s="7" t="s">
        <v>458</v>
      </c>
      <c r="H26" s="9" t="s">
        <v>211</v>
      </c>
      <c r="I26" s="9" t="s">
        <v>455</v>
      </c>
    </row>
    <row r="27" spans="7:9">
      <c r="G27" s="4" t="s">
        <v>618</v>
      </c>
      <c r="H27" s="5" t="s">
        <v>211</v>
      </c>
      <c r="I27" s="5" t="s">
        <v>620</v>
      </c>
    </row>
    <row r="28" spans="7:9">
      <c r="G28" s="4" t="s">
        <v>619</v>
      </c>
      <c r="H28" s="5" t="s">
        <v>211</v>
      </c>
      <c r="I28" s="5" t="s">
        <v>621</v>
      </c>
    </row>
    <row r="29" spans="7:9">
      <c r="G29" s="4" t="s">
        <v>227</v>
      </c>
      <c r="H29" s="5" t="s">
        <v>211</v>
      </c>
      <c r="I29" s="5" t="s">
        <v>228</v>
      </c>
    </row>
    <row r="30" spans="7:9">
      <c r="G30" s="4" t="s">
        <v>229</v>
      </c>
      <c r="H30" s="5" t="s">
        <v>211</v>
      </c>
      <c r="I30" s="5" t="s">
        <v>37</v>
      </c>
    </row>
    <row r="31" spans="7:9">
      <c r="G31" s="4" t="s">
        <v>608</v>
      </c>
      <c r="H31" s="5" t="s">
        <v>211</v>
      </c>
      <c r="I31" s="5" t="s">
        <v>624</v>
      </c>
    </row>
    <row r="32" spans="7:9">
      <c r="G32" s="4" t="s">
        <v>622</v>
      </c>
      <c r="H32" s="5" t="s">
        <v>211</v>
      </c>
      <c r="I32" s="5" t="s">
        <v>626</v>
      </c>
    </row>
    <row r="33" spans="7:9">
      <c r="G33" s="4" t="s">
        <v>623</v>
      </c>
      <c r="H33" s="5" t="s">
        <v>211</v>
      </c>
      <c r="I33" s="5" t="s">
        <v>625</v>
      </c>
    </row>
    <row r="34" spans="7:9">
      <c r="G34" s="4" t="s">
        <v>230</v>
      </c>
      <c r="H34" s="5" t="s">
        <v>211</v>
      </c>
      <c r="I34" s="5" t="s">
        <v>231</v>
      </c>
    </row>
    <row r="35" spans="7:9">
      <c r="G35" s="4" t="s">
        <v>269</v>
      </c>
      <c r="H35" s="5" t="s">
        <v>270</v>
      </c>
      <c r="I35" s="5" t="s">
        <v>271</v>
      </c>
    </row>
    <row r="36" spans="7:9">
      <c r="G36" s="4" t="s">
        <v>272</v>
      </c>
      <c r="H36" s="5" t="s">
        <v>270</v>
      </c>
      <c r="I36" s="5" t="s">
        <v>273</v>
      </c>
    </row>
    <row r="37" spans="7:9">
      <c r="G37" s="4" t="s">
        <v>274</v>
      </c>
      <c r="H37" s="5" t="s">
        <v>270</v>
      </c>
      <c r="I37" s="5" t="s">
        <v>275</v>
      </c>
    </row>
    <row r="38" spans="7:9">
      <c r="G38" s="4" t="s">
        <v>276</v>
      </c>
      <c r="H38" s="5" t="s">
        <v>270</v>
      </c>
      <c r="I38" s="5" t="s">
        <v>277</v>
      </c>
    </row>
    <row r="39" spans="7:9">
      <c r="G39" s="4" t="s">
        <v>245</v>
      </c>
      <c r="H39" s="5" t="s">
        <v>244</v>
      </c>
      <c r="I39" s="5" t="s">
        <v>246</v>
      </c>
    </row>
    <row r="40" spans="7:9">
      <c r="G40" s="4" t="s">
        <v>247</v>
      </c>
      <c r="H40" s="5" t="s">
        <v>244</v>
      </c>
      <c r="I40" s="5" t="s">
        <v>248</v>
      </c>
    </row>
    <row r="41" spans="7:9">
      <c r="G41" s="4" t="s">
        <v>249</v>
      </c>
      <c r="H41" s="5" t="s">
        <v>244</v>
      </c>
      <c r="I41" s="5" t="s">
        <v>250</v>
      </c>
    </row>
    <row r="42" spans="7:9">
      <c r="G42" s="4" t="s">
        <v>461</v>
      </c>
      <c r="H42" s="5" t="s">
        <v>244</v>
      </c>
      <c r="I42" s="5" t="s">
        <v>462</v>
      </c>
    </row>
    <row r="43" spans="7:9">
      <c r="G43" s="4" t="s">
        <v>251</v>
      </c>
      <c r="H43" s="5" t="s">
        <v>244</v>
      </c>
      <c r="I43" s="5" t="s">
        <v>252</v>
      </c>
    </row>
    <row r="44" spans="7:9">
      <c r="G44" s="4" t="s">
        <v>253</v>
      </c>
      <c r="H44" s="5" t="s">
        <v>244</v>
      </c>
      <c r="I44" s="5" t="s">
        <v>254</v>
      </c>
    </row>
    <row r="45" spans="7:9">
      <c r="G45" s="5" t="s">
        <v>255</v>
      </c>
      <c r="H45" s="5" t="s">
        <v>244</v>
      </c>
      <c r="I45" s="5" t="s">
        <v>256</v>
      </c>
    </row>
    <row r="46" spans="7:9">
      <c r="G46" s="5" t="s">
        <v>257</v>
      </c>
      <c r="H46" s="5" t="s">
        <v>244</v>
      </c>
      <c r="I46" s="5" t="s">
        <v>258</v>
      </c>
    </row>
    <row r="47" spans="7:9">
      <c r="G47" s="4" t="s">
        <v>235</v>
      </c>
      <c r="H47" s="9" t="s">
        <v>236</v>
      </c>
      <c r="I47" s="5" t="s">
        <v>237</v>
      </c>
    </row>
    <row r="48" spans="7:9">
      <c r="G48" s="4" t="s">
        <v>238</v>
      </c>
      <c r="H48" s="5" t="s">
        <v>236</v>
      </c>
      <c r="I48" s="5" t="s">
        <v>239</v>
      </c>
    </row>
    <row r="49" spans="7:9">
      <c r="G49" s="5" t="s">
        <v>240</v>
      </c>
      <c r="H49" s="5" t="s">
        <v>236</v>
      </c>
      <c r="I49" s="5" t="s">
        <v>241</v>
      </c>
    </row>
    <row r="50" spans="7:9">
      <c r="G50" s="4" t="s">
        <v>459</v>
      </c>
      <c r="H50" s="9" t="s">
        <v>236</v>
      </c>
      <c r="I50" s="5" t="s">
        <v>460</v>
      </c>
    </row>
    <row r="51" spans="7:9">
      <c r="G51" s="4" t="s">
        <v>242</v>
      </c>
      <c r="H51" s="9" t="s">
        <v>236</v>
      </c>
      <c r="I51" s="5" t="s">
        <v>243</v>
      </c>
    </row>
    <row r="52" spans="7:9">
      <c r="G52" s="5" t="s">
        <v>207</v>
      </c>
      <c r="H52" s="5" t="s">
        <v>19</v>
      </c>
      <c r="I52" s="5" t="s">
        <v>20</v>
      </c>
    </row>
    <row r="53" spans="7:9">
      <c r="G53" s="5" t="s">
        <v>209</v>
      </c>
      <c r="H53" s="5" t="s">
        <v>19</v>
      </c>
      <c r="I53" s="5" t="s">
        <v>23</v>
      </c>
    </row>
    <row r="54" spans="7:9">
      <c r="G54" s="5" t="s">
        <v>278</v>
      </c>
      <c r="H54" s="5" t="s">
        <v>93</v>
      </c>
      <c r="I54" s="5" t="s">
        <v>26</v>
      </c>
    </row>
    <row r="55" spans="7:9">
      <c r="G55" s="5" t="s">
        <v>233</v>
      </c>
      <c r="H55" s="5" t="s">
        <v>211</v>
      </c>
      <c r="I55" s="5" t="s">
        <v>26</v>
      </c>
    </row>
    <row r="56" spans="7:9">
      <c r="G56" s="5" t="s">
        <v>268</v>
      </c>
      <c r="H56" s="5" t="s">
        <v>64</v>
      </c>
      <c r="I56" s="5" t="s">
        <v>66</v>
      </c>
    </row>
    <row r="57" spans="7:9">
      <c r="G57" s="5" t="s">
        <v>279</v>
      </c>
      <c r="H57" s="5" t="s">
        <v>93</v>
      </c>
      <c r="I57" s="5" t="s">
        <v>66</v>
      </c>
    </row>
    <row r="58" spans="7:9">
      <c r="G58" s="5" t="s">
        <v>234</v>
      </c>
      <c r="H58" s="5" t="s">
        <v>211</v>
      </c>
      <c r="I58" s="5" t="s">
        <v>453</v>
      </c>
    </row>
    <row r="59" spans="7:9">
      <c r="G59" s="5" t="s">
        <v>451</v>
      </c>
      <c r="H59" s="5" t="s">
        <v>211</v>
      </c>
      <c r="I59" s="5" t="s">
        <v>452</v>
      </c>
    </row>
    <row r="60" spans="7:9">
      <c r="G60" s="5" t="s">
        <v>280</v>
      </c>
      <c r="H60" s="5" t="s">
        <v>93</v>
      </c>
      <c r="I60" s="5" t="s">
        <v>281</v>
      </c>
    </row>
    <row r="61" spans="7:9">
      <c r="G61" s="5" t="s">
        <v>627</v>
      </c>
      <c r="H61" s="5" t="s">
        <v>93</v>
      </c>
      <c r="I61" s="5" t="s">
        <v>628</v>
      </c>
    </row>
    <row r="62" spans="7:9">
      <c r="G62" s="4" t="s">
        <v>282</v>
      </c>
      <c r="H62" s="5" t="s">
        <v>93</v>
      </c>
      <c r="I62" s="5" t="s">
        <v>693</v>
      </c>
    </row>
    <row r="63" spans="7:9">
      <c r="G63" s="4" t="s">
        <v>717</v>
      </c>
      <c r="H63" s="5" t="s">
        <v>93</v>
      </c>
      <c r="I63" s="5" t="s">
        <v>691</v>
      </c>
    </row>
    <row r="64" spans="7:9">
      <c r="G64" s="4" t="s">
        <v>718</v>
      </c>
      <c r="H64" s="5" t="s">
        <v>93</v>
      </c>
      <c r="I64" s="5" t="s">
        <v>692</v>
      </c>
    </row>
    <row r="65" spans="7:9">
      <c r="G65" s="4" t="s">
        <v>719</v>
      </c>
      <c r="H65" s="5" t="s">
        <v>93</v>
      </c>
      <c r="I65" s="5" t="s">
        <v>713</v>
      </c>
    </row>
    <row r="66" spans="7:9">
      <c r="G66" s="4" t="s">
        <v>283</v>
      </c>
      <c r="H66" s="5" t="s">
        <v>93</v>
      </c>
      <c r="I66" s="5" t="s">
        <v>284</v>
      </c>
    </row>
    <row r="67" spans="7:9">
      <c r="G67" s="4" t="s">
        <v>285</v>
      </c>
      <c r="H67" s="5" t="s">
        <v>93</v>
      </c>
      <c r="I67" s="5" t="s">
        <v>286</v>
      </c>
    </row>
    <row r="68" spans="7:9">
      <c r="G68" s="4" t="s">
        <v>287</v>
      </c>
      <c r="H68" s="5" t="s">
        <v>93</v>
      </c>
      <c r="I68" s="5" t="s">
        <v>288</v>
      </c>
    </row>
    <row r="69" spans="7:9">
      <c r="G69" s="4" t="s">
        <v>289</v>
      </c>
      <c r="H69" s="5" t="s">
        <v>93</v>
      </c>
      <c r="I69" s="5" t="s">
        <v>545</v>
      </c>
    </row>
    <row r="70" spans="7:9">
      <c r="G70" s="4" t="s">
        <v>606</v>
      </c>
      <c r="H70" s="5" t="s">
        <v>93</v>
      </c>
      <c r="I70" s="5" t="s">
        <v>558</v>
      </c>
    </row>
    <row r="71" spans="7:9">
      <c r="G71" s="4" t="s">
        <v>290</v>
      </c>
      <c r="H71" s="5" t="s">
        <v>93</v>
      </c>
      <c r="I71" s="5" t="s">
        <v>631</v>
      </c>
    </row>
    <row r="72" spans="7:9">
      <c r="G72" s="4" t="s">
        <v>473</v>
      </c>
      <c r="H72" s="5" t="s">
        <v>93</v>
      </c>
      <c r="I72" s="5" t="s">
        <v>474</v>
      </c>
    </row>
    <row r="73" spans="7:9">
      <c r="G73" s="4" t="s">
        <v>629</v>
      </c>
      <c r="H73" s="5" t="s">
        <v>93</v>
      </c>
      <c r="I73" s="5" t="s">
        <v>630</v>
      </c>
    </row>
    <row r="74" spans="7:9">
      <c r="G74" s="4" t="s">
        <v>291</v>
      </c>
      <c r="H74" s="5" t="s">
        <v>93</v>
      </c>
      <c r="I74" s="5" t="s">
        <v>632</v>
      </c>
    </row>
    <row r="75" spans="7:9">
      <c r="G75" s="4" t="s">
        <v>633</v>
      </c>
      <c r="H75" s="5" t="s">
        <v>93</v>
      </c>
      <c r="I75" s="5" t="s">
        <v>634</v>
      </c>
    </row>
    <row r="76" spans="7:9">
      <c r="G76" s="4" t="s">
        <v>635</v>
      </c>
      <c r="H76" s="5" t="s">
        <v>93</v>
      </c>
      <c r="I76" s="5" t="s">
        <v>637</v>
      </c>
    </row>
    <row r="77" spans="7:9">
      <c r="G77" s="4" t="s">
        <v>636</v>
      </c>
      <c r="H77" s="5" t="s">
        <v>93</v>
      </c>
      <c r="I77" s="5" t="s">
        <v>638</v>
      </c>
    </row>
    <row r="78" spans="7:9">
      <c r="G78" s="4" t="s">
        <v>292</v>
      </c>
      <c r="H78" s="5" t="s">
        <v>93</v>
      </c>
      <c r="I78" s="5" t="s">
        <v>111</v>
      </c>
    </row>
    <row r="79" spans="7:9">
      <c r="G79" s="4" t="s">
        <v>536</v>
      </c>
      <c r="H79" s="5" t="s">
        <v>93</v>
      </c>
      <c r="I79" s="5" t="s">
        <v>101</v>
      </c>
    </row>
    <row r="80" spans="7:9">
      <c r="G80" s="4" t="s">
        <v>607</v>
      </c>
      <c r="H80" s="5" t="s">
        <v>93</v>
      </c>
      <c r="I80" s="5" t="s">
        <v>639</v>
      </c>
    </row>
    <row r="81" spans="7:9">
      <c r="G81" s="4" t="s">
        <v>18</v>
      </c>
      <c r="H81" s="5" t="s">
        <v>19</v>
      </c>
      <c r="I81" s="5" t="s">
        <v>20</v>
      </c>
    </row>
    <row r="82" spans="7:9">
      <c r="G82" s="4" t="s">
        <v>22</v>
      </c>
      <c r="H82" s="5" t="s">
        <v>19</v>
      </c>
      <c r="I82" s="5" t="s">
        <v>23</v>
      </c>
    </row>
    <row r="83" spans="7:9">
      <c r="G83" s="4" t="s">
        <v>24</v>
      </c>
      <c r="H83" s="5" t="s">
        <v>25</v>
      </c>
      <c r="I83" s="5" t="s">
        <v>26</v>
      </c>
    </row>
    <row r="84" spans="7:9">
      <c r="G84" s="4" t="s">
        <v>27</v>
      </c>
      <c r="H84" s="5" t="s">
        <v>25</v>
      </c>
      <c r="I84" s="5" t="s">
        <v>28</v>
      </c>
    </row>
    <row r="85" spans="7:9">
      <c r="G85" s="4" t="s">
        <v>29</v>
      </c>
      <c r="H85" s="5" t="s">
        <v>25</v>
      </c>
      <c r="I85" s="5" t="s">
        <v>30</v>
      </c>
    </row>
    <row r="86" spans="7:9">
      <c r="G86" s="4" t="s">
        <v>32</v>
      </c>
      <c r="H86" s="5" t="s">
        <v>25</v>
      </c>
      <c r="I86" s="5" t="s">
        <v>33</v>
      </c>
    </row>
    <row r="87" spans="7:9">
      <c r="G87" s="4" t="s">
        <v>34</v>
      </c>
      <c r="H87" s="5" t="s">
        <v>25</v>
      </c>
      <c r="I87" s="5" t="s">
        <v>35</v>
      </c>
    </row>
    <row r="88" spans="7:9">
      <c r="G88" s="5" t="s">
        <v>36</v>
      </c>
      <c r="H88" s="5" t="s">
        <v>25</v>
      </c>
      <c r="I88" s="5" t="s">
        <v>37</v>
      </c>
    </row>
    <row r="89" spans="7:9">
      <c r="G89" s="5" t="s">
        <v>38</v>
      </c>
      <c r="H89" s="5" t="s">
        <v>25</v>
      </c>
      <c r="I89" s="5" t="s">
        <v>39</v>
      </c>
    </row>
    <row r="90" spans="7:9">
      <c r="G90" s="5" t="s">
        <v>640</v>
      </c>
      <c r="H90" s="5" t="s">
        <v>43</v>
      </c>
      <c r="I90" s="5" t="s">
        <v>641</v>
      </c>
    </row>
    <row r="91" spans="7:9">
      <c r="G91" s="5" t="s">
        <v>40</v>
      </c>
      <c r="H91" s="5" t="s">
        <v>43</v>
      </c>
      <c r="I91" s="5" t="s">
        <v>41</v>
      </c>
    </row>
    <row r="92" spans="7:9">
      <c r="G92" s="5" t="s">
        <v>42</v>
      </c>
      <c r="H92" s="5" t="s">
        <v>43</v>
      </c>
      <c r="I92" s="5" t="s">
        <v>44</v>
      </c>
    </row>
    <row r="93" spans="7:9">
      <c r="G93" s="5" t="s">
        <v>587</v>
      </c>
      <c r="H93" s="5" t="s">
        <v>43</v>
      </c>
      <c r="I93" s="5" t="s">
        <v>37</v>
      </c>
    </row>
    <row r="94" spans="7:9">
      <c r="G94" s="5" t="s">
        <v>642</v>
      </c>
      <c r="H94" s="5" t="s">
        <v>43</v>
      </c>
      <c r="I94" s="5" t="s">
        <v>643</v>
      </c>
    </row>
    <row r="95" spans="7:9">
      <c r="G95" s="5" t="s">
        <v>592</v>
      </c>
      <c r="H95" s="5" t="s">
        <v>43</v>
      </c>
      <c r="I95" s="5" t="s">
        <v>39</v>
      </c>
    </row>
    <row r="96" spans="7:9">
      <c r="G96" s="5" t="s">
        <v>45</v>
      </c>
      <c r="H96" s="5" t="s">
        <v>46</v>
      </c>
      <c r="I96" s="5" t="s">
        <v>26</v>
      </c>
    </row>
    <row r="97" spans="7:9">
      <c r="G97" s="5" t="s">
        <v>47</v>
      </c>
      <c r="H97" s="5" t="s">
        <v>46</v>
      </c>
      <c r="I97" s="5" t="s">
        <v>48</v>
      </c>
    </row>
    <row r="98" spans="7:9">
      <c r="G98" s="5" t="s">
        <v>49</v>
      </c>
      <c r="H98" s="5" t="s">
        <v>46</v>
      </c>
      <c r="I98" s="5" t="s">
        <v>50</v>
      </c>
    </row>
    <row r="99" spans="7:9">
      <c r="G99" s="5" t="s">
        <v>51</v>
      </c>
      <c r="H99" s="5" t="s">
        <v>46</v>
      </c>
      <c r="I99" s="5" t="s">
        <v>52</v>
      </c>
    </row>
    <row r="100" spans="7:9">
      <c r="G100" s="5" t="s">
        <v>53</v>
      </c>
      <c r="H100" s="5" t="s">
        <v>46</v>
      </c>
      <c r="I100" s="5" t="s">
        <v>54</v>
      </c>
    </row>
    <row r="101" spans="7:9">
      <c r="G101" s="5" t="s">
        <v>55</v>
      </c>
      <c r="H101" s="5" t="s">
        <v>46</v>
      </c>
      <c r="I101" s="5" t="s">
        <v>56</v>
      </c>
    </row>
    <row r="102" spans="7:9">
      <c r="G102" s="5" t="s">
        <v>57</v>
      </c>
      <c r="H102" s="5" t="s">
        <v>46</v>
      </c>
      <c r="I102" s="5" t="s">
        <v>58</v>
      </c>
    </row>
    <row r="103" spans="7:9">
      <c r="G103" s="5" t="s">
        <v>59</v>
      </c>
      <c r="H103" s="5" t="s">
        <v>46</v>
      </c>
      <c r="I103" s="5" t="s">
        <v>60</v>
      </c>
    </row>
    <row r="104" spans="7:9">
      <c r="G104" s="5" t="s">
        <v>61</v>
      </c>
      <c r="H104" s="5" t="s">
        <v>46</v>
      </c>
      <c r="I104" s="5" t="s">
        <v>62</v>
      </c>
    </row>
    <row r="105" spans="7:9">
      <c r="G105" s="5" t="s">
        <v>63</v>
      </c>
      <c r="H105" s="5" t="s">
        <v>64</v>
      </c>
      <c r="I105" s="5" t="s">
        <v>26</v>
      </c>
    </row>
    <row r="106" spans="7:9">
      <c r="G106" s="5" t="s">
        <v>65</v>
      </c>
      <c r="H106" s="5" t="s">
        <v>64</v>
      </c>
      <c r="I106" s="5" t="s">
        <v>645</v>
      </c>
    </row>
    <row r="107" spans="7:9">
      <c r="G107" s="5" t="s">
        <v>644</v>
      </c>
      <c r="H107" s="5" t="s">
        <v>64</v>
      </c>
      <c r="I107" s="5" t="s">
        <v>646</v>
      </c>
    </row>
    <row r="108" spans="7:9">
      <c r="G108" s="5" t="s">
        <v>67</v>
      </c>
      <c r="H108" s="5" t="s">
        <v>64</v>
      </c>
      <c r="I108" s="5" t="s">
        <v>50</v>
      </c>
    </row>
    <row r="109" spans="7:9">
      <c r="G109" s="5" t="s">
        <v>439</v>
      </c>
      <c r="H109" s="5" t="s">
        <v>64</v>
      </c>
      <c r="I109" s="5" t="s">
        <v>436</v>
      </c>
    </row>
    <row r="110" spans="7:9">
      <c r="G110" s="5" t="s">
        <v>68</v>
      </c>
      <c r="H110" s="5" t="s">
        <v>64</v>
      </c>
      <c r="I110" s="5" t="s">
        <v>69</v>
      </c>
    </row>
    <row r="111" spans="7:9">
      <c r="G111" s="5" t="s">
        <v>70</v>
      </c>
      <c r="H111" s="5" t="s">
        <v>64</v>
      </c>
      <c r="I111" s="5" t="s">
        <v>71</v>
      </c>
    </row>
    <row r="112" spans="7:9">
      <c r="G112" s="5" t="s">
        <v>73</v>
      </c>
      <c r="H112" s="5" t="s">
        <v>64</v>
      </c>
      <c r="I112" s="5" t="s">
        <v>74</v>
      </c>
    </row>
    <row r="113" spans="7:9">
      <c r="G113" s="5" t="s">
        <v>76</v>
      </c>
      <c r="H113" s="5" t="s">
        <v>64</v>
      </c>
      <c r="I113" s="5" t="s">
        <v>58</v>
      </c>
    </row>
    <row r="114" spans="7:9">
      <c r="G114" s="5" t="s">
        <v>78</v>
      </c>
      <c r="H114" s="5" t="s">
        <v>64</v>
      </c>
      <c r="I114" s="5" t="s">
        <v>79</v>
      </c>
    </row>
    <row r="115" spans="7:9">
      <c r="G115" s="5" t="s">
        <v>80</v>
      </c>
      <c r="H115" s="5" t="s">
        <v>64</v>
      </c>
      <c r="I115" s="5" t="s">
        <v>81</v>
      </c>
    </row>
    <row r="116" spans="7:9">
      <c r="G116" s="5" t="s">
        <v>82</v>
      </c>
      <c r="H116" s="5" t="s">
        <v>64</v>
      </c>
      <c r="I116" s="5" t="s">
        <v>83</v>
      </c>
    </row>
    <row r="117" spans="7:9">
      <c r="G117" s="5" t="s">
        <v>84</v>
      </c>
      <c r="H117" s="5" t="s">
        <v>64</v>
      </c>
      <c r="I117" s="5" t="s">
        <v>85</v>
      </c>
    </row>
    <row r="118" spans="7:9">
      <c r="G118" s="5" t="s">
        <v>539</v>
      </c>
      <c r="H118" s="5" t="s">
        <v>64</v>
      </c>
      <c r="I118" s="5" t="s">
        <v>540</v>
      </c>
    </row>
    <row r="119" spans="7:9">
      <c r="G119" s="7" t="s">
        <v>86</v>
      </c>
      <c r="H119" s="9" t="s">
        <v>64</v>
      </c>
      <c r="I119" s="9" t="s">
        <v>87</v>
      </c>
    </row>
    <row r="120" spans="7:9">
      <c r="G120" s="4" t="s">
        <v>88</v>
      </c>
      <c r="H120" s="5" t="s">
        <v>64</v>
      </c>
      <c r="I120" s="5" t="s">
        <v>89</v>
      </c>
    </row>
    <row r="121" spans="7:9">
      <c r="G121" s="4" t="s">
        <v>90</v>
      </c>
      <c r="H121" s="5" t="s">
        <v>64</v>
      </c>
      <c r="I121" s="5" t="s">
        <v>91</v>
      </c>
    </row>
    <row r="122" spans="7:9">
      <c r="G122" s="4" t="s">
        <v>92</v>
      </c>
      <c r="H122" s="5" t="s">
        <v>93</v>
      </c>
      <c r="I122" s="5" t="s">
        <v>26</v>
      </c>
    </row>
    <row r="123" spans="7:9">
      <c r="G123" s="4" t="s">
        <v>94</v>
      </c>
      <c r="H123" s="5" t="s">
        <v>93</v>
      </c>
      <c r="I123" s="5" t="s">
        <v>66</v>
      </c>
    </row>
    <row r="124" spans="7:9">
      <c r="G124" s="4" t="s">
        <v>95</v>
      </c>
      <c r="H124" s="5" t="s">
        <v>93</v>
      </c>
      <c r="I124" s="5" t="s">
        <v>545</v>
      </c>
    </row>
    <row r="125" spans="7:9">
      <c r="G125" s="4" t="s">
        <v>547</v>
      </c>
      <c r="H125" s="5" t="s">
        <v>93</v>
      </c>
      <c r="I125" s="5" t="s">
        <v>546</v>
      </c>
    </row>
    <row r="126" spans="7:9">
      <c r="G126" s="4" t="s">
        <v>96</v>
      </c>
      <c r="H126" s="5" t="s">
        <v>93</v>
      </c>
      <c r="I126" s="5" t="s">
        <v>649</v>
      </c>
    </row>
    <row r="127" spans="7:9">
      <c r="G127" s="4" t="s">
        <v>647</v>
      </c>
      <c r="H127" s="5" t="s">
        <v>93</v>
      </c>
      <c r="I127" s="5" t="s">
        <v>648</v>
      </c>
    </row>
    <row r="128" spans="7:9">
      <c r="G128" s="4" t="s">
        <v>98</v>
      </c>
      <c r="H128" s="5" t="s">
        <v>93</v>
      </c>
      <c r="I128" s="5" t="s">
        <v>99</v>
      </c>
    </row>
    <row r="129" spans="7:9">
      <c r="G129" s="4" t="s">
        <v>100</v>
      </c>
      <c r="H129" s="5" t="s">
        <v>93</v>
      </c>
      <c r="I129" s="5" t="s">
        <v>650</v>
      </c>
    </row>
    <row r="130" spans="7:9">
      <c r="G130" s="4" t="s">
        <v>652</v>
      </c>
      <c r="H130" s="5" t="s">
        <v>93</v>
      </c>
      <c r="I130" s="5" t="s">
        <v>651</v>
      </c>
    </row>
    <row r="131" spans="7:9">
      <c r="G131" s="4" t="s">
        <v>102</v>
      </c>
      <c r="H131" s="5" t="s">
        <v>93</v>
      </c>
      <c r="I131" s="5" t="s">
        <v>103</v>
      </c>
    </row>
    <row r="132" spans="7:9">
      <c r="G132" s="4" t="s">
        <v>104</v>
      </c>
      <c r="H132" s="5" t="s">
        <v>93</v>
      </c>
      <c r="I132" s="5" t="s">
        <v>105</v>
      </c>
    </row>
    <row r="133" spans="7:9">
      <c r="G133" s="4" t="s">
        <v>106</v>
      </c>
      <c r="H133" s="5" t="s">
        <v>93</v>
      </c>
      <c r="I133" s="5" t="s">
        <v>107</v>
      </c>
    </row>
    <row r="134" spans="7:9">
      <c r="G134" s="4" t="s">
        <v>653</v>
      </c>
      <c r="H134" s="5" t="s">
        <v>93</v>
      </c>
      <c r="I134" s="5" t="s">
        <v>654</v>
      </c>
    </row>
    <row r="135" spans="7:9">
      <c r="G135" s="4" t="s">
        <v>108</v>
      </c>
      <c r="H135" s="5" t="s">
        <v>93</v>
      </c>
      <c r="I135" s="5" t="s">
        <v>109</v>
      </c>
    </row>
    <row r="136" spans="7:9">
      <c r="G136" s="4" t="s">
        <v>110</v>
      </c>
      <c r="H136" s="5" t="s">
        <v>93</v>
      </c>
      <c r="I136" s="5" t="s">
        <v>111</v>
      </c>
    </row>
    <row r="137" spans="7:9">
      <c r="G137" s="4" t="s">
        <v>585</v>
      </c>
      <c r="H137" s="5" t="s">
        <v>19</v>
      </c>
      <c r="I137" s="5" t="s">
        <v>20</v>
      </c>
    </row>
    <row r="138" spans="7:9">
      <c r="G138" s="4" t="s">
        <v>655</v>
      </c>
      <c r="H138" s="5" t="s">
        <v>19</v>
      </c>
      <c r="I138" s="5" t="s">
        <v>656</v>
      </c>
    </row>
    <row r="139" spans="7:9">
      <c r="G139" s="4" t="s">
        <v>440</v>
      </c>
      <c r="H139" s="5" t="s">
        <v>93</v>
      </c>
      <c r="I139" s="5" t="s">
        <v>26</v>
      </c>
    </row>
    <row r="140" spans="7:9">
      <c r="G140" s="4" t="s">
        <v>441</v>
      </c>
      <c r="H140" s="5" t="s">
        <v>93</v>
      </c>
      <c r="I140" s="5" t="s">
        <v>645</v>
      </c>
    </row>
    <row r="141" spans="7:9">
      <c r="G141" s="4" t="s">
        <v>657</v>
      </c>
      <c r="H141" s="5" t="s">
        <v>93</v>
      </c>
      <c r="I141" s="5" t="s">
        <v>658</v>
      </c>
    </row>
    <row r="142" spans="7:9">
      <c r="G142" s="4" t="s">
        <v>442</v>
      </c>
      <c r="H142" s="5" t="s">
        <v>93</v>
      </c>
      <c r="I142" s="5" t="s">
        <v>545</v>
      </c>
    </row>
    <row r="143" spans="7:9">
      <c r="G143" s="4" t="s">
        <v>544</v>
      </c>
      <c r="H143" s="5" t="s">
        <v>93</v>
      </c>
      <c r="I143" s="5" t="s">
        <v>546</v>
      </c>
    </row>
    <row r="144" spans="7:9">
      <c r="G144" s="4" t="s">
        <v>443</v>
      </c>
      <c r="H144" s="5" t="s">
        <v>93</v>
      </c>
      <c r="I144" s="5" t="s">
        <v>97</v>
      </c>
    </row>
    <row r="145" spans="7:9">
      <c r="G145" s="4" t="s">
        <v>444</v>
      </c>
      <c r="H145" s="5" t="s">
        <v>93</v>
      </c>
      <c r="I145" s="5" t="s">
        <v>99</v>
      </c>
    </row>
    <row r="146" spans="7:9">
      <c r="G146" s="4" t="s">
        <v>445</v>
      </c>
      <c r="H146" s="5" t="s">
        <v>93</v>
      </c>
      <c r="I146" s="5" t="s">
        <v>101</v>
      </c>
    </row>
    <row r="147" spans="7:9">
      <c r="G147" s="4" t="s">
        <v>446</v>
      </c>
      <c r="H147" s="5" t="s">
        <v>93</v>
      </c>
      <c r="I147" s="5" t="s">
        <v>103</v>
      </c>
    </row>
    <row r="148" spans="7:9">
      <c r="G148" s="4" t="s">
        <v>447</v>
      </c>
      <c r="H148" s="5" t="s">
        <v>93</v>
      </c>
      <c r="I148" s="5" t="s">
        <v>105</v>
      </c>
    </row>
    <row r="149" spans="7:9">
      <c r="G149" s="4" t="s">
        <v>448</v>
      </c>
      <c r="H149" s="5" t="s">
        <v>93</v>
      </c>
      <c r="I149" s="5" t="s">
        <v>107</v>
      </c>
    </row>
    <row r="150" spans="7:9">
      <c r="G150" s="4" t="s">
        <v>449</v>
      </c>
      <c r="H150" s="5" t="s">
        <v>93</v>
      </c>
      <c r="I150" s="5" t="s">
        <v>109</v>
      </c>
    </row>
    <row r="151" spans="7:9">
      <c r="G151" s="4" t="s">
        <v>450</v>
      </c>
      <c r="H151" s="5" t="s">
        <v>93</v>
      </c>
      <c r="I151" s="5" t="s">
        <v>661</v>
      </c>
    </row>
    <row r="152" spans="7:9">
      <c r="G152" s="4" t="s">
        <v>659</v>
      </c>
      <c r="H152" s="5" t="s">
        <v>93</v>
      </c>
      <c r="I152" s="5" t="s">
        <v>660</v>
      </c>
    </row>
    <row r="153" spans="7:9">
      <c r="G153" s="4" t="s">
        <v>293</v>
      </c>
      <c r="H153" s="5" t="s">
        <v>19</v>
      </c>
      <c r="I153" s="5" t="s">
        <v>20</v>
      </c>
    </row>
    <row r="154" spans="7:9">
      <c r="G154" s="4" t="s">
        <v>294</v>
      </c>
      <c r="H154" s="5" t="s">
        <v>19</v>
      </c>
      <c r="I154" s="5" t="s">
        <v>23</v>
      </c>
    </row>
    <row r="155" spans="7:9">
      <c r="G155" s="4" t="s">
        <v>295</v>
      </c>
      <c r="H155" s="5" t="s">
        <v>64</v>
      </c>
      <c r="I155" s="5" t="s">
        <v>26</v>
      </c>
    </row>
    <row r="156" spans="7:9">
      <c r="G156" s="4" t="s">
        <v>296</v>
      </c>
      <c r="H156" s="5" t="s">
        <v>64</v>
      </c>
      <c r="I156" s="5" t="s">
        <v>66</v>
      </c>
    </row>
    <row r="157" spans="7:9">
      <c r="G157" s="4" t="s">
        <v>297</v>
      </c>
      <c r="H157" s="5" t="s">
        <v>64</v>
      </c>
      <c r="I157" s="5" t="s">
        <v>298</v>
      </c>
    </row>
    <row r="158" spans="7:9">
      <c r="G158" s="4" t="s">
        <v>300</v>
      </c>
      <c r="H158" s="5" t="s">
        <v>64</v>
      </c>
      <c r="I158" s="5" t="s">
        <v>301</v>
      </c>
    </row>
    <row r="159" spans="7:9">
      <c r="G159" s="4" t="s">
        <v>302</v>
      </c>
      <c r="H159" s="5" t="s">
        <v>64</v>
      </c>
      <c r="I159" s="5" t="s">
        <v>303</v>
      </c>
    </row>
    <row r="160" spans="7:9">
      <c r="G160" s="4" t="s">
        <v>475</v>
      </c>
      <c r="H160" s="5" t="s">
        <v>64</v>
      </c>
      <c r="I160" s="5" t="s">
        <v>474</v>
      </c>
    </row>
    <row r="161" spans="7:9">
      <c r="G161" s="4" t="s">
        <v>304</v>
      </c>
      <c r="H161" s="5" t="s">
        <v>64</v>
      </c>
      <c r="I161" s="5" t="s">
        <v>305</v>
      </c>
    </row>
    <row r="162" spans="7:9">
      <c r="G162" s="4" t="s">
        <v>306</v>
      </c>
      <c r="H162" s="5" t="s">
        <v>64</v>
      </c>
      <c r="I162" s="5" t="s">
        <v>83</v>
      </c>
    </row>
    <row r="163" spans="7:9">
      <c r="G163" s="4" t="s">
        <v>307</v>
      </c>
      <c r="H163" s="5" t="s">
        <v>64</v>
      </c>
      <c r="I163" s="5" t="s">
        <v>85</v>
      </c>
    </row>
    <row r="164" spans="7:9">
      <c r="G164" s="4" t="s">
        <v>662</v>
      </c>
      <c r="H164" s="5" t="s">
        <v>64</v>
      </c>
      <c r="I164" s="5" t="s">
        <v>665</v>
      </c>
    </row>
    <row r="165" spans="7:9">
      <c r="G165" s="4" t="s">
        <v>663</v>
      </c>
      <c r="H165" s="5" t="s">
        <v>64</v>
      </c>
      <c r="I165" s="5" t="s">
        <v>664</v>
      </c>
    </row>
    <row r="166" spans="7:9">
      <c r="G166" s="4" t="s">
        <v>308</v>
      </c>
      <c r="H166" s="5" t="s">
        <v>64</v>
      </c>
      <c r="I166" s="5" t="s">
        <v>309</v>
      </c>
    </row>
    <row r="167" spans="7:9">
      <c r="G167" s="4" t="s">
        <v>310</v>
      </c>
      <c r="H167" s="5" t="s">
        <v>64</v>
      </c>
      <c r="I167" s="5" t="s">
        <v>311</v>
      </c>
    </row>
    <row r="168" spans="7:9">
      <c r="G168" s="4" t="s">
        <v>312</v>
      </c>
      <c r="H168" s="5" t="s">
        <v>64</v>
      </c>
      <c r="I168" s="5" t="s">
        <v>313</v>
      </c>
    </row>
    <row r="169" spans="7:9">
      <c r="G169" s="4" t="s">
        <v>314</v>
      </c>
      <c r="H169" s="5" t="s">
        <v>64</v>
      </c>
      <c r="I169" s="5" t="s">
        <v>315</v>
      </c>
    </row>
    <row r="170" spans="7:9">
      <c r="G170" s="4" t="s">
        <v>316</v>
      </c>
      <c r="H170" s="5" t="s">
        <v>64</v>
      </c>
      <c r="I170" s="5" t="s">
        <v>317</v>
      </c>
    </row>
    <row r="171" spans="7:9">
      <c r="G171" s="4" t="s">
        <v>318</v>
      </c>
      <c r="H171" s="5" t="s">
        <v>64</v>
      </c>
      <c r="I171" s="5" t="s">
        <v>319</v>
      </c>
    </row>
    <row r="172" spans="7:9">
      <c r="G172" s="4" t="s">
        <v>320</v>
      </c>
      <c r="H172" s="5" t="s">
        <v>93</v>
      </c>
      <c r="I172" s="5" t="s">
        <v>26</v>
      </c>
    </row>
    <row r="173" spans="7:9">
      <c r="G173" s="4" t="s">
        <v>321</v>
      </c>
      <c r="H173" s="5" t="s">
        <v>93</v>
      </c>
      <c r="I173" s="5" t="s">
        <v>66</v>
      </c>
    </row>
    <row r="174" spans="7:9">
      <c r="G174" s="4" t="s">
        <v>322</v>
      </c>
      <c r="H174" s="5" t="s">
        <v>93</v>
      </c>
      <c r="I174" s="5" t="s">
        <v>545</v>
      </c>
    </row>
    <row r="175" spans="7:9">
      <c r="G175" s="4" t="s">
        <v>559</v>
      </c>
      <c r="H175" s="5" t="s">
        <v>93</v>
      </c>
      <c r="I175" s="5" t="s">
        <v>558</v>
      </c>
    </row>
    <row r="176" spans="7:9">
      <c r="G176" s="4" t="s">
        <v>323</v>
      </c>
      <c r="H176" s="5" t="s">
        <v>93</v>
      </c>
      <c r="I176" s="5" t="s">
        <v>97</v>
      </c>
    </row>
    <row r="177" spans="7:9">
      <c r="G177" s="4" t="s">
        <v>324</v>
      </c>
      <c r="H177" s="5" t="s">
        <v>93</v>
      </c>
      <c r="I177" s="5" t="s">
        <v>99</v>
      </c>
    </row>
    <row r="178" spans="7:9">
      <c r="G178" s="4" t="s">
        <v>325</v>
      </c>
      <c r="H178" s="5" t="s">
        <v>93</v>
      </c>
      <c r="I178" s="5" t="s">
        <v>101</v>
      </c>
    </row>
    <row r="179" spans="7:9">
      <c r="G179" s="5" t="s">
        <v>326</v>
      </c>
      <c r="H179" s="5" t="s">
        <v>93</v>
      </c>
      <c r="I179" s="5" t="s">
        <v>103</v>
      </c>
    </row>
    <row r="180" spans="7:9">
      <c r="G180" s="5" t="s">
        <v>327</v>
      </c>
      <c r="H180" s="5" t="s">
        <v>93</v>
      </c>
      <c r="I180" s="5" t="s">
        <v>105</v>
      </c>
    </row>
    <row r="181" spans="7:9">
      <c r="G181" s="5" t="s">
        <v>328</v>
      </c>
      <c r="H181" s="5" t="s">
        <v>93</v>
      </c>
      <c r="I181" s="5" t="s">
        <v>107</v>
      </c>
    </row>
    <row r="182" spans="7:9">
      <c r="G182" s="5" t="s">
        <v>329</v>
      </c>
      <c r="H182" s="5" t="s">
        <v>93</v>
      </c>
      <c r="I182" s="5" t="s">
        <v>109</v>
      </c>
    </row>
    <row r="183" spans="7:9">
      <c r="G183" s="5" t="s">
        <v>330</v>
      </c>
      <c r="H183" s="5" t="s">
        <v>93</v>
      </c>
      <c r="I183" s="5" t="s">
        <v>111</v>
      </c>
    </row>
    <row r="184" spans="7:9">
      <c r="G184" s="5" t="s">
        <v>112</v>
      </c>
      <c r="H184" s="5" t="s">
        <v>19</v>
      </c>
      <c r="I184" s="5" t="s">
        <v>20</v>
      </c>
    </row>
    <row r="185" spans="7:9">
      <c r="G185" s="5" t="s">
        <v>130</v>
      </c>
      <c r="H185" s="5" t="s">
        <v>131</v>
      </c>
      <c r="I185" s="5" t="s">
        <v>132</v>
      </c>
    </row>
    <row r="186" spans="7:9">
      <c r="G186" s="7" t="s">
        <v>666</v>
      </c>
      <c r="H186" s="7" t="s">
        <v>667</v>
      </c>
      <c r="I186" s="7" t="s">
        <v>26</v>
      </c>
    </row>
    <row r="187" spans="7:9">
      <c r="G187" s="7" t="s">
        <v>148</v>
      </c>
      <c r="H187" s="7" t="s">
        <v>149</v>
      </c>
      <c r="I187" s="7" t="s">
        <v>26</v>
      </c>
    </row>
    <row r="188" spans="7:9">
      <c r="G188" s="7" t="s">
        <v>114</v>
      </c>
      <c r="H188" s="9" t="s">
        <v>64</v>
      </c>
      <c r="I188" s="9" t="s">
        <v>26</v>
      </c>
    </row>
    <row r="189" spans="7:9">
      <c r="G189" s="7" t="s">
        <v>156</v>
      </c>
      <c r="H189" s="9" t="s">
        <v>93</v>
      </c>
      <c r="I189" s="9" t="s">
        <v>26</v>
      </c>
    </row>
    <row r="190" spans="7:9">
      <c r="G190" s="7" t="s">
        <v>133</v>
      </c>
      <c r="H190" s="9" t="s">
        <v>131</v>
      </c>
      <c r="I190" s="9" t="s">
        <v>645</v>
      </c>
    </row>
    <row r="191" spans="7:9">
      <c r="G191" s="7" t="s">
        <v>548</v>
      </c>
      <c r="H191" s="9" t="s">
        <v>131</v>
      </c>
      <c r="I191" s="9" t="s">
        <v>549</v>
      </c>
    </row>
    <row r="192" spans="7:9">
      <c r="G192" s="7" t="s">
        <v>150</v>
      </c>
      <c r="H192" s="9" t="s">
        <v>149</v>
      </c>
      <c r="I192" s="9" t="s">
        <v>66</v>
      </c>
    </row>
    <row r="193" spans="7:9">
      <c r="G193" s="7" t="s">
        <v>115</v>
      </c>
      <c r="H193" s="9" t="s">
        <v>64</v>
      </c>
      <c r="I193" s="9" t="s">
        <v>66</v>
      </c>
    </row>
    <row r="194" spans="7:9">
      <c r="G194" s="7" t="s">
        <v>157</v>
      </c>
      <c r="H194" s="9" t="s">
        <v>93</v>
      </c>
      <c r="I194" s="9" t="s">
        <v>591</v>
      </c>
    </row>
    <row r="195" spans="7:9">
      <c r="G195" s="7" t="s">
        <v>590</v>
      </c>
      <c r="H195" s="9" t="s">
        <v>93</v>
      </c>
      <c r="I195" s="9" t="s">
        <v>452</v>
      </c>
    </row>
    <row r="196" spans="7:9">
      <c r="G196" s="7" t="s">
        <v>668</v>
      </c>
      <c r="H196" s="9" t="s">
        <v>93</v>
      </c>
      <c r="I196" s="9" t="s">
        <v>669</v>
      </c>
    </row>
    <row r="197" spans="7:9">
      <c r="G197" s="7" t="s">
        <v>134</v>
      </c>
      <c r="H197" s="9" t="s">
        <v>131</v>
      </c>
      <c r="I197" s="9" t="s">
        <v>135</v>
      </c>
    </row>
    <row r="198" spans="7:9">
      <c r="G198" s="7" t="s">
        <v>136</v>
      </c>
      <c r="H198" s="9" t="s">
        <v>131</v>
      </c>
      <c r="I198" s="9" t="s">
        <v>137</v>
      </c>
    </row>
    <row r="199" spans="7:9">
      <c r="G199" s="7" t="s">
        <v>138</v>
      </c>
      <c r="H199" s="9" t="s">
        <v>131</v>
      </c>
      <c r="I199" s="9" t="s">
        <v>139</v>
      </c>
    </row>
    <row r="200" spans="7:9">
      <c r="G200" s="7" t="s">
        <v>140</v>
      </c>
      <c r="H200" s="9" t="s">
        <v>131</v>
      </c>
      <c r="I200" s="9" t="s">
        <v>141</v>
      </c>
    </row>
    <row r="201" spans="7:9">
      <c r="G201" s="7" t="s">
        <v>142</v>
      </c>
      <c r="H201" s="9" t="s">
        <v>131</v>
      </c>
      <c r="I201" s="9" t="s">
        <v>143</v>
      </c>
    </row>
    <row r="202" spans="7:9">
      <c r="G202" s="7" t="s">
        <v>144</v>
      </c>
      <c r="H202" s="9" t="s">
        <v>131</v>
      </c>
      <c r="I202" s="9" t="s">
        <v>145</v>
      </c>
    </row>
    <row r="203" spans="7:9">
      <c r="G203" s="7" t="s">
        <v>146</v>
      </c>
      <c r="H203" s="9" t="s">
        <v>131</v>
      </c>
      <c r="I203" s="9" t="s">
        <v>117</v>
      </c>
    </row>
    <row r="204" spans="7:9">
      <c r="G204" s="4" t="s">
        <v>593</v>
      </c>
      <c r="H204" s="7" t="s">
        <v>131</v>
      </c>
      <c r="I204" s="5" t="s">
        <v>599</v>
      </c>
    </row>
    <row r="205" spans="7:9">
      <c r="G205" s="4" t="s">
        <v>594</v>
      </c>
      <c r="H205" s="9" t="s">
        <v>131</v>
      </c>
      <c r="I205" s="5" t="s">
        <v>599</v>
      </c>
    </row>
    <row r="206" spans="7:9">
      <c r="G206" s="4" t="s">
        <v>595</v>
      </c>
      <c r="H206" s="9" t="s">
        <v>131</v>
      </c>
      <c r="I206" s="5" t="s">
        <v>597</v>
      </c>
    </row>
    <row r="207" spans="7:9">
      <c r="G207" s="4" t="s">
        <v>596</v>
      </c>
      <c r="H207" s="9" t="s">
        <v>131</v>
      </c>
      <c r="I207" s="5" t="s">
        <v>598</v>
      </c>
    </row>
    <row r="208" spans="7:9">
      <c r="G208" s="4" t="s">
        <v>151</v>
      </c>
      <c r="H208" s="9" t="s">
        <v>149</v>
      </c>
      <c r="I208" s="5" t="s">
        <v>117</v>
      </c>
    </row>
    <row r="209" spans="7:9">
      <c r="G209" s="4" t="s">
        <v>550</v>
      </c>
      <c r="H209" s="9" t="s">
        <v>149</v>
      </c>
      <c r="I209" s="5" t="s">
        <v>551</v>
      </c>
    </row>
    <row r="210" spans="7:9">
      <c r="G210" s="4" t="s">
        <v>552</v>
      </c>
      <c r="H210" s="9" t="s">
        <v>149</v>
      </c>
      <c r="I210" s="5" t="s">
        <v>554</v>
      </c>
    </row>
    <row r="211" spans="7:9">
      <c r="G211" s="4" t="s">
        <v>553</v>
      </c>
      <c r="H211" s="9" t="s">
        <v>149</v>
      </c>
      <c r="I211" s="5" t="s">
        <v>555</v>
      </c>
    </row>
    <row r="212" spans="7:9">
      <c r="G212" s="4" t="s">
        <v>116</v>
      </c>
      <c r="H212" s="9" t="s">
        <v>64</v>
      </c>
      <c r="I212" s="5" t="s">
        <v>556</v>
      </c>
    </row>
    <row r="213" spans="7:9">
      <c r="G213" s="4" t="s">
        <v>477</v>
      </c>
      <c r="H213" s="9" t="s">
        <v>64</v>
      </c>
      <c r="I213" s="5" t="s">
        <v>474</v>
      </c>
    </row>
    <row r="214" spans="7:9">
      <c r="G214" s="4" t="s">
        <v>531</v>
      </c>
      <c r="H214" s="9" t="s">
        <v>64</v>
      </c>
      <c r="I214" s="5" t="s">
        <v>532</v>
      </c>
    </row>
    <row r="215" spans="7:9">
      <c r="G215" s="4" t="s">
        <v>533</v>
      </c>
      <c r="H215" s="9" t="s">
        <v>64</v>
      </c>
      <c r="I215" s="5" t="s">
        <v>534</v>
      </c>
    </row>
    <row r="216" spans="7:9">
      <c r="G216" s="4" t="s">
        <v>586</v>
      </c>
      <c r="H216" s="9" t="s">
        <v>64</v>
      </c>
      <c r="I216" s="5" t="s">
        <v>535</v>
      </c>
    </row>
    <row r="217" spans="7:9">
      <c r="G217" s="4" t="s">
        <v>152</v>
      </c>
      <c r="H217" s="5" t="s">
        <v>149</v>
      </c>
      <c r="I217" s="5" t="s">
        <v>153</v>
      </c>
    </row>
    <row r="218" spans="7:9">
      <c r="G218" s="4" t="s">
        <v>118</v>
      </c>
      <c r="H218" s="5" t="s">
        <v>64</v>
      </c>
      <c r="I218" s="5" t="s">
        <v>119</v>
      </c>
    </row>
    <row r="219" spans="7:9">
      <c r="G219" s="4" t="s">
        <v>120</v>
      </c>
      <c r="H219" s="5" t="s">
        <v>64</v>
      </c>
      <c r="I219" s="5" t="s">
        <v>121</v>
      </c>
    </row>
    <row r="220" spans="7:9">
      <c r="G220" s="4" t="s">
        <v>122</v>
      </c>
      <c r="H220" s="5" t="s">
        <v>64</v>
      </c>
      <c r="I220" s="5" t="s">
        <v>83</v>
      </c>
    </row>
    <row r="221" spans="7:9">
      <c r="G221" s="5" t="s">
        <v>123</v>
      </c>
      <c r="H221" s="5" t="s">
        <v>64</v>
      </c>
      <c r="I221" s="5" t="s">
        <v>542</v>
      </c>
    </row>
    <row r="222" spans="7:9">
      <c r="G222" s="4" t="s">
        <v>541</v>
      </c>
      <c r="H222" s="5" t="s">
        <v>64</v>
      </c>
      <c r="I222" s="5" t="s">
        <v>85</v>
      </c>
    </row>
    <row r="223" spans="7:9">
      <c r="G223" s="4" t="s">
        <v>543</v>
      </c>
      <c r="H223" s="5" t="s">
        <v>64</v>
      </c>
      <c r="I223" s="5" t="s">
        <v>540</v>
      </c>
    </row>
    <row r="224" spans="7:9">
      <c r="G224" s="4" t="s">
        <v>670</v>
      </c>
      <c r="H224" s="5" t="s">
        <v>64</v>
      </c>
      <c r="I224" s="5" t="s">
        <v>671</v>
      </c>
    </row>
    <row r="225" spans="7:9">
      <c r="G225" s="4" t="s">
        <v>124</v>
      </c>
      <c r="H225" s="5" t="s">
        <v>64</v>
      </c>
      <c r="I225" s="5" t="s">
        <v>125</v>
      </c>
    </row>
    <row r="226" spans="7:9">
      <c r="G226" s="4" t="s">
        <v>126</v>
      </c>
      <c r="H226" s="7" t="s">
        <v>64</v>
      </c>
      <c r="I226" s="5" t="s">
        <v>127</v>
      </c>
    </row>
    <row r="227" spans="7:9">
      <c r="G227" s="4" t="s">
        <v>113</v>
      </c>
      <c r="H227" s="9" t="s">
        <v>19</v>
      </c>
      <c r="I227" s="5" t="s">
        <v>23</v>
      </c>
    </row>
    <row r="228" spans="7:9">
      <c r="G228" s="4" t="s">
        <v>147</v>
      </c>
      <c r="H228" s="9" t="s">
        <v>131</v>
      </c>
      <c r="I228" s="5" t="s">
        <v>129</v>
      </c>
    </row>
    <row r="229" spans="7:9">
      <c r="G229" s="5" t="s">
        <v>155</v>
      </c>
      <c r="H229" s="5" t="s">
        <v>149</v>
      </c>
      <c r="I229" s="5" t="s">
        <v>129</v>
      </c>
    </row>
    <row r="230" spans="7:9">
      <c r="G230" s="4" t="s">
        <v>128</v>
      </c>
      <c r="H230" s="9" t="s">
        <v>64</v>
      </c>
      <c r="I230" s="5" t="s">
        <v>129</v>
      </c>
    </row>
    <row r="231" spans="7:9">
      <c r="G231" s="4" t="s">
        <v>158</v>
      </c>
      <c r="H231" s="5" t="s">
        <v>93</v>
      </c>
      <c r="I231" s="5" t="s">
        <v>545</v>
      </c>
    </row>
    <row r="232" spans="7:9">
      <c r="G232" s="4" t="s">
        <v>557</v>
      </c>
      <c r="H232" s="5" t="s">
        <v>93</v>
      </c>
      <c r="I232" s="5" t="s">
        <v>558</v>
      </c>
    </row>
    <row r="233" spans="7:9">
      <c r="G233" s="7" t="s">
        <v>159</v>
      </c>
      <c r="H233" s="5" t="s">
        <v>93</v>
      </c>
      <c r="I233" s="9" t="s">
        <v>691</v>
      </c>
    </row>
    <row r="234" spans="7:9">
      <c r="G234" s="4" t="s">
        <v>560</v>
      </c>
      <c r="H234" s="5" t="s">
        <v>93</v>
      </c>
      <c r="I234" s="5" t="s">
        <v>692</v>
      </c>
    </row>
    <row r="235" spans="7:9">
      <c r="G235" s="4" t="s">
        <v>561</v>
      </c>
      <c r="H235" s="5" t="s">
        <v>93</v>
      </c>
      <c r="I235" s="5" t="s">
        <v>693</v>
      </c>
    </row>
    <row r="236" spans="7:9">
      <c r="G236" s="4" t="s">
        <v>160</v>
      </c>
      <c r="H236" s="5" t="s">
        <v>93</v>
      </c>
      <c r="I236" s="5" t="s">
        <v>99</v>
      </c>
    </row>
    <row r="237" spans="7:9">
      <c r="G237" t="s">
        <v>161</v>
      </c>
      <c r="H237" t="s">
        <v>93</v>
      </c>
      <c r="I237" t="s">
        <v>694</v>
      </c>
    </row>
    <row r="238" spans="7:9">
      <c r="G238" t="s">
        <v>562</v>
      </c>
      <c r="H238" t="s">
        <v>93</v>
      </c>
      <c r="I238" t="s">
        <v>695</v>
      </c>
    </row>
    <row r="239" spans="7:9">
      <c r="G239" t="s">
        <v>563</v>
      </c>
      <c r="H239" t="s">
        <v>93</v>
      </c>
      <c r="I239" t="s">
        <v>696</v>
      </c>
    </row>
    <row r="240" spans="7:9">
      <c r="G240" t="s">
        <v>564</v>
      </c>
      <c r="H240" t="s">
        <v>93</v>
      </c>
      <c r="I240" t="s">
        <v>697</v>
      </c>
    </row>
    <row r="241" spans="7:9">
      <c r="G241" t="s">
        <v>162</v>
      </c>
      <c r="H241" t="s">
        <v>93</v>
      </c>
      <c r="I241" t="s">
        <v>698</v>
      </c>
    </row>
    <row r="242" spans="7:9">
      <c r="G242" t="s">
        <v>565</v>
      </c>
      <c r="H242" t="s">
        <v>93</v>
      </c>
      <c r="I242" t="s">
        <v>699</v>
      </c>
    </row>
    <row r="243" spans="7:9">
      <c r="G243" t="s">
        <v>566</v>
      </c>
      <c r="H243" t="s">
        <v>93</v>
      </c>
      <c r="I243" t="s">
        <v>700</v>
      </c>
    </row>
    <row r="244" spans="7:9">
      <c r="G244" t="s">
        <v>163</v>
      </c>
      <c r="H244" t="s">
        <v>93</v>
      </c>
      <c r="I244" t="s">
        <v>639</v>
      </c>
    </row>
    <row r="245" spans="7:9">
      <c r="G245" t="s">
        <v>567</v>
      </c>
      <c r="H245" t="s">
        <v>93</v>
      </c>
      <c r="I245" t="s">
        <v>701</v>
      </c>
    </row>
    <row r="246" spans="7:9">
      <c r="G246" t="s">
        <v>672</v>
      </c>
      <c r="H246" t="s">
        <v>93</v>
      </c>
      <c r="I246" t="s">
        <v>702</v>
      </c>
    </row>
    <row r="247" spans="7:9">
      <c r="G247" t="s">
        <v>164</v>
      </c>
      <c r="H247" t="s">
        <v>93</v>
      </c>
      <c r="I247" t="s">
        <v>703</v>
      </c>
    </row>
    <row r="248" spans="7:9">
      <c r="G248" t="s">
        <v>568</v>
      </c>
      <c r="H248" t="s">
        <v>93</v>
      </c>
      <c r="I248" t="s">
        <v>704</v>
      </c>
    </row>
    <row r="249" spans="7:9">
      <c r="G249" t="s">
        <v>569</v>
      </c>
      <c r="H249" t="s">
        <v>93</v>
      </c>
      <c r="I249" t="s">
        <v>705</v>
      </c>
    </row>
    <row r="250" spans="7:9">
      <c r="G250" t="s">
        <v>673</v>
      </c>
      <c r="H250" t="s">
        <v>93</v>
      </c>
      <c r="I250" t="s">
        <v>706</v>
      </c>
    </row>
    <row r="251" spans="7:9">
      <c r="G251" t="s">
        <v>165</v>
      </c>
      <c r="H251" t="s">
        <v>93</v>
      </c>
      <c r="I251" t="s">
        <v>109</v>
      </c>
    </row>
    <row r="252" spans="7:9">
      <c r="G252" t="s">
        <v>166</v>
      </c>
      <c r="H252" t="s">
        <v>93</v>
      </c>
      <c r="I252" t="s">
        <v>661</v>
      </c>
    </row>
    <row r="253" spans="7:9">
      <c r="G253" t="s">
        <v>676</v>
      </c>
      <c r="H253" t="s">
        <v>93</v>
      </c>
      <c r="I253" t="s">
        <v>675</v>
      </c>
    </row>
    <row r="254" spans="7:9">
      <c r="G254" t="s">
        <v>677</v>
      </c>
      <c r="H254" t="s">
        <v>93</v>
      </c>
      <c r="I254" t="s">
        <v>674</v>
      </c>
    </row>
    <row r="255" spans="7:9">
      <c r="G255" t="s">
        <v>167</v>
      </c>
      <c r="H255" t="s">
        <v>19</v>
      </c>
      <c r="I255" t="s">
        <v>20</v>
      </c>
    </row>
    <row r="256" spans="7:9">
      <c r="G256" t="s">
        <v>169</v>
      </c>
      <c r="H256" t="s">
        <v>170</v>
      </c>
      <c r="I256" t="s">
        <v>26</v>
      </c>
    </row>
    <row r="257" spans="7:9">
      <c r="G257" t="s">
        <v>187</v>
      </c>
      <c r="H257" t="s">
        <v>149</v>
      </c>
      <c r="I257" t="s">
        <v>26</v>
      </c>
    </row>
    <row r="258" spans="7:9">
      <c r="G258" t="s">
        <v>196</v>
      </c>
      <c r="H258" t="s">
        <v>93</v>
      </c>
      <c r="I258" t="s">
        <v>26</v>
      </c>
    </row>
    <row r="259" spans="7:9">
      <c r="G259" t="s">
        <v>171</v>
      </c>
      <c r="H259" t="s">
        <v>170</v>
      </c>
      <c r="I259" t="s">
        <v>66</v>
      </c>
    </row>
    <row r="260" spans="7:9">
      <c r="G260" t="s">
        <v>600</v>
      </c>
      <c r="H260" t="s">
        <v>601</v>
      </c>
      <c r="I260" t="s">
        <v>66</v>
      </c>
    </row>
    <row r="261" spans="7:9">
      <c r="G261" t="s">
        <v>188</v>
      </c>
      <c r="H261" t="s">
        <v>149</v>
      </c>
      <c r="I261" t="s">
        <v>66</v>
      </c>
    </row>
    <row r="262" spans="7:9">
      <c r="G262" t="s">
        <v>197</v>
      </c>
      <c r="H262" t="s">
        <v>93</v>
      </c>
      <c r="I262" t="s">
        <v>66</v>
      </c>
    </row>
    <row r="263" spans="7:9">
      <c r="G263" t="s">
        <v>172</v>
      </c>
      <c r="H263" t="s">
        <v>170</v>
      </c>
      <c r="I263" t="s">
        <v>173</v>
      </c>
    </row>
    <row r="264" spans="7:9">
      <c r="G264" t="s">
        <v>189</v>
      </c>
      <c r="H264" t="s">
        <v>149</v>
      </c>
      <c r="I264" t="s">
        <v>173</v>
      </c>
    </row>
    <row r="265" spans="7:9">
      <c r="G265" t="s">
        <v>174</v>
      </c>
      <c r="H265" t="s">
        <v>170</v>
      </c>
      <c r="I265" t="s">
        <v>175</v>
      </c>
    </row>
    <row r="266" spans="7:9">
      <c r="G266" t="s">
        <v>176</v>
      </c>
      <c r="H266" t="s">
        <v>170</v>
      </c>
      <c r="I266" t="s">
        <v>177</v>
      </c>
    </row>
    <row r="267" spans="7:9">
      <c r="G267" t="s">
        <v>570</v>
      </c>
      <c r="H267" t="s">
        <v>170</v>
      </c>
      <c r="I267" t="s">
        <v>571</v>
      </c>
    </row>
    <row r="268" spans="7:9">
      <c r="G268" t="s">
        <v>572</v>
      </c>
      <c r="H268" t="s">
        <v>170</v>
      </c>
      <c r="I268" t="s">
        <v>574</v>
      </c>
    </row>
    <row r="269" spans="7:9">
      <c r="G269" t="s">
        <v>573</v>
      </c>
      <c r="H269" t="s">
        <v>170</v>
      </c>
      <c r="I269" t="s">
        <v>575</v>
      </c>
    </row>
    <row r="270" spans="7:9">
      <c r="G270" t="s">
        <v>178</v>
      </c>
      <c r="H270" t="s">
        <v>170</v>
      </c>
      <c r="I270" t="s">
        <v>179</v>
      </c>
    </row>
    <row r="271" spans="7:9">
      <c r="G271" t="s">
        <v>180</v>
      </c>
      <c r="H271" t="s">
        <v>170</v>
      </c>
      <c r="I271" t="s">
        <v>181</v>
      </c>
    </row>
    <row r="272" spans="7:9">
      <c r="G272" t="s">
        <v>182</v>
      </c>
      <c r="H272" t="s">
        <v>170</v>
      </c>
      <c r="I272" t="s">
        <v>707</v>
      </c>
    </row>
    <row r="273" spans="7:9">
      <c r="G273" t="s">
        <v>524</v>
      </c>
      <c r="H273" t="s">
        <v>170</v>
      </c>
      <c r="I273" t="s">
        <v>708</v>
      </c>
    </row>
    <row r="274" spans="7:9">
      <c r="G274" t="s">
        <v>525</v>
      </c>
      <c r="H274" t="s">
        <v>170</v>
      </c>
      <c r="I274" t="s">
        <v>528</v>
      </c>
    </row>
    <row r="275" spans="7:9">
      <c r="G275" t="s">
        <v>527</v>
      </c>
      <c r="H275" t="s">
        <v>170</v>
      </c>
      <c r="I275" t="s">
        <v>530</v>
      </c>
    </row>
    <row r="276" spans="7:9">
      <c r="G276" t="s">
        <v>529</v>
      </c>
      <c r="H276" t="s">
        <v>170</v>
      </c>
      <c r="I276" t="s">
        <v>526</v>
      </c>
    </row>
    <row r="277" spans="7:9">
      <c r="G277" t="s">
        <v>183</v>
      </c>
      <c r="H277" t="s">
        <v>170</v>
      </c>
      <c r="I277" t="s">
        <v>184</v>
      </c>
    </row>
    <row r="278" spans="7:9">
      <c r="G278" t="s">
        <v>602</v>
      </c>
      <c r="H278" t="s">
        <v>170</v>
      </c>
      <c r="I278" t="s">
        <v>605</v>
      </c>
    </row>
    <row r="279" spans="7:9">
      <c r="G279" t="s">
        <v>603</v>
      </c>
      <c r="H279" t="s">
        <v>601</v>
      </c>
      <c r="I279" t="s">
        <v>604</v>
      </c>
    </row>
    <row r="280" spans="7:9">
      <c r="G280" t="s">
        <v>678</v>
      </c>
      <c r="H280" t="s">
        <v>601</v>
      </c>
      <c r="I280" t="s">
        <v>679</v>
      </c>
    </row>
    <row r="281" spans="7:9">
      <c r="G281" t="s">
        <v>680</v>
      </c>
      <c r="H281" t="s">
        <v>601</v>
      </c>
      <c r="I281" t="s">
        <v>685</v>
      </c>
    </row>
    <row r="282" spans="7:9">
      <c r="G282" t="s">
        <v>681</v>
      </c>
      <c r="H282" t="s">
        <v>601</v>
      </c>
      <c r="I282" t="s">
        <v>684</v>
      </c>
    </row>
    <row r="283" spans="7:9">
      <c r="G283" t="s">
        <v>682</v>
      </c>
      <c r="H283" t="s">
        <v>601</v>
      </c>
      <c r="I283" t="s">
        <v>683</v>
      </c>
    </row>
    <row r="284" spans="7:9">
      <c r="G284" t="s">
        <v>190</v>
      </c>
      <c r="H284" t="s">
        <v>149</v>
      </c>
      <c r="I284" t="s">
        <v>686</v>
      </c>
    </row>
    <row r="285" spans="7:9">
      <c r="G285" t="s">
        <v>191</v>
      </c>
      <c r="H285" t="s">
        <v>149</v>
      </c>
      <c r="I285" t="s">
        <v>192</v>
      </c>
    </row>
    <row r="286" spans="7:9">
      <c r="G286" t="s">
        <v>193</v>
      </c>
      <c r="H286" t="s">
        <v>149</v>
      </c>
      <c r="I286" t="s">
        <v>194</v>
      </c>
    </row>
    <row r="287" spans="7:9">
      <c r="G287" t="s">
        <v>168</v>
      </c>
      <c r="H287" t="s">
        <v>19</v>
      </c>
      <c r="I287" t="s">
        <v>23</v>
      </c>
    </row>
    <row r="288" spans="7:9">
      <c r="G288" t="s">
        <v>185</v>
      </c>
      <c r="H288" t="s">
        <v>170</v>
      </c>
      <c r="I288" t="s">
        <v>186</v>
      </c>
    </row>
    <row r="289" spans="7:9">
      <c r="G289" t="s">
        <v>195</v>
      </c>
      <c r="H289" t="s">
        <v>149</v>
      </c>
      <c r="I289" t="s">
        <v>186</v>
      </c>
    </row>
    <row r="290" spans="7:9">
      <c r="G290" t="s">
        <v>198</v>
      </c>
      <c r="H290" t="s">
        <v>93</v>
      </c>
      <c r="I290" t="s">
        <v>709</v>
      </c>
    </row>
    <row r="291" spans="7:9">
      <c r="G291" t="s">
        <v>576</v>
      </c>
      <c r="H291" t="s">
        <v>93</v>
      </c>
      <c r="I291" t="s">
        <v>710</v>
      </c>
    </row>
    <row r="292" spans="7:9">
      <c r="G292" t="s">
        <v>577</v>
      </c>
      <c r="H292" t="s">
        <v>93</v>
      </c>
      <c r="I292" t="s">
        <v>711</v>
      </c>
    </row>
    <row r="293" spans="7:9">
      <c r="G293" t="s">
        <v>199</v>
      </c>
      <c r="H293" t="s">
        <v>93</v>
      </c>
      <c r="I293" t="s">
        <v>691</v>
      </c>
    </row>
    <row r="294" spans="7:9">
      <c r="G294" t="s">
        <v>578</v>
      </c>
      <c r="H294" t="s">
        <v>93</v>
      </c>
      <c r="I294" t="s">
        <v>712</v>
      </c>
    </row>
    <row r="295" spans="7:9">
      <c r="G295" t="s">
        <v>579</v>
      </c>
      <c r="H295" t="s">
        <v>93</v>
      </c>
      <c r="I295" t="s">
        <v>692</v>
      </c>
    </row>
    <row r="296" spans="7:9">
      <c r="G296" t="s">
        <v>687</v>
      </c>
      <c r="H296" t="s">
        <v>93</v>
      </c>
      <c r="I296" t="s">
        <v>713</v>
      </c>
    </row>
    <row r="297" spans="7:9">
      <c r="G297" t="s">
        <v>200</v>
      </c>
      <c r="H297" t="s">
        <v>93</v>
      </c>
      <c r="I297" t="s">
        <v>99</v>
      </c>
    </row>
    <row r="298" spans="7:9">
      <c r="G298" t="s">
        <v>201</v>
      </c>
      <c r="H298" t="s">
        <v>93</v>
      </c>
      <c r="I298" t="s">
        <v>714</v>
      </c>
    </row>
    <row r="299" spans="7:9">
      <c r="G299" t="s">
        <v>580</v>
      </c>
      <c r="H299" t="s">
        <v>93</v>
      </c>
      <c r="I299" t="s">
        <v>715</v>
      </c>
    </row>
    <row r="300" spans="7:9">
      <c r="G300" t="s">
        <v>202</v>
      </c>
      <c r="H300" t="s">
        <v>93</v>
      </c>
      <c r="I300" t="s">
        <v>103</v>
      </c>
    </row>
    <row r="301" spans="7:9">
      <c r="G301" t="s">
        <v>203</v>
      </c>
      <c r="H301" t="s">
        <v>93</v>
      </c>
      <c r="I301" t="s">
        <v>639</v>
      </c>
    </row>
    <row r="302" spans="7:9">
      <c r="G302" t="s">
        <v>581</v>
      </c>
      <c r="H302" t="s">
        <v>93</v>
      </c>
      <c r="I302" t="s">
        <v>716</v>
      </c>
    </row>
    <row r="303" spans="7:9">
      <c r="G303" t="s">
        <v>582</v>
      </c>
      <c r="H303" t="s">
        <v>93</v>
      </c>
      <c r="I303" t="s">
        <v>701</v>
      </c>
    </row>
    <row r="304" spans="7:9">
      <c r="G304" t="s">
        <v>204</v>
      </c>
      <c r="H304" t="s">
        <v>93</v>
      </c>
      <c r="I304" t="s">
        <v>706</v>
      </c>
    </row>
    <row r="305" spans="7:9">
      <c r="G305" t="s">
        <v>476</v>
      </c>
      <c r="H305" t="s">
        <v>93</v>
      </c>
      <c r="I305" t="s">
        <v>474</v>
      </c>
    </row>
    <row r="306" spans="7:9">
      <c r="G306" t="s">
        <v>583</v>
      </c>
      <c r="H306" t="s">
        <v>93</v>
      </c>
      <c r="I306" t="s">
        <v>705</v>
      </c>
    </row>
    <row r="307" spans="7:9">
      <c r="G307" t="s">
        <v>584</v>
      </c>
      <c r="H307" t="s">
        <v>93</v>
      </c>
      <c r="I307" t="s">
        <v>704</v>
      </c>
    </row>
    <row r="308" spans="7:9">
      <c r="G308" t="s">
        <v>689</v>
      </c>
      <c r="H308" t="s">
        <v>93</v>
      </c>
      <c r="I308" t="s">
        <v>703</v>
      </c>
    </row>
    <row r="309" spans="7:9">
      <c r="G309" t="s">
        <v>205</v>
      </c>
      <c r="H309" t="s">
        <v>93</v>
      </c>
      <c r="I309" t="s">
        <v>109</v>
      </c>
    </row>
    <row r="310" spans="7:9">
      <c r="G310" t="s">
        <v>206</v>
      </c>
      <c r="H310" t="s">
        <v>93</v>
      </c>
      <c r="I310" t="s">
        <v>690</v>
      </c>
    </row>
    <row r="311" spans="7:9">
      <c r="G311" t="s">
        <v>688</v>
      </c>
      <c r="H311" t="s">
        <v>93</v>
      </c>
      <c r="I311" t="s">
        <v>675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Subclasses!Print_Area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2010-05-21T17:23:24Z</dcterms:modified>
</cp:coreProperties>
</file>