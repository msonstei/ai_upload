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2"/>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G17" i="9"/>
  <c r="E26" i="1"/>
  <c r="B7" i="9"/>
  <c r="B12" s="1"/>
  <c r="E27" i="11"/>
  <c r="E28"/>
  <c r="C3" i="9"/>
  <c r="B5"/>
  <c r="B4"/>
  <c r="N14"/>
  <c r="N26" s="1"/>
  <c r="N29" s="1"/>
  <c r="C2"/>
  <c r="F29"/>
  <c r="C29"/>
  <c r="M29"/>
  <c r="L29"/>
  <c r="K29"/>
  <c r="J29"/>
  <c r="I29"/>
  <c r="H29"/>
  <c r="G29"/>
  <c r="E29"/>
  <c r="D29"/>
  <c r="B29"/>
  <c r="B17"/>
  <c r="C17"/>
  <c r="D17"/>
  <c r="D19" s="1"/>
  <c r="E17"/>
  <c r="F17"/>
  <c r="H17"/>
  <c r="I17"/>
  <c r="J17"/>
  <c r="K17"/>
  <c r="L17"/>
  <c r="M17"/>
  <c r="B8"/>
  <c r="E26" i="10"/>
  <c r="E27" s="1"/>
  <c r="B10" i="9"/>
  <c r="N17" l="1"/>
  <c r="B31" s="1"/>
  <c r="C31" s="1"/>
  <c r="D31" s="1"/>
  <c r="E31" s="1"/>
  <c r="F31" s="1"/>
  <c r="G31" s="1"/>
  <c r="H31" s="1"/>
  <c r="I31" s="1"/>
  <c r="J31" s="1"/>
  <c r="K31" s="1"/>
  <c r="L31" s="1"/>
  <c r="M31" s="1"/>
  <c r="E19"/>
  <c r="F19" s="1"/>
  <c r="G19" s="1"/>
  <c r="H19" s="1"/>
  <c r="I19" s="1"/>
  <c r="J19" s="1"/>
  <c r="K19" s="1"/>
  <c r="L19" s="1"/>
  <c r="M19" s="1"/>
  <c r="B11"/>
  <c r="C10"/>
  <c r="C12"/>
  <c r="C11" l="1"/>
  <c r="D10"/>
  <c r="D12"/>
  <c r="E10" l="1"/>
  <c r="D11"/>
  <c r="E12"/>
  <c r="F10" l="1"/>
  <c r="E11"/>
  <c r="F12"/>
  <c r="G10" l="1"/>
  <c r="G12"/>
  <c r="F11"/>
  <c r="H12" l="1"/>
  <c r="H10"/>
  <c r="G11"/>
  <c r="I12" l="1"/>
  <c r="I10"/>
  <c r="H11"/>
  <c r="J12" l="1"/>
  <c r="I11"/>
  <c r="J10"/>
  <c r="K10" l="1"/>
  <c r="K12"/>
  <c r="J11"/>
  <c r="L10" l="1"/>
  <c r="L12"/>
  <c r="K11"/>
  <c r="M12" l="1"/>
  <c r="L11"/>
  <c r="M10"/>
  <c r="M11" l="1"/>
  <c r="B24"/>
  <c r="B22"/>
  <c r="B23" l="1"/>
  <c r="C22" s="1"/>
  <c r="C24"/>
  <c r="C23" l="1"/>
  <c r="D22" s="1"/>
  <c r="D24"/>
  <c r="D23" l="1"/>
  <c r="E22" s="1"/>
  <c r="E24"/>
  <c r="E23" l="1"/>
  <c r="F22" s="1"/>
  <c r="F24"/>
  <c r="F23" l="1"/>
  <c r="G22" s="1"/>
  <c r="G24"/>
  <c r="G23" l="1"/>
  <c r="H22" s="1"/>
  <c r="H24"/>
  <c r="I24" l="1"/>
  <c r="H23"/>
  <c r="I22" s="1"/>
  <c r="I23" l="1"/>
  <c r="J22" s="1"/>
  <c r="J24"/>
  <c r="J23" l="1"/>
  <c r="K22" s="1"/>
  <c r="K24"/>
  <c r="L24" l="1"/>
  <c r="K23"/>
  <c r="L22" s="1"/>
  <c r="M24" l="1"/>
  <c r="M23" s="1"/>
  <c r="L23"/>
  <c r="M22" s="1"/>
</calcChain>
</file>

<file path=xl/sharedStrings.xml><?xml version="1.0" encoding="utf-8"?>
<sst xmlns="http://schemas.openxmlformats.org/spreadsheetml/2006/main" count="2185" uniqueCount="634">
  <si>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</si>
  <si>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</si>
  <si>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</si>
  <si>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</si>
  <si>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</si>
  <si>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</si>
  <si>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</si>
  <si>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</si>
  <si>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</si>
  <si>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</si>
  <si>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</si>
  <si>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</si>
  <si>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</si>
  <si>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</si>
  <si>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</si>
  <si>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</si>
  <si>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</si>
  <si>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</si>
  <si>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</si>
  <si>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</si>
  <si>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</si>
  <si>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</si>
  <si>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</si>
  <si>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</si>
  <si>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</si>
  <si>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</si>
  <si>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</si>
  <si>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</si>
  <si>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</si>
  <si>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</si>
  <si>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</si>
  <si>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</si>
  <si>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</si>
  <si>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</si>
  <si>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</si>
  <si>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</si>
  <si>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</si>
  <si>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</si>
  <si>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</si>
  <si>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</si>
  <si>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</si>
  <si>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</si>
  <si>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</si>
  <si>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</si>
  <si>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</si>
  <si>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</si>
  <si>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</si>
  <si>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</si>
  <si>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</si>
  <si>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</si>
  <si>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</si>
  <si>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</si>
  <si>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</si>
  <si>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</si>
  <si>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</si>
  <si>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</si>
  <si>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</si>
  <si>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</si>
  <si>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</si>
  <si>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</si>
  <si>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</si>
  <si>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</si>
  <si>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</si>
  <si>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</si>
  <si>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</si>
  <si>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</si>
  <si>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</si>
  <si>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</si>
  <si>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</si>
  <si>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</si>
  <si>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</si>
  <si>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</si>
  <si>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</si>
  <si>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</si>
  <si>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</si>
  <si>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</si>
  <si>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</si>
  <si>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</si>
  <si>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</si>
  <si>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</si>
  <si>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</si>
  <si>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</si>
  <si>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</si>
  <si>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</si>
  <si>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</si>
  <si>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</si>
  <si>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</si>
  <si>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</si>
  <si>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</si>
  <si>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</si>
  <si>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</si>
  <si>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</si>
  <si>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</si>
  <si>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</si>
  <si>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</si>
  <si>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</si>
  <si>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</si>
  <si>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</si>
  <si>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</si>
  <si>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</si>
  <si>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</si>
  <si>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</si>
  <si>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</si>
  <si>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</si>
  <si>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</si>
  <si>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</si>
  <si>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</si>
  <si>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</si>
  <si>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</si>
  <si>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</si>
  <si>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</si>
  <si>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</si>
  <si>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</si>
  <si>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</si>
  <si>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</si>
  <si>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</si>
  <si>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</si>
  <si>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</si>
  <si>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</si>
  <si>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</si>
  <si>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</si>
  <si>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</si>
  <si>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</si>
  <si>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</si>
  <si>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</si>
  <si>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</si>
  <si>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</si>
  <si>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</si>
  <si>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</si>
  <si>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</si>
  <si>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</si>
  <si>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</si>
  <si>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</si>
  <si>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</si>
  <si>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</si>
  <si>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</si>
  <si>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</si>
  <si>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</si>
  <si>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</si>
  <si>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</si>
  <si>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</si>
  <si>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</si>
  <si>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</si>
  <si>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</si>
  <si>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</si>
  <si>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</si>
  <si>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</si>
  <si>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</si>
  <si>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</si>
  <si>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</si>
  <si>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</si>
  <si>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</si>
  <si>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</si>
  <si>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</si>
  <si>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</si>
  <si>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</si>
  <si>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</si>
  <si>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</si>
  <si>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</si>
  <si>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</si>
  <si>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</si>
  <si>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</si>
  <si>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</si>
  <si>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</si>
  <si>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</si>
  <si>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</si>
  <si>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</si>
  <si>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</si>
  <si>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</si>
  <si>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</si>
  <si>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</si>
  <si>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</si>
  <si>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</si>
  <si>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</si>
  <si>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</si>
  <si>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</si>
  <si>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</si>
  <si>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</si>
  <si>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</si>
  <si>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</si>
  <si>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</si>
  <si>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</si>
  <si>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</si>
  <si>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</si>
  <si>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</si>
  <si>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</si>
  <si>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</si>
  <si>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</si>
  <si>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</si>
  <si>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</si>
  <si>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</si>
  <si>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</si>
  <si>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</si>
  <si>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</si>
  <si>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</si>
  <si>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</si>
  <si>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</si>
  <si>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</si>
  <si>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</si>
  <si>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</si>
  <si>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</si>
  <si>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</si>
  <si>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</si>
  <si>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</si>
  <si>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</si>
  <si>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</si>
  <si>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</si>
  <si>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</si>
  <si>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</si>
  <si>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</si>
  <si>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</si>
  <si>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</si>
  <si>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</si>
  <si>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</si>
  <si>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</si>
  <si>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</si>
  <si>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</si>
  <si>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</si>
  <si>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</si>
  <si>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</si>
  <si>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</si>
  <si>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</si>
  <si>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</si>
  <si>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</si>
  <si>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</si>
  <si>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</si>
  <si>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</si>
  <si>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</si>
  <si>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</si>
  <si>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</si>
  <si>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</si>
  <si>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</si>
  <si>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</si>
  <si>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</si>
  <si>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</si>
  <si>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</si>
  <si>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</si>
  <si>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</si>
  <si>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</si>
  <si>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</si>
  <si>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</si>
  <si>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</si>
  <si>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</si>
  <si>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</si>
  <si>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</si>
  <si>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</si>
  <si>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</si>
  <si>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</si>
  <si>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</si>
  <si>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</si>
  <si>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</si>
  <si>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</si>
  <si>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</si>
  <si>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</si>
  <si>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</si>
  <si>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</si>
  <si>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</si>
  <si>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</si>
  <si>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</si>
  <si>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</si>
  <si>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</si>
  <si>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</si>
  <si>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</si>
  <si>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</si>
  <si>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</si>
  <si>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</si>
  <si>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</si>
  <si>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</si>
  <si>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</si>
  <si>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</si>
  <si>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</si>
  <si>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</si>
  <si>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</si>
  <si>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</si>
  <si>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</si>
  <si>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</si>
  <si>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</si>
  <si>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</si>
  <si>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</si>
  <si>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</si>
  <si>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</si>
  <si>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</si>
  <si>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</si>
  <si>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</si>
  <si>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</si>
  <si>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</si>
  <si>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</si>
  <si>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</si>
  <si>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</si>
  <si>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</si>
  <si>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</si>
  <si>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</si>
  <si>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</si>
  <si>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</si>
  <si>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</si>
  <si>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</si>
  <si>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</si>
  <si>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</si>
  <si>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</si>
  <si>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</si>
  <si>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</si>
  <si>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</si>
  <si>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</si>
  <si>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</si>
  <si>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</si>
  <si>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</si>
  <si>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</si>
  <si>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</si>
  <si>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</si>
  <si>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</si>
  <si>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</si>
  <si>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</si>
  <si>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</si>
  <si>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</si>
  <si>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</si>
  <si>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</si>
  <si>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</si>
  <si>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</si>
  <si>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</si>
  <si>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</si>
  <si>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</si>
  <si>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</si>
  <si>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</si>
  <si>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</si>
  <si>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</si>
  <si>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</si>
  <si>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</si>
  <si>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</si>
  <si>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</si>
  <si>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</si>
  <si>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</si>
  <si>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</si>
  <si>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</si>
  <si>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</si>
  <si>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</si>
  <si>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</si>
  <si>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</si>
  <si>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</si>
  <si>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</si>
  <si>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</si>
  <si>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</si>
  <si>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</si>
  <si>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</si>
  <si>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</si>
  <si>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</si>
  <si>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</si>
  <si>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</si>
  <si>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</si>
  <si>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</si>
  <si>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</si>
  <si>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</si>
  <si>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</si>
  <si>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</si>
  <si>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</si>
  <si>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</si>
  <si>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</si>
  <si>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</si>
  <si>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</si>
  <si>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</si>
  <si>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</si>
  <si>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</si>
  <si>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</si>
  <si>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</si>
  <si>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</si>
  <si>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</si>
  <si>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</si>
  <si>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</si>
  <si>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</si>
  <si>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</si>
  <si>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</si>
  <si>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</si>
  <si>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</si>
  <si>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</si>
  <si>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</si>
  <si>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</si>
  <si>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</si>
  <si>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</si>
  <si>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</si>
  <si>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</si>
  <si>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</si>
  <si>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</si>
  <si>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</si>
  <si>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</si>
  <si>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</si>
  <si>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</si>
  <si>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</si>
  <si>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</si>
  <si>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</si>
  <si>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</si>
  <si>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</si>
  <si>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</si>
  <si>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</si>
  <si>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</si>
  <si>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</si>
  <si>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</si>
  <si>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</si>
  <si>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</si>
  <si>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</si>
  <si>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</si>
  <si>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</si>
  <si>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</si>
  <si>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</si>
  <si>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</si>
  <si>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</si>
  <si>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</si>
  <si>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</si>
  <si>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</si>
  <si>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</si>
  <si>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</si>
  <si>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</si>
  <si>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</si>
  <si>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</si>
  <si>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</si>
  <si>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</si>
  <si>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</si>
  <si>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</si>
  <si>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</si>
  <si>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</si>
  <si>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</si>
  <si>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</si>
  <si>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</si>
  <si>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</si>
  <si>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</si>
  <si>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</si>
  <si>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</si>
  <si>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</si>
  <si>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</si>
  <si>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</si>
  <si>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</si>
  <si>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</si>
  <si>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</si>
  <si>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</si>
  <si>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</si>
  <si>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</si>
  <si>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</si>
  <si>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</si>
  <si>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</si>
  <si>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</si>
  <si>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</si>
  <si>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</si>
  <si>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</si>
  <si>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</si>
  <si>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</si>
  <si>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</si>
  <si>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</si>
  <si>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</si>
  <si>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</si>
  <si>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</si>
  <si>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</si>
  <si>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</si>
  <si>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</si>
  <si>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</si>
  <si>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</si>
  <si>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</si>
  <si>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</si>
  <si>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</si>
  <si>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</si>
  <si>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</si>
  <si>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</si>
  <si>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</si>
  <si>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</si>
  <si>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</si>
  <si>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</si>
  <si>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</si>
  <si>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</si>
  <si>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</si>
  <si>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</si>
  <si>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</si>
  <si>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</si>
  <si>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</si>
  <si>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</si>
  <si>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</si>
  <si>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</si>
  <si>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</si>
  <si>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</si>
  <si>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</si>
  <si>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</si>
  <si>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</si>
  <si>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</si>
  <si>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</si>
  <si>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</si>
  <si>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</si>
  <si>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</si>
  <si>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</si>
  <si>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</si>
  <si>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</si>
  <si>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</si>
  <si>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</si>
  <si>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</si>
  <si>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</si>
  <si>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</si>
  <si>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</si>
  <si>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</si>
  <si>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</si>
  <si>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</si>
  <si>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</si>
  <si>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</si>
  <si>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</si>
  <si>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</si>
  <si>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</si>
  <si>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</si>
  <si>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</si>
  <si>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</si>
  <si>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</si>
  <si>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</si>
  <si>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</si>
  <si>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</si>
  <si>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</si>
  <si>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</si>
  <si>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</si>
  <si>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</si>
  <si>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</si>
  <si>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</si>
  <si>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</si>
  <si>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</si>
  <si>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</si>
  <si>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</si>
  <si>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</si>
  <si>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</si>
  <si>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</si>
  <si>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</si>
  <si>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</si>
  <si>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</si>
  <si>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</si>
  <si>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</si>
  <si>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</si>
  <si>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</si>
  <si>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</si>
  <si>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</si>
  <si>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</si>
  <si>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</si>
  <si>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</si>
  <si>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</si>
  <si>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</si>
  <si>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</si>
  <si>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</si>
  <si>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</si>
  <si>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</si>
  <si>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</si>
  <si>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</si>
  <si>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</si>
  <si>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</si>
  <si>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</si>
  <si>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</si>
  <si>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</si>
  <si>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</si>
  <si>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</si>
  <si>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</si>
  <si>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</si>
  <si>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</si>
  <si>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</si>
  <si>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</si>
  <si>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</si>
  <si>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</si>
  <si>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</si>
  <si>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</si>
  <si>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</si>
  <si>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</si>
  <si>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</si>
  <si>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</si>
  <si>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</si>
  <si>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</si>
  <si>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</si>
  <si>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</si>
  <si>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</si>
  <si>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</si>
  <si>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</si>
  <si>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</si>
  <si>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</si>
  <si>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</si>
  <si>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</si>
  <si>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</si>
  <si>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</si>
  <si>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</si>
  <si>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</si>
  <si>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</si>
  <si>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</si>
  <si>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</si>
  <si>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</si>
  <si>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</si>
  <si>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</si>
  <si>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</si>
  <si>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</si>
  <si>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</si>
  <si>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</si>
  <si>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</si>
  <si>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</si>
  <si>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</si>
  <si>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</si>
  <si>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</si>
  <si>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</si>
  <si>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</si>
  <si>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</si>
  <si>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</si>
  <si>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</si>
  <si>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</si>
  <si>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</si>
  <si>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</si>
  <si>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</si>
  <si>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</si>
  <si>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</si>
  <si>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</si>
  <si>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</si>
  <si>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</si>
  <si>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</si>
  <si>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</si>
  <si>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</si>
  <si>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</si>
  <si>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</si>
  <si>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</si>
  <si>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</si>
  <si>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</si>
  <si>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</si>
  <si>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</si>
  <si>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</si>
  <si>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</si>
  <si>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</si>
  <si>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</si>
  <si>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</si>
  <si>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</si>
  <si>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</si>
  <si>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</si>
  <si>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</si>
  <si>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</si>
  <si>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</si>
  <si>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</si>
  <si>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</si>
  <si>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</si>
  <si>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</si>
  <si>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t>New HDS Utility Service for FTW 336A- Aircraft Parts Storage</t>
  </si>
  <si>
    <t>RFP № FWA-09-021</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</si>
  <si>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</si>
  <si>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None</t>
  </si>
  <si>
    <t>Engineering Design Only</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</si>
</sst>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2">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22">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3"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4"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4"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3"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E23" sqref="E23"/>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t="s">
        <v>0</v>
      </c>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1</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2</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3">
        <v>40040</v>
      </c>
      <c r="C8" s="113"/>
      <c r="D8" s="113"/>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5" t="s">
        <v>629</v>
      </c>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4" t="s">
        <v>631</v>
      </c>
      <c r="C12" s="114"/>
      <c r="D12" s="114"/>
      <c r="E12" s="114"/>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2</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630</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v>50000</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100000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100000</v>
      </c>
      <c r="D27" s="30" t="s">
        <v>391</v>
      </c>
      <c r="E27" s="104">
        <v>100000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8" t="s">
        <v>632</v>
      </c>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8" t="s">
        <v>633</v>
      </c>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627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1" priority="1" stopIfTrue="1" operator="equal">
      <formula>$Z1</formula>
    </cfRule>
  </conditionalFormatting>
  <conditionalFormatting sqref="E16 B17 E21:E25 B27 C30:E30 C32:E32 B34">
    <cfRule type="cellIs" dxfId="20" priority="2" stopIfTrue="1" operator="equal">
      <formula>$Z$1</formula>
    </cfRule>
  </conditionalFormatting>
  <conditionalFormatting sqref="B19 E19">
    <cfRule type="cellIs" dxfId="19" priority="3" stopIfTrue="1" operator="greaterThan">
      <formula>43831</formula>
    </cfRule>
    <cfRule type="cellIs" dxfId="18" priority="4" stopIfTrue="1" operator="lessThan">
      <formula>39448</formula>
    </cfRule>
    <cfRule type="cellIs" dxfId="17" priority="5" stopIfTrue="1" operator="equal">
      <formula>39448</formula>
    </cfRule>
  </conditionalFormatting>
  <conditionalFormatting sqref="B8:D8">
    <cfRule type="cellIs" dxfId="1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3"/>
  <sheetViews>
    <sheetView tabSelected="1" zoomScaleNormal="100" zoomScaleSheetLayoutView="100" workbookViewId="0">
      <selection activeCell="H36" sqref="H36"/>
    </sheetView>
  </sheetViews>
  <sheetFormatPr defaultRowHeight="12.75"/>
  <cols>
    <col min="1" max="1" width="17.85546875" bestFit="1" customWidth="1"/>
    <col min="2" max="14" width="11.7109375" customWidth="1"/>
  </cols>
  <sheetData>
    <row r="1" spans="1:14" s="67" customFormat="1" ht="20.25">
      <c r="A1" s="116" t="s">
        <v>411</v>
      </c>
      <c r="B1" s="116"/>
      <c r="C1" s="66"/>
      <c r="D1" s="66"/>
      <c r="E1" s="66"/>
      <c r="F1" s="66"/>
      <c r="G1" s="66"/>
      <c r="H1" s="66"/>
    </row>
    <row r="2" spans="1:14" s="67" customFormat="1" ht="18" customHeight="1">
      <c r="A2" s="116" t="s">
        <v>428</v>
      </c>
      <c r="B2" s="116"/>
      <c r="C2" s="117" t="str">
        <f>LEFT('Job Initiation Form'!B10,50)</f>
        <v>New HDS Utility Service for FTW 336A- Aircraft Par</v>
      </c>
      <c r="D2" s="117"/>
      <c r="E2" s="117"/>
      <c r="F2" s="117"/>
      <c r="G2" s="117"/>
      <c r="H2" s="117"/>
      <c r="I2" s="117"/>
      <c r="J2" s="117"/>
      <c r="K2" s="117"/>
    </row>
    <row r="3" spans="1:14" s="67" customFormat="1" ht="20.25">
      <c r="A3" s="68" t="s">
        <v>413</v>
      </c>
      <c r="B3" s="69"/>
      <c r="C3" s="117">
        <f>'Job Initiation Form'!E38</f>
        <v>0</v>
      </c>
      <c r="D3" s="117"/>
      <c r="E3" s="117"/>
      <c r="F3" s="117"/>
      <c r="G3" s="117"/>
      <c r="H3" s="117"/>
      <c r="I3" s="117"/>
      <c r="J3" s="117"/>
      <c r="K3" s="117"/>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Central Heating Plant</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99232.257500000007</v>
      </c>
      <c r="H14" s="96">
        <v>99232.257500000007</v>
      </c>
      <c r="I14" s="96">
        <v>99232.257500000007</v>
      </c>
      <c r="J14" s="96">
        <v>99232.257500000007</v>
      </c>
      <c r="K14" s="88">
        <v>0</v>
      </c>
      <c r="L14" s="80">
        <v>0</v>
      </c>
      <c r="M14" s="96">
        <v>0</v>
      </c>
      <c r="N14" s="81">
        <f>SUM(B14:M14)</f>
        <v>396929.03</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99232.257500000007</v>
      </c>
      <c r="H17" s="91">
        <f t="shared" si="1"/>
        <v>99232.257500000007</v>
      </c>
      <c r="I17" s="83">
        <f t="shared" si="1"/>
        <v>99232.257500000007</v>
      </c>
      <c r="J17" s="98">
        <f t="shared" si="1"/>
        <v>99232.257500000007</v>
      </c>
      <c r="K17" s="91">
        <f t="shared" si="1"/>
        <v>0</v>
      </c>
      <c r="L17" s="83">
        <f t="shared" si="1"/>
        <v>0</v>
      </c>
      <c r="M17" s="98">
        <f t="shared" si="1"/>
        <v>0</v>
      </c>
      <c r="N17" s="83">
        <f>SUM(N13:N16)</f>
        <v>396929.03</v>
      </c>
    </row>
    <row r="18" spans="1:14" s="67" customFormat="1" ht="13.5" thickTop="1">
      <c r="A18" s="70"/>
    </row>
    <row r="19" spans="1:14" s="67" customFormat="1">
      <c r="A19" s="70"/>
      <c r="D19" s="84">
        <f>D17+C17+B17</f>
        <v>0</v>
      </c>
      <c r="E19" s="84">
        <f>E17+D17+C17+B17</f>
        <v>0</v>
      </c>
      <c r="F19" s="84">
        <f>F17+E19</f>
        <v>0</v>
      </c>
      <c r="G19" s="84">
        <f t="shared" ref="G19:M19" si="2">G17+F19</f>
        <v>99232.257500000007</v>
      </c>
      <c r="H19" s="84">
        <f t="shared" si="2"/>
        <v>198464.51500000001</v>
      </c>
      <c r="I19" s="84">
        <f t="shared" si="2"/>
        <v>297696.77250000002</v>
      </c>
      <c r="J19" s="84">
        <f t="shared" si="2"/>
        <v>396929.03</v>
      </c>
      <c r="K19" s="84">
        <f t="shared" si="2"/>
        <v>396929.03</v>
      </c>
      <c r="L19" s="84">
        <f t="shared" si="2"/>
        <v>396929.03</v>
      </c>
      <c r="M19" s="84">
        <f t="shared" si="2"/>
        <v>396929.03</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396929.03</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396929.03</v>
      </c>
    </row>
    <row r="30" spans="1:14" s="67" customFormat="1" ht="13.5" thickTop="1">
      <c r="A30" s="70"/>
    </row>
    <row r="31" spans="1:14" s="67" customFormat="1">
      <c r="A31" s="70"/>
      <c r="B31" s="84">
        <f>B29+N17</f>
        <v>396929.03</v>
      </c>
      <c r="C31" s="84">
        <f>C29+B31</f>
        <v>396929.03</v>
      </c>
      <c r="D31" s="84">
        <f>D29+C31</f>
        <v>396929.03</v>
      </c>
      <c r="E31" s="84">
        <f>E29+D31</f>
        <v>396929.03</v>
      </c>
      <c r="F31" s="84">
        <f>F29+E31</f>
        <v>396929.03</v>
      </c>
      <c r="G31" s="84">
        <f t="shared" ref="G31:L31" si="5">G29+F31</f>
        <v>396929.03</v>
      </c>
      <c r="H31" s="84">
        <f t="shared" si="5"/>
        <v>396929.03</v>
      </c>
      <c r="I31" s="84">
        <f t="shared" si="5"/>
        <v>396929.03</v>
      </c>
      <c r="J31" s="84">
        <f t="shared" si="5"/>
        <v>396929.03</v>
      </c>
      <c r="K31" s="84">
        <f t="shared" si="5"/>
        <v>396929.03</v>
      </c>
      <c r="L31" s="84">
        <f t="shared" si="5"/>
        <v>396929.03</v>
      </c>
      <c r="M31" s="84">
        <f>M29+L31</f>
        <v>396929.03</v>
      </c>
    </row>
    <row r="33" spans="1:1">
      <c r="A33" s="62" t="s">
        <v>625</v>
      </c>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opLeftCell="A4" workbookViewId="0">
      <selection activeCell="E26" sqref="E26"/>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412</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443</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v>198464.51500000001</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v>198464.51500000001</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396929.03</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-396929.03</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04" activePane="bottomRight" state="frozen"/>
      <selection pane="topRight" activeCell="B1" sqref="B1"/>
      <selection pane="bottomLeft" activeCell="A2" sqref="A2"/>
      <selection pane="bottomRight" activeCell="A124" sqref="A112:A124"/>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13"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0" t="s">
        <v>489</v>
      </c>
      <c r="C6" s="110"/>
      <c r="D6" s="110"/>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490</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0" t="s">
        <v>402</v>
      </c>
      <c r="B30" s="121"/>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2010-10-20T16:58:50Z</dcterms:modified>
</cp:coreProperties>
</file>