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trlProps/ctrlProp10.xml" ContentType="application/vnd.ms-excel.controlproperties+xml"/>
  <Override PartName="/xl/drawings/drawing4.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drawings/drawing5.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44525"/>
</workbook>
</file>

<file path=xl/calcChain.xml><?xml version="1.0" encoding="utf-8"?>
<calcChain xmlns="http://schemas.openxmlformats.org/spreadsheetml/2006/main">
  <c r="G17" i="9" l="1"/>
  <c r="E26" i="1"/>
  <c r="B7" i="9"/>
  <c r="B12" i="9" s="1"/>
  <c r="E27" i="11"/>
  <c r="E28" i="11"/>
  <c r="C3" i="9"/>
  <c r="B5" i="9"/>
  <c r="B4" i="9"/>
  <c r="N14" i="9"/>
  <c r="N26" i="9" s="1"/>
  <c r="N29" i="9" s="1"/>
  <c r="C2" i="9"/>
  <c r="F29" i="9"/>
  <c r="C29" i="9"/>
  <c r="M29" i="9"/>
  <c r="L29" i="9"/>
  <c r="K29" i="9"/>
  <c r="J29" i="9"/>
  <c r="I29" i="9"/>
  <c r="H29" i="9"/>
  <c r="G29" i="9"/>
  <c r="E29" i="9"/>
  <c r="D29" i="9"/>
  <c r="B29" i="9"/>
  <c r="B17" i="9"/>
  <c r="C17" i="9"/>
  <c r="D17" i="9"/>
  <c r="E17" i="9"/>
  <c r="F17" i="9"/>
  <c r="H17" i="9"/>
  <c r="I17" i="9"/>
  <c r="J17" i="9"/>
  <c r="K17" i="9"/>
  <c r="L17" i="9"/>
  <c r="M17" i="9"/>
  <c r="B8" i="9"/>
  <c r="E26" i="10"/>
  <c r="E27" i="10" s="1"/>
  <c r="B10" i="9"/>
  <c r="D19" i="9" l="1"/>
  <c r="N17" i="9"/>
  <c r="B31" i="9" s="1"/>
  <c r="C31" i="9" s="1"/>
  <c r="D31" i="9" s="1"/>
  <c r="E31" i="9" s="1"/>
  <c r="F31" i="9" s="1"/>
  <c r="G31" i="9" s="1"/>
  <c r="H31" i="9" s="1"/>
  <c r="I31" i="9" s="1"/>
  <c r="J31" i="9" s="1"/>
  <c r="K31" i="9" s="1"/>
  <c r="L31" i="9" s="1"/>
  <c r="M31" i="9" s="1"/>
  <c r="E19" i="9"/>
  <c r="F19" i="9" s="1"/>
  <c r="G19" i="9" s="1"/>
  <c r="H19" i="9" s="1"/>
  <c r="I19" i="9" s="1"/>
  <c r="J19" i="9" s="1"/>
  <c r="K19" i="9" s="1"/>
  <c r="L19" i="9" s="1"/>
  <c r="M19" i="9" s="1"/>
  <c r="B11" i="9"/>
  <c r="C10" i="9"/>
  <c r="C12" i="9"/>
  <c r="C11" i="9" l="1"/>
  <c r="D10" i="9"/>
  <c r="D12" i="9"/>
  <c r="E10" i="9" l="1"/>
  <c r="D11" i="9"/>
  <c r="E12" i="9"/>
  <c r="F10" i="9" l="1"/>
  <c r="E11" i="9"/>
  <c r="F12" i="9"/>
  <c r="G10" i="9" l="1"/>
  <c r="G12" i="9"/>
  <c r="F11" i="9"/>
  <c r="H12" i="9" l="1"/>
  <c r="H10" i="9"/>
  <c r="G11" i="9"/>
  <c r="I12" i="9" l="1"/>
  <c r="I10" i="9"/>
  <c r="H11" i="9"/>
  <c r="J12" i="9" l="1"/>
  <c r="I11" i="9"/>
  <c r="J10" i="9"/>
  <c r="K10" i="9" l="1"/>
  <c r="K12" i="9"/>
  <c r="J11" i="9"/>
  <c r="L10" i="9" l="1"/>
  <c r="L12" i="9"/>
  <c r="K11" i="9"/>
  <c r="M12" i="9" l="1"/>
  <c r="L11" i="9"/>
  <c r="M10" i="9"/>
  <c r="M11" i="9" l="1"/>
  <c r="B24" i="9"/>
  <c r="B22" i="9"/>
  <c r="B23" i="9" l="1"/>
  <c r="C22" i="9" s="1"/>
  <c r="C24" i="9"/>
  <c r="C23" i="9" l="1"/>
  <c r="D22" i="9" s="1"/>
  <c r="D24" i="9"/>
  <c r="D23" i="9" l="1"/>
  <c r="E22" i="9" s="1"/>
  <c r="E24" i="9"/>
  <c r="E23" i="9" l="1"/>
  <c r="F22" i="9" s="1"/>
  <c r="F24" i="9"/>
  <c r="F23" i="9" l="1"/>
  <c r="G22" i="9" s="1"/>
  <c r="G24" i="9"/>
  <c r="G23" i="9" l="1"/>
  <c r="H22" i="9" s="1"/>
  <c r="H24" i="9"/>
  <c r="I24" i="9" l="1"/>
  <c r="H23" i="9"/>
  <c r="I22" i="9" s="1"/>
  <c r="I23" i="9" l="1"/>
  <c r="J22" i="9" s="1"/>
  <c r="J24" i="9"/>
  <c r="J23" i="9" l="1"/>
  <c r="K22" i="9" s="1"/>
  <c r="K24" i="9"/>
  <c r="L24" i="9" l="1"/>
  <c r="K23" i="9"/>
  <c r="L22" i="9" s="1"/>
  <c r="M24" i="9" l="1"/>
  <c r="M23" i="9" s="1"/>
  <c r="L23" i="9"/>
  <c r="M22" i="9"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<sst xmlns="http://schemas.openxmlformats.org/spreadsheetml/2006/main" count="2189" uniqueCount="638">
  <si>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</si>
  <si>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</si>
  <si>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</si>
  <si>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</si>
  <si>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</si>
  <si>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</si>
  <si>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</si>
  <si>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</si>
  <si>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</si>
  <si>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</si>
  <si>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</si>
  <si>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</si>
  <si>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</si>
  <si>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</si>
  <si>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</si>
  <si>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</si>
  <si>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</si>
  <si>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</si>
  <si>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</si>
  <si>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</si>
  <si>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</si>
  <si>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</si>
  <si>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</si>
  <si>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</si>
  <si>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</si>
  <si>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</si>
  <si>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</si>
  <si>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</si>
  <si>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</si>
  <si>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</si>
  <si>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</si>
  <si>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</si>
  <si>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</si>
  <si>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</si>
  <si>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</si>
  <si>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</si>
  <si>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</si>
  <si>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</si>
  <si>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</si>
  <si>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</si>
  <si>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</si>
  <si>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</si>
  <si>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</si>
  <si>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</si>
  <si>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</si>
  <si>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</si>
  <si>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</si>
  <si>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</si>
  <si>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</si>
  <si>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</si>
  <si>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</si>
  <si>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</si>
  <si>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</si>
  <si>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</si>
  <si>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</si>
  <si>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</si>
  <si>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</si>
  <si>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</si>
  <si>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</si>
  <si>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</si>
  <si>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</si>
  <si>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</si>
  <si>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</si>
  <si>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</si>
  <si>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</si>
  <si>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</si>
  <si>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</si>
  <si>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</si>
  <si>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</si>
  <si>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</si>
  <si>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</si>
  <si>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</si>
  <si>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</si>
  <si>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</si>
  <si>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</si>
  <si>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</si>
  <si>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</si>
  <si>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</si>
  <si>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</si>
  <si>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</si>
  <si>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</si>
  <si>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</si>
  <si>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</si>
  <si>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</si>
  <si>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</si>
  <si>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</si>
  <si>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</si>
  <si>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</si>
  <si>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</si>
  <si>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</si>
  <si>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</si>
  <si>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</si>
  <si>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</si>
  <si>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</si>
  <si>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</si>
  <si>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</si>
  <si>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</si>
  <si>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</si>
  <si>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</si>
  <si>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</si>
  <si>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</si>
  <si>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</si>
  <si>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</si>
  <si>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</si>
  <si>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</si>
  <si>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</si>
  <si>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</si>
  <si>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</si>
  <si>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</si>
  <si>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</si>
  <si>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</si>
  <si>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</si>
  <si>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</si>
  <si>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</si>
  <si>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</si>
  <si>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</si>
  <si>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</si>
  <si>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</si>
  <si>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</si>
  <si>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</si>
  <si>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</si>
  <si>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</si>
  <si>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</si>
  <si>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</si>
  <si>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</si>
  <si>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</si>
  <si>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</si>
  <si>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</si>
  <si>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</si>
  <si>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</si>
  <si>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</si>
  <si>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</si>
  <si>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</si>
  <si>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</si>
  <si>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</si>
  <si>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</si>
  <si>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</si>
  <si>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</si>
  <si>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</si>
  <si>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</si>
  <si>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</si>
  <si>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</si>
  <si>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</si>
  <si>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</si>
  <si>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</si>
  <si>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</si>
  <si>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</si>
  <si>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</si>
  <si>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</si>
  <si>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</si>
  <si>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</si>
  <si>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</si>
  <si>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</si>
  <si>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</si>
  <si>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</si>
  <si>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</si>
  <si>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</si>
  <si>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</si>
  <si>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</si>
  <si>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</si>
  <si>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</si>
  <si>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</si>
  <si>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</si>
  <si>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</si>
  <si>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</si>
  <si>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</si>
  <si>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</si>
  <si>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</si>
  <si>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</si>
  <si>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</si>
  <si>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</si>
  <si>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</si>
  <si>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</si>
  <si>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</si>
  <si>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</si>
  <si>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</si>
  <si>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</si>
  <si>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</si>
  <si>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</si>
  <si>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</si>
  <si>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</si>
  <si>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</si>
  <si>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</si>
  <si>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</si>
  <si>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</si>
  <si>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</si>
  <si>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</si>
  <si>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</si>
  <si>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</si>
  <si>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</si>
  <si>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</si>
  <si>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</si>
  <si>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</si>
  <si>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</si>
  <si>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</si>
  <si>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</si>
  <si>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</si>
  <si>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</si>
  <si>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</si>
  <si>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</si>
  <si>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</si>
  <si>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</si>
  <si>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</si>
  <si>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</si>
  <si>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</si>
  <si>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</si>
  <si>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</si>
  <si>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</si>
  <si>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</si>
  <si>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</si>
  <si>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</si>
  <si>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</si>
  <si>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</si>
  <si>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</si>
  <si>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</si>
  <si>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</si>
  <si>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</si>
  <si>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</si>
  <si>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</si>
  <si>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</si>
  <si>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</si>
  <si>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</si>
  <si>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</si>
  <si>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</si>
  <si>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</si>
  <si>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</si>
  <si>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</si>
  <si>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</si>
  <si>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</si>
  <si>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</si>
  <si>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</si>
  <si>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</si>
  <si>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</si>
  <si>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</si>
  <si>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</si>
  <si>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</si>
  <si>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</si>
  <si>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</si>
  <si>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</si>
  <si>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</si>
  <si>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</si>
  <si>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</si>
  <si>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</si>
  <si>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</si>
  <si>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</si>
  <si>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</si>
  <si>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</si>
  <si>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</si>
  <si>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</si>
  <si>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</si>
  <si>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</si>
  <si>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</si>
  <si>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</si>
  <si>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</si>
  <si>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</si>
  <si>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</si>
  <si>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</si>
  <si>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</si>
  <si>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</si>
  <si>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</si>
  <si>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</si>
  <si>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</si>
  <si>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</si>
  <si>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</si>
  <si>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</si>
  <si>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</si>
  <si>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</si>
  <si>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</si>
  <si>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</si>
  <si>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</si>
  <si>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</si>
  <si>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</si>
  <si>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</si>
  <si>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</si>
  <si>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</si>
  <si>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</si>
  <si>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</si>
  <si>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</si>
  <si>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</si>
  <si>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</si>
  <si>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</si>
  <si>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</si>
  <si>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</si>
  <si>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</si>
  <si>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</si>
  <si>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</si>
  <si>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</si>
  <si>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</si>
  <si>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</si>
  <si>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</si>
  <si>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</si>
  <si>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</si>
  <si>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</si>
  <si>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</si>
  <si>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</si>
  <si>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</si>
  <si>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</si>
  <si>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</si>
  <si>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</si>
  <si>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</si>
  <si>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</si>
  <si>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</si>
  <si>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</si>
  <si>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</si>
  <si>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</si>
  <si>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</si>
  <si>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</si>
  <si>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</si>
  <si>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</si>
  <si>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</si>
  <si>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</si>
  <si>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</si>
  <si>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</si>
  <si>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</si>
  <si>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</si>
  <si>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</si>
  <si>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</si>
  <si>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</si>
  <si>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</si>
  <si>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</si>
  <si>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</si>
  <si>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</si>
  <si>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</si>
  <si>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</si>
  <si>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</si>
  <si>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</si>
  <si>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</si>
  <si>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</si>
  <si>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</si>
  <si>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</si>
  <si>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</si>
  <si>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</si>
  <si>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</si>
  <si>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</si>
  <si>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</si>
  <si>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</si>
  <si>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</si>
  <si>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</si>
  <si>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</si>
  <si>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</si>
  <si>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</si>
  <si>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</si>
  <si>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</si>
  <si>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</si>
  <si>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</si>
  <si>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</si>
  <si>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</si>
  <si>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</si>
  <si>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</si>
  <si>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</si>
  <si>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</si>
  <si>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</si>
  <si>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</si>
  <si>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</si>
  <si>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</si>
  <si>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</si>
  <si>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</si>
  <si>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</si>
  <si>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</si>
  <si>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</si>
  <si>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</si>
  <si>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</si>
  <si>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</si>
  <si>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</si>
  <si>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</si>
  <si>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</si>
  <si>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</si>
  <si>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</si>
  <si>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</si>
  <si>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</si>
  <si>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</si>
  <si>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</si>
  <si>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</si>
  <si>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</si>
  <si>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</si>
  <si>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</si>
  <si>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</si>
  <si>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</si>
  <si>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</si>
  <si>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</si>
  <si>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</si>
  <si>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</si>
  <si>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</si>
  <si>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</si>
  <si>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</si>
  <si>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</si>
  <si>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</si>
  <si>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</si>
  <si>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</si>
  <si>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</si>
  <si>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</si>
  <si>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</si>
  <si>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</si>
  <si>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</si>
  <si>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</si>
  <si>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</si>
  <si>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</si>
  <si>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</si>
  <si>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</si>
  <si>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</si>
  <si>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</si>
  <si>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</si>
  <si>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</si>
  <si>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</si>
  <si>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</si>
  <si>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</si>
  <si>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</si>
  <si>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</si>
  <si>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</si>
  <si>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</si>
  <si>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</si>
  <si>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</si>
  <si>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</si>
  <si>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</si>
  <si>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</si>
  <si>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</si>
  <si>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</si>
  <si>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</si>
  <si>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</si>
  <si>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</si>
  <si>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</si>
  <si>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</si>
  <si>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</si>
  <si>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</si>
  <si>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</si>
  <si>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</si>
  <si>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</si>
  <si>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</si>
  <si>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</si>
  <si>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</si>
  <si>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</si>
  <si>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</si>
  <si>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</si>
  <si>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</si>
  <si>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</si>
  <si>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</si>
  <si>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</si>
  <si>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</si>
  <si>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</si>
  <si>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</si>
  <si>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</si>
  <si>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</si>
  <si>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</si>
  <si>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</si>
  <si>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</si>
  <si>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</si>
  <si>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</si>
  <si>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</si>
  <si>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</si>
  <si>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</si>
  <si>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</si>
  <si>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</si>
  <si>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</si>
  <si>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</si>
  <si>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</si>
  <si>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</si>
  <si>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</si>
  <si>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</si>
  <si>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</si>
  <si>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</si>
  <si>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</si>
  <si>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</si>
  <si>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</si>
  <si>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</si>
  <si>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</si>
  <si>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</si>
  <si>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</si>
  <si>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</si>
  <si>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</si>
  <si>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</si>
  <si>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</si>
  <si>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</si>
  <si>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</si>
  <si>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</si>
  <si>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</si>
  <si>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</si>
  <si>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</si>
  <si>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</si>
  <si>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</si>
  <si>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</si>
  <si>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</si>
  <si>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</si>
  <si>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</si>
  <si>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</si>
  <si>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</si>
  <si>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</si>
  <si>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</si>
  <si>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</si>
  <si>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</si>
  <si>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</si>
  <si>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</si>
  <si>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</si>
  <si>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</si>
  <si>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</si>
  <si>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</si>
  <si>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</si>
  <si>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</si>
  <si>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</si>
  <si>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</si>
  <si>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</si>
  <si>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</si>
  <si>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</si>
  <si>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</si>
  <si>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</si>
  <si>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</si>
  <si>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</si>
  <si>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</si>
  <si>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</si>
  <si>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</si>
  <si>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</si>
  <si>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</si>
  <si>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</si>
  <si>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</si>
  <si>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</si>
  <si>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</si>
  <si>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</si>
  <si>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</si>
  <si>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</si>
  <si>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</si>
  <si>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</si>
  <si>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</si>
  <si>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</si>
  <si>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</si>
  <si>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</si>
  <si>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</si>
  <si>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</si>
  <si>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</si>
  <si>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</si>
  <si>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</si>
  <si>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</si>
  <si>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</si>
  <si>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</si>
  <si>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</si>
  <si>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</si>
  <si>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</si>
  <si>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</si>
  <si>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</si>
  <si>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</si>
  <si>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</si>
  <si>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</si>
  <si>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</si>
  <si>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</si>
  <si>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</si>
  <si>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</si>
  <si>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</si>
  <si>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</si>
  <si>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</si>
  <si>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</si>
  <si>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</si>
  <si>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</si>
  <si>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</si>
  <si>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</si>
  <si>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</si>
  <si>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</si>
  <si>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</si>
  <si>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</si>
  <si>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</si>
  <si>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</si>
  <si>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</si>
  <si>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</si>
  <si>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</si>
  <si>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</si>
  <si>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</si>
  <si>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</si>
  <si>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</si>
  <si>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</si>
  <si>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</si>
  <si>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</si>
  <si>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</si>
  <si>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</si>
  <si>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</si>
  <si>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</si>
  <si>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</si>
  <si>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</si>
  <si>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</si>
  <si>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</si>
  <si>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</si>
  <si>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</si>
  <si>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</si>
  <si>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</si>
  <si>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</si>
  <si>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</si>
  <si>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</si>
  <si>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</si>
  <si>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</si>
  <si>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</si>
  <si>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</si>
  <si>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</si>
  <si>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</si>
  <si>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</si>
  <si>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</si>
  <si>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</si>
  <si>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</si>
  <si>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</si>
  <si>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</si>
  <si>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</si>
  <si>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</si>
  <si>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</si>
  <si>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</si>
  <si>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</si>
  <si>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</si>
  <si>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</si>
  <si>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</si>
  <si>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</si>
  <si>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</si>
  <si>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</si>
  <si>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</si>
  <si>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</si>
  <si>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</si>
  <si>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</si>
  <si>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</si>
  <si>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</si>
  <si>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</si>
  <si>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</si>
  <si>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</si>
  <si>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</si>
  <si>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</si>
  <si>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</si>
  <si>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</si>
  <si>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</si>
  <si>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</si>
  <si>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</si>
  <si>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</si>
  <si>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</si>
  <si>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</si>
  <si>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</si>
  <si>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</si>
  <si>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</si>
  <si>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</si>
  <si>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t>New HDS Utility Service for FTW 336A- Aircraft Parts Storage</t>
  </si>
  <si>
    <t>RFP № FWA-09-021</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</si>
  <si>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</si>
  <si>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None</t>
  </si>
  <si>
    <t>Engineering Design Only</t>
  </si>
  <si>
    <t>Increase due to construction contract modification driven by enlarged vault and contaminated soil.</t>
  </si>
  <si>
    <t>FTW-336A Aircraft Storage</t>
  </si>
  <si>
    <t>Wily Splain</t>
  </si>
  <si>
    <t>J101397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</si>
</sst>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
      <sz val="10"/>
      <name val="Arial"/>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44" fontId="28" fillId="0" borderId="0" applyFont="0" applyFill="0" applyBorder="0" applyAlignment="0" applyProtection="0"/>
  </cellStyleXfs>
  <cellXfs count="125">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165" fontId="0" fillId="0" borderId="0" xfId="0" applyNumberFormat="1"/>
    <xf numFmtId="44" fontId="0" fillId="0" borderId="0" xfId="4" applyFon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xf numFmtId="43" fontId="0" fillId="2" borderId="0" xfId="0" applyNumberFormat="1" applyFill="1"/>
  </cellXfs>
  <cellStyles count="5">
    <cellStyle name="Comma" xfId="1" builtinId="3"/>
    <cellStyle name="Currency" xfId="2" builtinId="4"/>
    <cellStyle name="Currency 2" xf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Drop" dropStyle="combo" dx="16" fmlaLink="B14" fmlaRange="'form picklists'!$A$2:$A$6" noThreeD="1" sel="5" val="0"/>
</file>

<file path=xl/ctrlProps/ctrlProp2.xml><?xml version="1.0" encoding="utf-8"?>
<formControlPr xmlns="http://schemas.microsoft.com/office/spreadsheetml/2009/9/main" objectType="Drop" dropStyle="combo" dx="16" fmlaRange="'form picklists'!$E$2:$E$8" noThreeD="1" sel="3" val="0"/>
</file>

<file path=xl/ctrlProps/ctrlProp3.xml><?xml version="1.0" encoding="utf-8"?>
<formControlPr xmlns="http://schemas.microsoft.com/office/spreadsheetml/2009/9/main" objectType="Drop" dropStyle="combo" dx="16" fmlaLink="E14" fmlaRange="'form picklists'!$C$2:$C$8" noThreeD="1" sel="2" val="0"/>
</file>

<file path=xl/ctrlProps/ctrlProp4.xml><?xml version="1.0" encoding="utf-8"?>
<formControlPr xmlns="http://schemas.microsoft.com/office/spreadsheetml/2009/9/main" objectType="Drop" dropStyle="combo" dx="16" fmlaRange="'form picklists'!$G$2:$G$260" noThreeD="1" sel="16" val="15"/>
</file>

<file path=xl/ctrlProps/ctrlProp5.xml><?xml version="1.0" encoding="utf-8"?>
<formControlPr xmlns="http://schemas.microsoft.com/office/spreadsheetml/2009/9/main" objectType="Drop" dropStyle="combo" dx="16" fmlaRange="'form picklists'!$G$2:$G$260" noThreeD="1" sel="13" val="8"/>
</file>

<file path=xl/ctrlProps/ctrlProp6.xml><?xml version="1.0" encoding="utf-8"?>
<formControlPr xmlns="http://schemas.microsoft.com/office/spreadsheetml/2009/9/main" objectType="Drop" dropStyle="combo" dx="16" fmlaRange="'form picklists'!$G$2:$G$260" noThreeD="1" sel="0" val="0"/>
</file>

<file path=xl/ctrlProps/ctrlProp7.xml><?xml version="1.0" encoding="utf-8"?>
<formControlPr xmlns="http://schemas.microsoft.com/office/spreadsheetml/2009/9/main" objectType="Drop" dropStyle="combo" dx="16" fmlaRange="'form picklists'!$G$2:$G$260" noThreeD="1" sel="0" val="0"/>
</file>

<file path=xl/ctrlProps/ctrlProp8.xml><?xml version="1.0" encoding="utf-8"?>
<formControlPr xmlns="http://schemas.microsoft.com/office/spreadsheetml/2009/9/main" objectType="Drop" dropStyle="combo" dx="16" fmlaRange="'form picklists'!$G$2:$G$260" noThreeD="1" sel="0" val="0"/>
</file>

<file path=xl/ctrlProps/ctrlProp9.xml><?xml version="1.0" encoding="utf-8"?>
<formControlPr xmlns="http://schemas.microsoft.com/office/spreadsheetml/2009/9/main" objectType="Drop" dropStyle="combo" dx="16" fmlaRange="'form picklists'!$K$2:$K$4" noThreeD="1" sel="2" val="0"/>
</file>

<file path=xl/ctrlProps/ctrlProp10.xml><?xml version="1.0" encoding="utf-8"?>
<formControlPr xmlns="http://schemas.microsoft.com/office/spreadsheetml/2009/9/main" objectType="Drop" dropStyle="combo" dx="16" fmlaRange="'form picklists'!$M$2:$M$4" noThreeD="1" sel="3" val="0"/>
</file>

<file path=xl/ctrlProps/ctrlProp11.xml><?xml version="1.0" encoding="utf-8"?>
<formControlPr xmlns="http://schemas.microsoft.com/office/spreadsheetml/2009/9/main" objectType="Drop" dropStyle="combo" dx="16" fmlaLink="B14" fmlaRange="'form picklists'!$A$2:$A$6" noThreeD="1" sel="5" val="0"/>
</file>

<file path=xl/ctrlProps/ctrlProp12.xml><?xml version="1.0" encoding="utf-8"?>
<formControlPr xmlns="http://schemas.microsoft.com/office/spreadsheetml/2009/9/main" objectType="Drop" dropStyle="combo" dx="16" fmlaRange="'form picklists'!$E$2:$E$8" noThreeD="1" sel="3" val="0"/>
</file>

<file path=xl/ctrlProps/ctrlProp13.xml><?xml version="1.0" encoding="utf-8"?>
<formControlPr xmlns="http://schemas.microsoft.com/office/spreadsheetml/2009/9/main" objectType="Drop" dropStyle="combo" dx="16" fmlaLink="E14" fmlaRange="'form picklists'!$C$2:$C$8" noThreeD="1" sel="2" val="0"/>
</file>

<file path=xl/ctrlProps/ctrlProp14.xml><?xml version="1.0" encoding="utf-8"?>
<formControlPr xmlns="http://schemas.microsoft.com/office/spreadsheetml/2009/9/main" objectType="Drop" dropStyle="combo" dx="16" fmlaRange="'form picklists'!$G$2:$G$260" noThreeD="1" sel="13" val="11"/>
</file>

<file path=xl/ctrlProps/ctrlProp15.xml><?xml version="1.0" encoding="utf-8"?>
<formControlPr xmlns="http://schemas.microsoft.com/office/spreadsheetml/2009/9/main" objectType="Drop" dropStyle="combo" dx="16" fmlaRange="'form picklists'!$G$2:$G$260" noThreeD="1" sel="16" val="8"/>
</file>

<file path=xl/ctrlProps/ctrlProp16.xml><?xml version="1.0" encoding="utf-8"?>
<formControlPr xmlns="http://schemas.microsoft.com/office/spreadsheetml/2009/9/main" objectType="Drop" dropStyle="combo" dx="16" fmlaRange="'form picklists'!$G$2:$G$260" noThreeD="1" sel="0" val="0"/>
</file>

<file path=xl/ctrlProps/ctrlProp17.xml><?xml version="1.0" encoding="utf-8"?>
<formControlPr xmlns="http://schemas.microsoft.com/office/spreadsheetml/2009/9/main" objectType="Drop" dropStyle="combo" dx="16" fmlaRange="'form picklists'!$G$2:$G$260" noThreeD="1" sel="0" val="0"/>
</file>

<file path=xl/ctrlProps/ctrlProp18.xml><?xml version="1.0" encoding="utf-8"?>
<formControlPr xmlns="http://schemas.microsoft.com/office/spreadsheetml/2009/9/main" objectType="Drop" dropStyle="combo" dx="16" fmlaRange="'form picklists'!$G$2:$G$260" noThreeD="1" sel="0" val="0"/>
</file>

<file path=xl/ctrlProps/ctrlProp19.xml><?xml version="1.0" encoding="utf-8"?>
<formControlPr xmlns="http://schemas.microsoft.com/office/spreadsheetml/2009/9/main" objectType="Drop" dropStyle="combo" dx="16" fmlaRange="'form picklists'!$K$2:$K$4" noThreeD="1" sel="0" val="0"/>
</file>

<file path=xl/ctrlProps/ctrlProp20.xml><?xml version="1.0" encoding="utf-8"?>
<formControlPr xmlns="http://schemas.microsoft.com/office/spreadsheetml/2009/9/main" objectType="Drop" dropStyle="combo" dx="16" fmlaLink="B14" fmlaRange="'form picklists'!$A$2:$A$6" noThreeD="1" val="0"/>
</file>

<file path=xl/ctrlProps/ctrlProp21.xml><?xml version="1.0" encoding="utf-8"?>
<formControlPr xmlns="http://schemas.microsoft.com/office/spreadsheetml/2009/9/main" objectType="Drop" dropStyle="combo" dx="16" fmlaRange="'form picklists'!$E$2:$E$8" noThreeD="1" val="0"/>
</file>

<file path=xl/ctrlProps/ctrlProp22.xml><?xml version="1.0" encoding="utf-8"?>
<formControlPr xmlns="http://schemas.microsoft.com/office/spreadsheetml/2009/9/main" objectType="Drop" dropStyle="combo" dx="16" fmlaLink="E14" fmlaRange="'form picklists'!$C$2:$C$8" noThreeD="1" val="0"/>
</file>

<file path=xl/ctrlProps/ctrlProp23.xml><?xml version="1.0" encoding="utf-8"?>
<formControlPr xmlns="http://schemas.microsoft.com/office/spreadsheetml/2009/9/main" objectType="Drop" dropStyle="combo" dx="16" fmlaRange="'form picklists'!$G$2:$G$260" noThreeD="1" val="0"/>
</file>

<file path=xl/ctrlProps/ctrlProp24.xml><?xml version="1.0" encoding="utf-8"?>
<formControlPr xmlns="http://schemas.microsoft.com/office/spreadsheetml/2009/9/main" objectType="Drop" dropStyle="combo" dx="16" fmlaRange="'form picklists'!$G$2:$G$216" noThreeD="1" sel="0" val="0"/>
</file>

<file path=xl/ctrlProps/ctrlProp25.xml><?xml version="1.0" encoding="utf-8"?>
<formControlPr xmlns="http://schemas.microsoft.com/office/spreadsheetml/2009/9/main" objectType="Drop" dropStyle="combo" dx="16" fmlaRange="'form picklists'!$G$2:$G$216" noThreeD="1" sel="0" val="0"/>
</file>

<file path=xl/ctrlProps/ctrlProp26.xml><?xml version="1.0" encoding="utf-8"?>
<formControlPr xmlns="http://schemas.microsoft.com/office/spreadsheetml/2009/9/main" objectType="Drop" dropStyle="combo" dx="16" fmlaRange="'form picklists'!$G$2:$G$216" noThreeD="1" sel="0" val="0"/>
</file>

<file path=xl/ctrlProps/ctrlProp27.xml><?xml version="1.0" encoding="utf-8"?>
<formControlPr xmlns="http://schemas.microsoft.com/office/spreadsheetml/2009/9/main" objectType="Drop" dropStyle="combo" dx="16" fmlaRange="'form picklists'!$G$2:$G$216" noThreeD="1" sel="0" val="0"/>
</file>

<file path=xl/ctrlProps/ctrlProp28.xml><?xml version="1.0" encoding="utf-8"?>
<formControlPr xmlns="http://schemas.microsoft.com/office/spreadsheetml/2009/9/main" objectType="Drop" dropStyle="combo" dx="16" fmlaRange="'form picklists'!$G$2:$G$260" noThreeD="1" val="0"/>
</file>

<file path=xl/ctrlProps/ctrlProp29.xml><?xml version="1.0" encoding="utf-8"?>
<formControlPr xmlns="http://schemas.microsoft.com/office/spreadsheetml/2009/9/main" objectType="Drop" dropStyle="combo" dx="16" fmlaRange="'form picklists'!$G$2:$G$260" noThreeD="1" val="0"/>
</file>

<file path=xl/ctrlProps/ctrlProp30.xml><?xml version="1.0" encoding="utf-8"?>
<formControlPr xmlns="http://schemas.microsoft.com/office/spreadsheetml/2009/9/main" objectType="Drop" dropStyle="combo" dx="16" fmlaRange="'form picklists'!$G$2:$G$260" noThreeD="1" val="0"/>
</file>

<file path=xl/ctrlProps/ctrlProp31.xml><?xml version="1.0" encoding="utf-8"?>
<formControlPr xmlns="http://schemas.microsoft.com/office/spreadsheetml/2009/9/main" objectType="Drop" dropStyle="combo" dx="16" fmlaRange="'form picklists'!$G$2:$G$260" noThreeD="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3"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4"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4"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2053" name="Drop Down 5" hidden="1">
              <a:extLst>
                <a:ext uri="{63B3BB69-23CF-44E3-9099-C40C66FF867C}">
                  <a14:compatExt spid="_x0000_s2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2055" name="Drop Down 7"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2056" name="Drop Down 8"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28575</xdr:rowOff>
        </xdr:from>
        <xdr:to>
          <xdr:col>2</xdr:col>
          <xdr:colOff>38100</xdr:colOff>
          <xdr:row>20</xdr:row>
          <xdr:rowOff>228600</xdr:rowOff>
        </xdr:to>
        <xdr:sp macro="" textlink="">
          <xdr:nvSpPr>
            <xdr:cNvPr id="2058" name="Drop Down 10" hidden="1">
              <a:extLst>
                <a:ext uri="{63B3BB69-23CF-44E3-9099-C40C66FF867C}">
                  <a14:compatExt spid="_x0000_s2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2060" name="Drop Down 12" hidden="1">
              <a:extLst>
                <a:ext uri="{63B3BB69-23CF-44E3-9099-C40C66FF867C}">
                  <a14:compatExt spid="_x0000_s2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2061" name="Drop Down 13" hidden="1">
              <a:extLst>
                <a:ext uri="{63B3BB69-23CF-44E3-9099-C40C66FF867C}">
                  <a14:compatExt spid="_x0000_s2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2062" name="Drop Down 14" hidden="1">
              <a:extLst>
                <a:ext uri="{63B3BB69-23CF-44E3-9099-C40C66FF867C}">
                  <a14:compatExt spid="_x0000_s2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2063" name="Drop Down 15" hidden="1">
              <a:extLst>
                <a:ext uri="{63B3BB69-23CF-44E3-9099-C40C66FF867C}">
                  <a14:compatExt spid="_x0000_s2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28</xdr:row>
          <xdr:rowOff>28575</xdr:rowOff>
        </xdr:from>
        <xdr:to>
          <xdr:col>2</xdr:col>
          <xdr:colOff>38100</xdr:colOff>
          <xdr:row>28</xdr:row>
          <xdr:rowOff>228600</xdr:rowOff>
        </xdr:to>
        <xdr:sp macro="" textlink="">
          <xdr:nvSpPr>
            <xdr:cNvPr id="2064" name="Drop Down 16" hidden="1">
              <a:extLst>
                <a:ext uri="{63B3BB69-23CF-44E3-9099-C40C66FF867C}">
                  <a14:compatExt spid="_x0000_s2064"/>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5</xdr:row>
          <xdr:rowOff>28575</xdr:rowOff>
        </xdr:from>
        <xdr:to>
          <xdr:col>1</xdr:col>
          <xdr:colOff>657225</xdr:colOff>
          <xdr:row>6</xdr:row>
          <xdr:rowOff>0</xdr:rowOff>
        </xdr:to>
        <xdr:sp macro="" textlink="">
          <xdr:nvSpPr>
            <xdr:cNvPr id="5123" name="Drop Down 3" hidden="1">
              <a:extLst>
                <a:ext uri="{63B3BB69-23CF-44E3-9099-C40C66FF867C}">
                  <a14:compatExt spid="_x0000_s5123"/>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3"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6146" name="Drop Down 2" hidden="1">
              <a:extLst>
                <a:ext uri="{63B3BB69-23CF-44E3-9099-C40C66FF867C}">
                  <a14:compatExt spid="_x0000_s6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6147" name="Drop Down 3" hidden="1">
              <a:extLst>
                <a:ext uri="{63B3BB69-23CF-44E3-9099-C40C66FF867C}">
                  <a14:compatExt spid="_x0000_s6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6148" name="Drop Down 4" hidden="1">
              <a:extLst>
                <a:ext uri="{63B3BB69-23CF-44E3-9099-C40C66FF867C}">
                  <a14:compatExt spid="_x0000_s6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28575</xdr:rowOff>
        </xdr:from>
        <xdr:to>
          <xdr:col>2</xdr:col>
          <xdr:colOff>38100</xdr:colOff>
          <xdr:row>20</xdr:row>
          <xdr:rowOff>228600</xdr:rowOff>
        </xdr:to>
        <xdr:sp macro="" textlink="">
          <xdr:nvSpPr>
            <xdr:cNvPr id="6149" name="Drop Down 5" hidden="1">
              <a:extLst>
                <a:ext uri="{63B3BB69-23CF-44E3-9099-C40C66FF867C}">
                  <a14:compatExt spid="_x0000_s6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6150" name="Drop Down 6" hidden="1">
              <a:extLst>
                <a:ext uri="{63B3BB69-23CF-44E3-9099-C40C66FF867C}">
                  <a14:compatExt spid="_x0000_s6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6151" name="Drop Down 7" hidden="1">
              <a:extLst>
                <a:ext uri="{63B3BB69-23CF-44E3-9099-C40C66FF867C}">
                  <a14:compatExt spid="_x0000_s6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6152" name="Drop Down 8" hidden="1">
              <a:extLst>
                <a:ext uri="{63B3BB69-23CF-44E3-9099-C40C66FF867C}">
                  <a14:compatExt spid="_x0000_s6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6153" name="Drop Down 9" hidden="1">
              <a:extLst>
                <a:ext uri="{63B3BB69-23CF-44E3-9099-C40C66FF867C}">
                  <a14:compatExt spid="_x0000_s6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28</xdr:row>
          <xdr:rowOff>28575</xdr:rowOff>
        </xdr:from>
        <xdr:to>
          <xdr:col>2</xdr:col>
          <xdr:colOff>38100</xdr:colOff>
          <xdr:row>28</xdr:row>
          <xdr:rowOff>228600</xdr:rowOff>
        </xdr:to>
        <xdr:sp macro="" textlink="">
          <xdr:nvSpPr>
            <xdr:cNvPr id="6154" name="Drop Down 10" hidden="1">
              <a:extLst>
                <a:ext uri="{63B3BB69-23CF-44E3-9099-C40C66FF867C}">
                  <a14:compatExt spid="_x0000_s6154"/>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8194" name="Drop Down 2" hidden="1">
              <a:extLst>
                <a:ext uri="{63B3BB69-23CF-44E3-9099-C40C66FF867C}">
                  <a14:compatExt spid="_x0000_s8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8195" name="Drop Down 3" hidden="1">
              <a:extLst>
                <a:ext uri="{63B3BB69-23CF-44E3-9099-C40C66FF867C}">
                  <a14:compatExt spid="_x0000_s8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8196" name="Drop Down 4" hidden="1">
              <a:extLst>
                <a:ext uri="{63B3BB69-23CF-44E3-9099-C40C66FF867C}">
                  <a14:compatExt spid="_x0000_s8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8197" name="Drop Down 5" hidden="1">
              <a:extLst>
                <a:ext uri="{63B3BB69-23CF-44E3-9099-C40C66FF867C}">
                  <a14:compatExt spid="_x0000_s8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8198" name="Drop Down 6" hidden="1">
              <a:extLst>
                <a:ext uri="{63B3BB69-23CF-44E3-9099-C40C66FF867C}">
                  <a14:compatExt spid="_x0000_s8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8199" name="Drop Down 7" hidden="1">
              <a:extLst>
                <a:ext uri="{63B3BB69-23CF-44E3-9099-C40C66FF867C}">
                  <a14:compatExt spid="_x0000_s8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8200" name="Drop Down 8" hidden="1">
              <a:extLst>
                <a:ext uri="{63B3BB69-23CF-44E3-9099-C40C66FF867C}">
                  <a14:compatExt spid="_x0000_s8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25</xdr:row>
          <xdr:rowOff>28575</xdr:rowOff>
        </xdr:from>
        <xdr:to>
          <xdr:col>2</xdr:col>
          <xdr:colOff>38100</xdr:colOff>
          <xdr:row>25</xdr:row>
          <xdr:rowOff>228600</xdr:rowOff>
        </xdr:to>
        <xdr:sp macro="" textlink="">
          <xdr:nvSpPr>
            <xdr:cNvPr id="8201" name="Drop Down 9" hidden="1">
              <a:extLst>
                <a:ext uri="{63B3BB69-23CF-44E3-9099-C40C66FF867C}">
                  <a14:compatExt spid="_x0000_s8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8203" name="Drop Down 11" hidden="1">
              <a:extLst>
                <a:ext uri="{63B3BB69-23CF-44E3-9099-C40C66FF867C}">
                  <a14:compatExt spid="_x0000_s8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8204" name="Drop Down 12" hidden="1">
              <a:extLst>
                <a:ext uri="{63B3BB69-23CF-44E3-9099-C40C66FF867C}">
                  <a14:compatExt spid="_x0000_s8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8205" name="Drop Down 13" hidden="1">
              <a:extLst>
                <a:ext uri="{63B3BB69-23CF-44E3-9099-C40C66FF867C}">
                  <a14:compatExt spid="_x0000_s8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25</xdr:row>
          <xdr:rowOff>28575</xdr:rowOff>
        </xdr:from>
        <xdr:to>
          <xdr:col>2</xdr:col>
          <xdr:colOff>38100</xdr:colOff>
          <xdr:row>25</xdr:row>
          <xdr:rowOff>228600</xdr:rowOff>
        </xdr:to>
        <xdr:sp macro="" textlink="">
          <xdr:nvSpPr>
            <xdr:cNvPr id="8206" name="Drop Down 14" hidden="1">
              <a:extLst>
                <a:ext uri="{63B3BB69-23CF-44E3-9099-C40C66FF867C}">
                  <a14:compatExt spid="_x0000_s8206"/>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10.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vmlDrawing" Target="../drawings/vmlDrawing3.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4.xml"/><Relationship Id="rId13" Type="http://schemas.openxmlformats.org/officeDocument/2006/relationships/ctrlProp" Target="../ctrlProps/ctrlProp29.xml"/><Relationship Id="rId3" Type="http://schemas.openxmlformats.org/officeDocument/2006/relationships/vmlDrawing" Target="../drawings/vmlDrawing4.vml"/><Relationship Id="rId7" Type="http://schemas.openxmlformats.org/officeDocument/2006/relationships/ctrlProp" Target="../ctrlProps/ctrlProp23.xml"/><Relationship Id="rId12" Type="http://schemas.openxmlformats.org/officeDocument/2006/relationships/ctrlProp" Target="../ctrlProps/ctrlProp28.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22.xml"/><Relationship Id="rId11" Type="http://schemas.openxmlformats.org/officeDocument/2006/relationships/ctrlProp" Target="../ctrlProps/ctrlProp27.xml"/><Relationship Id="rId5" Type="http://schemas.openxmlformats.org/officeDocument/2006/relationships/ctrlProp" Target="../ctrlProps/ctrlProp21.xml"/><Relationship Id="rId15" Type="http://schemas.openxmlformats.org/officeDocument/2006/relationships/ctrlProp" Target="../ctrlProps/ctrlProp31.xml"/><Relationship Id="rId10" Type="http://schemas.openxmlformats.org/officeDocument/2006/relationships/ctrlProp" Target="../ctrlProps/ctrlProp26.xml"/><Relationship Id="rId4" Type="http://schemas.openxmlformats.org/officeDocument/2006/relationships/ctrlProp" Target="../ctrlProps/ctrlProp20.xml"/><Relationship Id="rId9" Type="http://schemas.openxmlformats.org/officeDocument/2006/relationships/ctrlProp" Target="../ctrlProps/ctrlProp25.xml"/><Relationship Id="rId14" Type="http://schemas.openxmlformats.org/officeDocument/2006/relationships/ctrlProp" Target="../ctrlProps/ctrlProp30.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50"/>
  </sheetPr>
  <dimension ref="A1:BQ602"/>
  <sheetViews>
    <sheetView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t="s">
        <v>0</v>
      </c>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1</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2</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5">
        <v>40040</v>
      </c>
      <c r="C8" s="115"/>
      <c r="D8" s="115"/>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7" t="s">
        <v>629</v>
      </c>
      <c r="C10" s="117"/>
      <c r="D10" s="117"/>
      <c r="E10" s="117"/>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6" t="s">
        <v>631</v>
      </c>
      <c r="C12" s="116"/>
      <c r="D12" s="116"/>
      <c r="E12" s="116"/>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630</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v>50000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100000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100000</v>
      </c>
      <c r="D27" s="30" t="s">
        <v>391</v>
      </c>
      <c r="E27" s="104">
        <v>100000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0" t="s">
        <v>632</v>
      </c>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t="s">
        <v>633</v>
      </c>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39448</formula>
    </cfRule>
    <cfRule type="cellIs" dxfId="17" priority="5" stopIfTrue="1" operator="equal">
      <formula>39448</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53" r:id="rId4" name="Drop Down 5">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2055" r:id="rId5" name="Drop Down 7">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2056" r:id="rId6" name="Drop Down 8">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2058" r:id="rId7" name="Drop Down 10">
              <controlPr defaultSize="0" autoLine="0" autoPict="0">
                <anchor moveWithCells="1">
                  <from>
                    <xdr:col>1</xdr:col>
                    <xdr:colOff>28575</xdr:colOff>
                    <xdr:row>20</xdr:row>
                    <xdr:rowOff>28575</xdr:rowOff>
                  </from>
                  <to>
                    <xdr:col>2</xdr:col>
                    <xdr:colOff>38100</xdr:colOff>
                    <xdr:row>20</xdr:row>
                    <xdr:rowOff>228600</xdr:rowOff>
                  </to>
                </anchor>
              </controlPr>
            </control>
          </mc:Choice>
        </mc:AlternateContent>
        <mc:AlternateContent xmlns:mc="http://schemas.openxmlformats.org/markup-compatibility/2006">
          <mc:Choice Requires="x14">
            <control shapeId="2060" r:id="rId8" name="Drop Down 12">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2061" r:id="rId9" name="Drop Down 13">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2062" r:id="rId10" name="Drop Down 14">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2063" r:id="rId11" name="Drop Down 15">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2064" r:id="rId12" name="Drop Down 16">
              <controlPr defaultSize="0" autoLine="0" autoPict="0">
                <anchor moveWithCells="1">
                  <from>
                    <xdr:col>1</xdr:col>
                    <xdr:colOff>28575</xdr:colOff>
                    <xdr:row>28</xdr:row>
                    <xdr:rowOff>28575</xdr:rowOff>
                  </from>
                  <to>
                    <xdr:col>2</xdr:col>
                    <xdr:colOff>38100</xdr:colOff>
                    <xdr:row>28</xdr:row>
                    <xdr:rowOff>228600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50"/>
    <pageSetUpPr fitToPage="1"/>
  </sheetPr>
  <dimension ref="A1:N36"/>
  <sheetViews>
    <sheetView topLeftCell="A4" zoomScaleNormal="100" zoomScaleSheetLayoutView="100" workbookViewId="0">
      <selection activeCell="L35" sqref="L35"/>
    </sheetView>
  </sheetViews>
  <sheetFormatPr defaultRowHeight="12.75"/>
  <cols>
    <col min="1" max="1" width="17.85546875" bestFit="1" customWidth="1"/>
    <col min="2" max="14" width="11.7109375" customWidth="1"/>
  </cols>
  <sheetData>
    <row r="1" spans="1:14" s="67" customFormat="1" ht="20.25">
      <c r="A1" s="118" t="s">
        <v>411</v>
      </c>
      <c r="B1" s="118"/>
      <c r="C1" s="66"/>
      <c r="D1" s="66"/>
      <c r="E1" s="66"/>
      <c r="F1" s="66"/>
      <c r="G1" s="66"/>
      <c r="H1" s="66"/>
    </row>
    <row r="2" spans="1:14" s="67" customFormat="1" ht="18" customHeight="1">
      <c r="A2" s="118" t="s">
        <v>428</v>
      </c>
      <c r="B2" s="118"/>
      <c r="C2" s="119" t="str">
        <f>LEFT('Job Initiation Form'!B10,50)</f>
        <v>New HDS Utility Service for FTW 336A- Aircraft Par</v>
      </c>
      <c r="D2" s="119"/>
      <c r="E2" s="119"/>
      <c r="F2" s="119"/>
      <c r="G2" s="119"/>
      <c r="H2" s="119"/>
      <c r="I2" s="119"/>
      <c r="J2" s="119"/>
      <c r="K2" s="119"/>
    </row>
    <row r="3" spans="1:14" s="67" customFormat="1" ht="20.25">
      <c r="A3" s="68" t="s">
        <v>413</v>
      </c>
      <c r="B3" s="69"/>
      <c r="C3" s="119">
        <f>'Job Initiation Form'!E38</f>
        <v>0</v>
      </c>
      <c r="D3" s="119"/>
      <c r="E3" s="119"/>
      <c r="F3" s="119"/>
      <c r="G3" s="119"/>
      <c r="H3" s="119"/>
      <c r="I3" s="119"/>
      <c r="J3" s="119"/>
      <c r="K3" s="119"/>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Central Heating Plant</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116545.42000000001</v>
      </c>
      <c r="H14" s="96">
        <v>116545.42000000001</v>
      </c>
      <c r="I14" s="96">
        <v>116545.42000000001</v>
      </c>
      <c r="J14" s="96">
        <v>116545.42000000001</v>
      </c>
      <c r="K14" s="88">
        <v>0</v>
      </c>
      <c r="L14" s="80">
        <v>0</v>
      </c>
      <c r="M14" s="96">
        <v>0</v>
      </c>
      <c r="N14" s="81">
        <f>SUM(B14:M14)</f>
        <v>466181.68000000005</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116545.42000000001</v>
      </c>
      <c r="H17" s="91">
        <f t="shared" si="1"/>
        <v>116545.42000000001</v>
      </c>
      <c r="I17" s="83">
        <f t="shared" si="1"/>
        <v>116545.42000000001</v>
      </c>
      <c r="J17" s="98">
        <f t="shared" si="1"/>
        <v>116545.42000000001</v>
      </c>
      <c r="K17" s="91">
        <f t="shared" si="1"/>
        <v>0</v>
      </c>
      <c r="L17" s="83">
        <f t="shared" si="1"/>
        <v>0</v>
      </c>
      <c r="M17" s="98">
        <f t="shared" si="1"/>
        <v>0</v>
      </c>
      <c r="N17" s="83">
        <f>SUM(N13:N16)</f>
        <v>466181.68000000005</v>
      </c>
    </row>
    <row r="18" spans="1:14" s="67" customFormat="1" ht="13.5" thickTop="1">
      <c r="A18" s="70"/>
    </row>
    <row r="19" spans="1:14" s="67" customFormat="1">
      <c r="A19" s="70"/>
      <c r="D19" s="84">
        <f>D17+C17+B17</f>
        <v>0</v>
      </c>
      <c r="E19" s="84">
        <f>E17+D17+C17+B17</f>
        <v>0</v>
      </c>
      <c r="F19" s="84">
        <f>F17+E19</f>
        <v>0</v>
      </c>
      <c r="G19" s="84">
        <f t="shared" ref="G19:M19" si="2">G17+F19</f>
        <v>116545.42000000001</v>
      </c>
      <c r="H19" s="84">
        <f t="shared" si="2"/>
        <v>233090.84000000003</v>
      </c>
      <c r="I19" s="84">
        <f t="shared" si="2"/>
        <v>349636.26</v>
      </c>
      <c r="J19" s="84">
        <f t="shared" si="2"/>
        <v>466181.68000000005</v>
      </c>
      <c r="K19" s="84">
        <f t="shared" si="2"/>
        <v>466181.68000000005</v>
      </c>
      <c r="L19" s="84">
        <f t="shared" si="2"/>
        <v>466181.68000000005</v>
      </c>
      <c r="M19" s="84">
        <f t="shared" si="2"/>
        <v>466181.68000000005</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466181.68000000005</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466181.68000000005</v>
      </c>
    </row>
    <row r="30" spans="1:14" s="67" customFormat="1" ht="13.5" thickTop="1">
      <c r="A30" s="70"/>
    </row>
    <row r="31" spans="1:14" s="67" customFormat="1">
      <c r="A31" s="70"/>
      <c r="B31" s="84">
        <f>B29+N17</f>
        <v>466181.68000000005</v>
      </c>
      <c r="C31" s="84">
        <f>C29+B31</f>
        <v>466181.68000000005</v>
      </c>
      <c r="D31" s="84">
        <f>D29+C31</f>
        <v>466181.68000000005</v>
      </c>
      <c r="E31" s="84">
        <f>E29+D31</f>
        <v>466181.68000000005</v>
      </c>
      <c r="F31" s="84">
        <f>F29+E31</f>
        <v>466181.68000000005</v>
      </c>
      <c r="G31" s="84">
        <f t="shared" ref="G31:L31" si="5">G29+F31</f>
        <v>466181.68000000005</v>
      </c>
      <c r="H31" s="84">
        <f t="shared" si="5"/>
        <v>466181.68000000005</v>
      </c>
      <c r="I31" s="84">
        <f t="shared" si="5"/>
        <v>466181.68000000005</v>
      </c>
      <c r="J31" s="84">
        <f t="shared" si="5"/>
        <v>466181.68000000005</v>
      </c>
      <c r="K31" s="84">
        <f t="shared" si="5"/>
        <v>466181.68000000005</v>
      </c>
      <c r="L31" s="84">
        <f t="shared" si="5"/>
        <v>466181.68000000005</v>
      </c>
      <c r="M31" s="84">
        <f>M29+L31</f>
        <v>466181.68000000005</v>
      </c>
    </row>
    <row r="33" spans="1:12">
      <c r="A33" s="62" t="s">
        <v>625</v>
      </c>
    </row>
    <row r="35" spans="1:12">
      <c r="K35" s="106"/>
      <c r="L35">
        <v>466181.68000000005</v>
      </c>
    </row>
    <row r="36" spans="1:12">
      <c r="K36" s="105"/>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3" r:id="rId4" name="Drop Down 3">
              <controlPr defaultSize="0" autoLine="0" autoPict="0">
                <anchor moveWithCells="1">
                  <from>
                    <xdr:col>1</xdr:col>
                    <xdr:colOff>28575</xdr:colOff>
                    <xdr:row>5</xdr:row>
                    <xdr:rowOff>28575</xdr:rowOff>
                  </from>
                  <to>
                    <xdr:col>1</xdr:col>
                    <xdr:colOff>657225</xdr:colOff>
                    <xdr:row>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43"/>
  </sheetPr>
  <dimension ref="A1:BQ602"/>
  <sheetViews>
    <sheetView tabSelected="1" workbookViewId="0">
      <selection activeCell="G12" sqref="G12"/>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7" width="12.85546875" style="10" bestFit="1" customWidth="1"/>
    <col min="8"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412</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443</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v>40606</v>
      </c>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637</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1" t="s">
        <v>635</v>
      </c>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1" t="s">
        <v>634</v>
      </c>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636</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40786</v>
      </c>
      <c r="D19" s="42" t="s">
        <v>389</v>
      </c>
      <c r="E19" s="26">
        <v>40648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v>63768.83</v>
      </c>
      <c r="F21" s="18"/>
      <c r="G21" s="124"/>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v>63728.83</v>
      </c>
      <c r="F22" s="18"/>
      <c r="G22" s="124"/>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127497.66</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-127497.66</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6" r:id="rId4" name="Drop Down 2">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1</xdr:col>
                    <xdr:colOff>28575</xdr:colOff>
                    <xdr:row>20</xdr:row>
                    <xdr:rowOff>28575</xdr:rowOff>
                  </from>
                  <to>
                    <xdr:col>2</xdr:col>
                    <xdr:colOff>38100</xdr:colOff>
                    <xdr:row>20</xdr:row>
                    <xdr:rowOff>228600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1</xdr:col>
                    <xdr:colOff>28575</xdr:colOff>
                    <xdr:row>28</xdr:row>
                    <xdr:rowOff>28575</xdr:rowOff>
                  </from>
                  <to>
                    <xdr:col>2</xdr:col>
                    <xdr:colOff>38100</xdr:colOff>
                    <xdr:row>28</xdr:row>
                    <xdr:rowOff>228600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9"/>
  <sheetViews>
    <sheetView zoomScaleNormal="100" workbookViewId="0">
      <pane xSplit="1" ySplit="1" topLeftCell="B104" activePane="bottomRight" state="frozen"/>
      <selection pane="topRight" activeCell="B1" sqref="B1"/>
      <selection pane="bottomLeft" activeCell="A2" sqref="A2"/>
      <selection pane="bottomRight" activeCell="A124" sqref="A112:A124"/>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10"/>
  </sheetPr>
  <dimension ref="A1:BQ602"/>
  <sheetViews>
    <sheetView topLeftCell="A13"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489</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490</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1"/>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1"/>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2" t="s">
        <v>402</v>
      </c>
      <c r="B30" s="123"/>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4" r:id="rId4" name="Drop Down 2">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8195" r:id="rId5" name="Drop Down 3">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8196" r:id="rId6" name="Drop Down 4">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8197" r:id="rId7" name="Drop Down 5">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8198" r:id="rId8" name="Drop Down 6">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8199" r:id="rId9" name="Drop Down 7">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8200" r:id="rId10" name="Drop Down 8">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8201" r:id="rId11" name="Drop Down 9">
              <controlPr defaultSize="0" autoLine="0" autoPict="0">
                <anchor moveWithCells="1">
                  <from>
                    <xdr:col>1</xdr:col>
                    <xdr:colOff>28575</xdr:colOff>
                    <xdr:row>25</xdr:row>
                    <xdr:rowOff>28575</xdr:rowOff>
                  </from>
                  <to>
                    <xdr:col>2</xdr:col>
                    <xdr:colOff>38100</xdr:colOff>
                    <xdr:row>25</xdr:row>
                    <xdr:rowOff>228600</xdr:rowOff>
                  </to>
                </anchor>
              </controlPr>
            </control>
          </mc:Choice>
        </mc:AlternateContent>
        <mc:AlternateContent xmlns:mc="http://schemas.openxmlformats.org/markup-compatibility/2006">
          <mc:Choice Requires="x14">
            <control shapeId="8203" r:id="rId12" name="Drop Down 11">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8204" r:id="rId13" name="Drop Down 12">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8205" r:id="rId14" name="Drop Down 13">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8206" r:id="rId15" name="Drop Down 14">
              <controlPr defaultSize="0" autoLine="0" autoPict="0">
                <anchor moveWithCells="1">
                  <from>
                    <xdr:col>1</xdr:col>
                    <xdr:colOff>28575</xdr:colOff>
                    <xdr:row>25</xdr:row>
                    <xdr:rowOff>28575</xdr:rowOff>
                  </from>
                  <to>
                    <xdr:col>2</xdr:col>
                    <xdr:colOff>38100</xdr:colOff>
                    <xdr:row>25</xdr:row>
                    <xdr:rowOff>228600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2011-03-04T18:32:03Z</dcterms:modified>
</cp:coreProperties>
</file>