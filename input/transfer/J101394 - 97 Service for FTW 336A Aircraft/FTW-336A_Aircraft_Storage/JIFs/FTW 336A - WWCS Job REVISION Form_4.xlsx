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3.xml" ContentType="application/vnd.openxmlformats-officedocument.drawing+xml"/>
  <Override PartName="/xl/ctrlProps/ctrlProp10.xml" ContentType="application/vnd.ms-excel.controlproperties+xml"/>
  <Override PartName="/xl/drawings/drawing4.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drawings/drawing5.xml" ContentType="application/vnd.openxmlformats-officedocument.drawing+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1080" yWindow="-180" windowWidth="13530" windowHeight="10335" tabRatio="661" activeTab="3"/>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44525"/>
</workbook>
</file>

<file path=xl/calcChain.xml><?xml version="1.0" encoding="utf-8"?>
<calcChain xmlns="http://schemas.openxmlformats.org/spreadsheetml/2006/main">
  <c r="N14" i="9" l="1"/>
  <c r="N26" i="9" s="1"/>
  <c r="N29" i="9" s="1"/>
  <c r="J17" i="9"/>
  <c r="E26" i="1"/>
  <c r="B7" i="9"/>
  <c r="B12" i="9" s="1"/>
  <c r="E27" i="11"/>
  <c r="E28" i="11" s="1"/>
  <c r="C3" i="9"/>
  <c r="B5" i="9"/>
  <c r="B4" i="9"/>
  <c r="C2" i="9"/>
  <c r="F29" i="9"/>
  <c r="C29" i="9"/>
  <c r="M29" i="9"/>
  <c r="L29" i="9"/>
  <c r="K29" i="9"/>
  <c r="J29" i="9"/>
  <c r="I29" i="9"/>
  <c r="H29" i="9"/>
  <c r="G29" i="9"/>
  <c r="E29" i="9"/>
  <c r="D29" i="9"/>
  <c r="B29" i="9"/>
  <c r="B17" i="9"/>
  <c r="C17" i="9"/>
  <c r="D17" i="9"/>
  <c r="E17" i="9"/>
  <c r="F17" i="9"/>
  <c r="G17" i="9"/>
  <c r="I17" i="9"/>
  <c r="K17" i="9"/>
  <c r="L17" i="9"/>
  <c r="M17" i="9"/>
  <c r="B8" i="9"/>
  <c r="E26" i="10"/>
  <c r="E27" i="10" s="1"/>
  <c r="B10" i="9"/>
  <c r="H17" i="9" l="1"/>
  <c r="N17" i="9"/>
  <c r="E19" i="9"/>
  <c r="F19" i="9" s="1"/>
  <c r="G19" i="9" s="1"/>
  <c r="H19" i="9" s="1"/>
  <c r="I19" i="9" s="1"/>
  <c r="J19" i="9" s="1"/>
  <c r="K19" i="9" s="1"/>
  <c r="L19" i="9" s="1"/>
  <c r="M19" i="9" s="1"/>
  <c r="B31" i="9"/>
  <c r="C31" i="9" s="1"/>
  <c r="D31" i="9" s="1"/>
  <c r="E31" i="9" s="1"/>
  <c r="F31" i="9" s="1"/>
  <c r="G31" i="9" s="1"/>
  <c r="H31" i="9" s="1"/>
  <c r="I31" i="9" s="1"/>
  <c r="J31" i="9" s="1"/>
  <c r="K31" i="9" s="1"/>
  <c r="L31" i="9" s="1"/>
  <c r="M31" i="9" s="1"/>
  <c r="D19" i="9"/>
  <c r="C12" i="9"/>
  <c r="C10" i="9"/>
  <c r="B11" i="9"/>
  <c r="C11" i="9" l="1"/>
  <c r="D10" i="9"/>
  <c r="D12" i="9"/>
  <c r="E10" i="9" l="1"/>
  <c r="D11" i="9"/>
  <c r="E12" i="9"/>
  <c r="F10" i="9" l="1"/>
  <c r="E11" i="9"/>
  <c r="F12" i="9"/>
  <c r="G10" i="9" l="1"/>
  <c r="G12" i="9"/>
  <c r="F11" i="9"/>
  <c r="H12" i="9" l="1"/>
  <c r="H10" i="9"/>
  <c r="G11" i="9"/>
  <c r="I12" i="9" l="1"/>
  <c r="H11" i="9"/>
  <c r="I10" i="9"/>
  <c r="J12" i="9" l="1"/>
  <c r="I11" i="9"/>
  <c r="J10" i="9"/>
  <c r="J11" i="9" l="1"/>
  <c r="K10" i="9"/>
  <c r="K12" i="9"/>
  <c r="L10" i="9" l="1"/>
  <c r="L12" i="9"/>
  <c r="K11" i="9"/>
  <c r="M12" i="9" l="1"/>
  <c r="L11" i="9"/>
  <c r="M10" i="9"/>
  <c r="M11" i="9" l="1"/>
  <c r="B24" i="9"/>
  <c r="B22" i="9"/>
  <c r="B23" i="9" l="1"/>
  <c r="C22" i="9" s="1"/>
  <c r="C24" i="9"/>
  <c r="C23" i="9" l="1"/>
  <c r="D22" i="9" s="1"/>
  <c r="D24" i="9"/>
  <c r="D23" i="9" l="1"/>
  <c r="E22" i="9" s="1"/>
  <c r="E24" i="9"/>
  <c r="E23" i="9" l="1"/>
  <c r="F22" i="9" s="1"/>
  <c r="F24" i="9"/>
  <c r="G24" i="9" l="1"/>
  <c r="F23" i="9"/>
  <c r="G22" i="9" s="1"/>
  <c r="G23" i="9" l="1"/>
  <c r="H22" i="9" s="1"/>
  <c r="H24" i="9"/>
  <c r="H23" i="9" l="1"/>
  <c r="I22" i="9" s="1"/>
  <c r="I24" i="9"/>
  <c r="I23" i="9" l="1"/>
  <c r="J22" i="9" s="1"/>
  <c r="J24" i="9"/>
  <c r="J23" i="9" l="1"/>
  <c r="K22" i="9" s="1"/>
  <c r="K24" i="9"/>
  <c r="K23" i="9" l="1"/>
  <c r="L22" i="9" s="1"/>
  <c r="L24" i="9"/>
  <c r="L23" i="9" l="1"/>
  <c r="M22" i="9" s="1"/>
  <c r="M24" i="9"/>
  <c r="M23" i="9" s="1"/>
</calcChain>
</file>

<file path=xl/sharedStrings.xml><?xml version="1.0" encoding="utf-8"?>
<sst xmlns="http://schemas.openxmlformats.org/spreadsheetml/2006/main" count="2189" uniqueCount="638">
  <si>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</si>
  <si>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</si>
  <si>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</si>
  <si>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</si>
  <si>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</si>
  <si>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</si>
  <si>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</si>
  <si>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</si>
  <si>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</si>
  <si>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</si>
  <si>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</si>
  <si>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</si>
  <si>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</si>
  <si>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</si>
  <si>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</si>
  <si>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</si>
  <si>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</si>
  <si>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</si>
  <si>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</si>
  <si>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</si>
  <si>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</si>
  <si>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</si>
  <si>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</si>
  <si>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</si>
  <si>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</si>
  <si>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</si>
  <si>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</si>
  <si>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</si>
  <si>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</si>
  <si>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</si>
  <si>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</si>
  <si>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</si>
  <si>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</si>
  <si>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</si>
  <si>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</si>
  <si>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</si>
  <si>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</si>
  <si>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</si>
  <si>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</si>
  <si>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</si>
  <si>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</si>
  <si>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</si>
  <si>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</si>
  <si>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</si>
  <si>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</si>
  <si>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</si>
  <si>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</si>
  <si>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</si>
  <si>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</si>
  <si>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</si>
  <si>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</si>
  <si>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</si>
  <si>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</si>
  <si>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</si>
  <si>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</si>
  <si>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</si>
  <si>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</si>
  <si>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</si>
  <si>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</si>
  <si>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</si>
  <si>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</si>
  <si>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</si>
  <si>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</si>
  <si>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</si>
  <si>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</si>
  <si>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</si>
  <si>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</si>
  <si>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</si>
  <si>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</si>
  <si>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</si>
  <si>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</si>
  <si>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</si>
  <si>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</si>
  <si>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</si>
  <si>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</si>
  <si>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</si>
  <si>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</si>
  <si>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</si>
  <si>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</si>
  <si>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</si>
  <si>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</si>
  <si>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</si>
  <si>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</si>
  <si>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</si>
  <si>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</si>
  <si>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</si>
  <si>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</si>
  <si>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</si>
  <si>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</si>
  <si>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</si>
  <si>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</si>
  <si>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</si>
  <si>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</si>
  <si>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</si>
  <si>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</si>
  <si>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</si>
  <si>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</si>
  <si>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</si>
  <si>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</si>
  <si>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</si>
  <si>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</si>
  <si>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</si>
  <si>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</si>
  <si>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</si>
  <si>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</si>
  <si>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</si>
  <si>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</si>
  <si>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</si>
  <si>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</si>
  <si>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</si>
  <si>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</si>
  <si>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</si>
  <si>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</si>
  <si>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</si>
  <si>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</si>
  <si>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</si>
  <si>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</si>
  <si>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</si>
  <si>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</si>
  <si>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</si>
  <si>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</si>
  <si>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</si>
  <si>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</si>
  <si>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</si>
  <si>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</si>
  <si>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</si>
  <si>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</si>
  <si>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</si>
  <si>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</si>
  <si>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</si>
  <si>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</si>
  <si>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</si>
  <si>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</si>
  <si>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</si>
  <si>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</si>
  <si>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</si>
  <si>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</si>
  <si>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</si>
  <si>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</si>
  <si>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</si>
  <si>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</si>
  <si>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</si>
  <si>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</si>
  <si>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</si>
  <si>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</si>
  <si>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</si>
  <si>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</si>
  <si>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</si>
  <si>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</si>
  <si>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</si>
  <si>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</si>
  <si>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</si>
  <si>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</si>
  <si>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</si>
  <si>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</si>
  <si>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</si>
  <si>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</si>
  <si>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</si>
  <si>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</si>
  <si>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</si>
  <si>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</si>
  <si>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</si>
  <si>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</si>
  <si>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</si>
  <si>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</si>
  <si>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</si>
  <si>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</si>
  <si>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</si>
  <si>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</si>
  <si>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</si>
  <si>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</si>
  <si>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</si>
  <si>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</si>
  <si>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</si>
  <si>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</si>
  <si>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</si>
  <si>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</si>
  <si>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</si>
  <si>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</si>
  <si>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</si>
  <si>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</si>
  <si>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</si>
  <si>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</si>
  <si>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</si>
  <si>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</si>
  <si>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</si>
  <si>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</si>
  <si>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</si>
  <si>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</si>
  <si>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</si>
  <si>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</si>
  <si>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</si>
  <si>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</si>
  <si>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</si>
  <si>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</si>
  <si>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</si>
  <si>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</si>
  <si>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</si>
  <si>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</si>
  <si>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</si>
  <si>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</si>
  <si>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</si>
  <si>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</si>
  <si>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</si>
  <si>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</si>
  <si>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</si>
  <si>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</si>
  <si>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</si>
  <si>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</si>
  <si>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</si>
  <si>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</si>
  <si>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</si>
  <si>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</si>
  <si>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</si>
  <si>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</si>
  <si>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</si>
  <si>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</si>
  <si>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</si>
  <si>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</si>
  <si>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</si>
  <si>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</si>
  <si>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</si>
  <si>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</si>
  <si>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</si>
  <si>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</si>
  <si>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</si>
  <si>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</si>
  <si>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</si>
  <si>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</si>
  <si>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</si>
  <si>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</si>
  <si>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</si>
  <si>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</si>
  <si>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</si>
  <si>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</si>
  <si>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</si>
  <si>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</si>
  <si>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</si>
  <si>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</si>
  <si>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</si>
  <si>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</si>
  <si>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</si>
  <si>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</si>
  <si>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</si>
  <si>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</si>
  <si>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</si>
  <si>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</si>
  <si>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</si>
  <si>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</si>
  <si>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</si>
  <si>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</si>
  <si>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</si>
  <si>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</si>
  <si>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</si>
  <si>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</si>
  <si>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</si>
  <si>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</si>
  <si>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</si>
  <si>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</si>
  <si>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</si>
  <si>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</si>
  <si>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</si>
  <si>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</si>
  <si>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</si>
  <si>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</si>
  <si>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</si>
  <si>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</si>
  <si>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</si>
  <si>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</si>
  <si>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</si>
  <si>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</si>
  <si>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</si>
  <si>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</si>
  <si>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</si>
  <si>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</si>
  <si>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</si>
  <si>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</si>
  <si>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</si>
  <si>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</si>
  <si>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</si>
  <si>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</si>
  <si>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</si>
  <si>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</si>
  <si>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</si>
  <si>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</si>
  <si>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</si>
  <si>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</si>
  <si>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</si>
  <si>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</si>
  <si>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</si>
  <si>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</si>
  <si>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</si>
  <si>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</si>
  <si>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</si>
  <si>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</si>
  <si>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</si>
  <si>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</si>
  <si>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</si>
  <si>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</si>
  <si>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</si>
  <si>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</si>
  <si>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</si>
  <si>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</si>
  <si>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</si>
  <si>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</si>
  <si>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</si>
  <si>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</si>
  <si>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</si>
  <si>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</si>
  <si>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</si>
  <si>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</si>
  <si>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</si>
  <si>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</si>
  <si>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</si>
  <si>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</si>
  <si>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</si>
  <si>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</si>
  <si>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</si>
  <si>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</si>
  <si>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</si>
  <si>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</si>
  <si>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</si>
  <si>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</si>
  <si>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</si>
  <si>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</si>
  <si>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</si>
  <si>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</si>
  <si>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</si>
  <si>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</si>
  <si>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</si>
  <si>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</si>
  <si>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</si>
  <si>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</si>
  <si>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</si>
  <si>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</si>
  <si>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</si>
  <si>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</si>
  <si>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</si>
  <si>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</si>
  <si>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</si>
  <si>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</si>
  <si>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</si>
  <si>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</si>
  <si>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</si>
  <si>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</si>
  <si>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</si>
  <si>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family val="2"/>
      </rPr>
      <t xml:space="preserve"> This field will carry forward as the name or title of the job.  
Be as specific as you can, within space provided. Maximum of 50 characters. </t>
    </r>
  </si>
  <si>
    <r>
      <t>Division</t>
    </r>
    <r>
      <rPr>
        <sz val="10"/>
        <rFont val="Arial"/>
        <family val="2"/>
      </rPr>
      <t xml:space="preserve">  Using the drop down menu, select the applicable Division (Corporate, Fort Wainwright, Fort Richardson or Fort Greely).  Only one selection is permitted per JI Form.</t>
    </r>
  </si>
  <si>
    <r>
      <t>Utility</t>
    </r>
    <r>
      <rPr>
        <sz val="10"/>
        <rFont val="Arial"/>
        <family val="2"/>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</si>
  <si>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</si>
  <si>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</si>
  <si>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</si>
  <si>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</si>
  <si>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</si>
  <si>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</si>
  <si>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family val="2"/>
      </rPr>
      <t xml:space="preserve"> Original Contract         -       Enter Letter/# designator (i.e. HCU10)</t>
    </r>
  </si>
  <si>
    <r>
      <t xml:space="preserve">    </t>
    </r>
    <r>
      <rPr>
        <b/>
        <sz val="10"/>
        <rFont val="Arial"/>
        <family val="2"/>
      </rPr>
      <t xml:space="preserve"> 2.</t>
    </r>
    <r>
      <rPr>
        <sz val="10"/>
        <rFont val="Arial"/>
        <family val="2"/>
      </rPr>
      <t xml:space="preserve"> Contract Mod        -       Enter Letter/# designator (i.e. HCU10)</t>
    </r>
  </si>
  <si>
    <r>
      <t xml:space="preserve">     </t>
    </r>
    <r>
      <rPr>
        <b/>
        <sz val="10"/>
        <rFont val="Arial"/>
        <family val="2"/>
      </rPr>
      <t>3.</t>
    </r>
    <r>
      <rPr>
        <sz val="10"/>
        <rFont val="Arial"/>
        <family val="2"/>
      </rPr>
      <t xml:space="preserve"> COR MOD (Contracting Officer's Rep MOD)        -       Enter Letter/# designator</t>
    </r>
  </si>
  <si>
    <r>
      <t xml:space="preserve">    </t>
    </r>
    <r>
      <rPr>
        <b/>
        <sz val="10"/>
        <rFont val="Arial"/>
        <family val="2"/>
      </rPr>
      <t xml:space="preserve"> 4.</t>
    </r>
    <r>
      <rPr>
        <sz val="10"/>
        <rFont val="Arial"/>
        <family val="2"/>
      </rPr>
      <t xml:space="preserve"> Other MOD       -       Enter Letter/# designator</t>
    </r>
  </si>
  <si>
    <r>
      <t xml:space="preserve">     </t>
    </r>
    <r>
      <rPr>
        <b/>
        <sz val="10"/>
        <rFont val="Arial"/>
        <family val="2"/>
      </rPr>
      <t>5.</t>
    </r>
    <r>
      <rPr>
        <sz val="10"/>
        <rFont val="Arial"/>
        <family val="2"/>
      </rPr>
      <t xml:space="preserve"> Corporate        -       Enter Corporate Department or Title (i.e. IT, etc.)</t>
    </r>
  </si>
  <si>
    <r>
      <t xml:space="preserve">     </t>
    </r>
    <r>
      <rPr>
        <b/>
        <sz val="10"/>
        <rFont val="Arial"/>
        <family val="2"/>
      </rPr>
      <t>6.</t>
    </r>
    <r>
      <rPr>
        <sz val="10"/>
        <rFont val="Arial"/>
        <family val="2"/>
      </rPr>
      <t xml:space="preserve"> An Individual     -     This should be the last choice!  Enter the name of person</t>
    </r>
  </si>
  <si>
    <r>
      <t xml:space="preserve">Job Description (Long)  </t>
    </r>
    <r>
      <rPr>
        <sz val="10"/>
        <rFont val="Arial"/>
        <family val="2"/>
      </rPr>
      <t>Explain what the project is setting out to achieve.  Be as specific as you can.  Target: One paragraph.</t>
    </r>
  </si>
  <si>
    <t>Requested by Description:</t>
  </si>
  <si>
    <r>
      <t>Start Date</t>
    </r>
    <r>
      <rPr>
        <sz val="10"/>
        <rFont val="Arial"/>
        <family val="2"/>
      </rPr>
      <t xml:space="preserve"> Enter the start date of the project.  This is the date that we will begin spending money (manpower, supplies, contracts, etc.).</t>
    </r>
  </si>
  <si>
    <r>
      <t>Subclass Cost Estimate</t>
    </r>
    <r>
      <rPr>
        <sz val="10"/>
        <rFont val="Arial"/>
        <family val="2"/>
      </rPr>
      <t xml:space="preserve"> Enter the cost estimate of each of the retirement units if known.  The total of all subclass estimates should be the same as the full cost estimate for the Job.</t>
    </r>
  </si>
  <si>
    <r>
      <t>Subclasses</t>
    </r>
    <r>
      <rPr>
        <sz val="10"/>
        <rFont val="Arial"/>
        <family val="2"/>
      </rPr>
      <t xml:space="preserve"> Enter one or more retirement units if known. </t>
    </r>
  </si>
  <si>
    <t>A listing of subclasses is located in the Subclasses tab.</t>
  </si>
  <si>
    <t>Subclass Cost Estimate</t>
  </si>
  <si>
    <t>Cash Flow tab</t>
  </si>
  <si>
    <r>
      <t>Additional Comments</t>
    </r>
    <r>
      <rPr>
        <sz val="10"/>
        <rFont val="Arial"/>
        <family val="2"/>
      </rPr>
      <t xml:space="preserve"> List any additional comments, pictures, maps, etc. for reference in the Job file.</t>
    </r>
  </si>
  <si>
    <r>
      <t>Your Name</t>
    </r>
    <r>
      <rPr>
        <sz val="10"/>
        <rFont val="Arial"/>
        <family val="2"/>
      </rPr>
      <t xml:space="preserve"> Enter your name </t>
    </r>
  </si>
  <si>
    <r>
      <t>JI Form</t>
    </r>
    <r>
      <rPr>
        <sz val="10"/>
        <rFont val="Arial"/>
        <family val="2"/>
      </rPr>
      <t xml:space="preserve"> - Job Initiation Form</t>
    </r>
  </si>
  <si>
    <r>
      <t>Capital Projects</t>
    </r>
    <r>
      <rPr>
        <sz val="10"/>
        <rFont val="Arial"/>
        <family val="2"/>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</si>
  <si>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</si>
  <si>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</si>
  <si>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</si>
  <si>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</si>
  <si>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</si>
  <si>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</si>
  <si>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</si>
  <si>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</si>
  <si>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</si>
  <si>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</si>
  <si>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</si>
  <si>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</si>
  <si>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</si>
  <si>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</si>
  <si>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</si>
  <si>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</si>
  <si>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</si>
  <si>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</si>
  <si>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</si>
  <si>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</si>
  <si>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</si>
  <si>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</si>
  <si>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family val="2"/>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</si>
  <si>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</si>
  <si>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</si>
  <si>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</si>
  <si>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</si>
  <si>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</si>
  <si>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</si>
  <si>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</si>
  <si>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</si>
  <si>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</si>
  <si>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</si>
  <si>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</si>
  <si>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</si>
  <si>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</si>
  <si>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</si>
  <si>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family val="2"/>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</si>
  <si>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</si>
  <si>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</si>
  <si>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</si>
  <si>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</si>
  <si>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</si>
  <si>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</si>
  <si>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</si>
  <si>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</si>
  <si>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family val="2"/>
      </rPr>
      <t xml:space="preserve">  Based on the selection in the "Requested By" field, enter the corresponding information: select the applicable option </t>
    </r>
    <r>
      <rPr>
        <sz val="10"/>
        <rFont val="Arial"/>
        <family val="2"/>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</si>
  <si>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</si>
  <si>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</si>
  <si>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</si>
  <si>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family val="2"/>
      </rPr>
      <t xml:space="preserve"> Enter the name of the Project Manager/Requestor for this job. </t>
    </r>
  </si>
  <si>
    <r>
      <t>Cost Estimate</t>
    </r>
    <r>
      <rPr>
        <sz val="10"/>
        <rFont val="Arial"/>
        <family val="2"/>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</si>
  <si>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family val="2"/>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</si>
  <si>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family val="2"/>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family val="2"/>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</si>
  <si>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</si>
  <si>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</si>
  <si>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</si>
  <si>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</si>
  <si>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</si>
  <si>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</si>
  <si>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</si>
  <si>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</si>
  <si>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</si>
  <si>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</si>
  <si>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</si>
  <si>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</si>
  <si>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</si>
  <si>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</si>
  <si>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</si>
  <si>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family val="2"/>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</si>
  <si>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</si>
  <si>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</si>
  <si>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</si>
  <si>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</si>
  <si>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</si>
  <si>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</si>
  <si>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</si>
  <si>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</si>
  <si>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</si>
  <si>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</si>
  <si>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</si>
  <si>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</si>
  <si>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</si>
  <si>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</si>
  <si>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</si>
  <si>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</si>
  <si>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</si>
  <si>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</si>
  <si>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</si>
  <si>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</si>
  <si>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</si>
  <si>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</si>
  <si>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</si>
  <si>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</si>
  <si>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</si>
  <si>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</si>
  <si>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</si>
  <si>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</si>
  <si>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</si>
  <si>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</si>
  <si>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</si>
  <si>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</si>
  <si>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</si>
  <si>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</si>
  <si>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</si>
  <si>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</si>
  <si>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</si>
  <si>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</si>
  <si>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</si>
  <si>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</si>
  <si>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</si>
  <si>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</si>
  <si>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</si>
  <si>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</si>
  <si>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</si>
  <si>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</si>
  <si>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</si>
  <si>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</si>
  <si>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</si>
  <si>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</si>
  <si>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</si>
  <si>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</si>
  <si>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</si>
  <si>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</si>
  <si>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</si>
  <si>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</si>
  <si>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</si>
  <si>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</si>
  <si>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</si>
  <si>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</si>
  <si>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</si>
  <si>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</si>
  <si>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family val="2"/>
      </rPr>
      <t xml:space="preserve"> - Job Completion Form</t>
    </r>
  </si>
  <si>
    <r>
      <t>JC Form</t>
    </r>
    <r>
      <rPr>
        <sz val="10"/>
        <rFont val="Arial"/>
        <family val="2"/>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</si>
  <si>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</si>
  <si>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family val="2"/>
      </rPr>
      <t xml:space="preserve"> Enter the Job # of the job that is due to be completed</t>
    </r>
  </si>
  <si>
    <r>
      <t>Job Description (Short)</t>
    </r>
    <r>
      <rPr>
        <sz val="10"/>
        <rFont val="Arial"/>
        <family val="2"/>
      </rPr>
      <t xml:space="preserve"> This field will carry forward as the name or title of the job and capital asset.  Be as specific as you can, within space provided. Maximum of 50 characters. </t>
    </r>
  </si>
  <si>
    <r>
      <t xml:space="preserve">Job Description (Long)  </t>
    </r>
    <r>
      <rPr>
        <sz val="10"/>
        <rFont val="Arial"/>
        <family val="2"/>
      </rPr>
      <t>Explain what the project is setting out to achieve.  Be as specific as 
you can.  Target: One paragraph.</t>
    </r>
  </si>
  <si>
    <r>
      <t>Division</t>
    </r>
    <r>
      <rPr>
        <sz val="10"/>
        <rFont val="Arial"/>
        <family val="2"/>
      </rPr>
      <t xml:space="preserve">  Using the drop down menu, select the applicable Division (Corporate, Fort Wainwright, Fort Richardson or Fort Greely).  Only one selection is permitted per Form.</t>
    </r>
  </si>
  <si>
    <r>
      <t>Utility</t>
    </r>
    <r>
      <rPr>
        <sz val="10"/>
        <rFont val="Arial"/>
        <family val="2"/>
      </rPr>
      <t xml:space="preserve">  Using the drop down menu, select the applicable Utility (Corporate, Natural Gas, Water, Waste Water, Electric Distribution, Central Heating Plant).  Only one selection is permitted per Form.</t>
    </r>
  </si>
  <si>
    <r>
      <t>Project Manager</t>
    </r>
    <r>
      <rPr>
        <sz val="10"/>
        <rFont val="Arial"/>
        <family val="2"/>
      </rPr>
      <t xml:space="preserve"> Enter the name of the Final Project Manager/Requestor for this job. </t>
    </r>
  </si>
  <si>
    <r>
      <t>Final Completion Date</t>
    </r>
    <r>
      <rPr>
        <sz val="10"/>
        <rFont val="Arial"/>
        <family val="2"/>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</si>
  <si>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</si>
  <si>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family val="2"/>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</si>
  <si>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</si>
  <si>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family val="2"/>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</si>
  <si>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family val="2"/>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</si>
  <si>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family val="2"/>
      </rPr>
      <t xml:space="preserve"> List any additional comments, pictures, maps, etc. for reference in the Continuing Property Record file.</t>
    </r>
  </si>
  <si>
    <r>
      <t>Subclass</t>
    </r>
    <r>
      <rPr>
        <sz val="10"/>
        <rFont val="Arial"/>
        <family val="2"/>
      </rPr>
      <t xml:space="preserve"> Enter one or more retirement units if known. </t>
    </r>
  </si>
  <si>
    <r>
      <t>Short Description (Subclass)</t>
    </r>
    <r>
      <rPr>
        <sz val="10"/>
        <rFont val="Arial"/>
        <family val="2"/>
      </rPr>
      <t xml:space="preserve"> Enter brief description of acquisition for each subclass row selected.</t>
    </r>
  </si>
  <si>
    <r>
      <t>Qty (Subclass)</t>
    </r>
    <r>
      <rPr>
        <sz val="10"/>
        <rFont val="Arial"/>
        <family val="2"/>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</si>
  <si>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</si>
  <si>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</si>
  <si>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</si>
  <si>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</si>
  <si>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</si>
  <si>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</si>
  <si>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</si>
  <si>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</si>
  <si>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</si>
  <si>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family val="2"/>
      </rPr>
      <t xml:space="preserve"> If you feel the estimated useful GAAP life listed in the Subclass tab is not appropriate for this asset, please enter your best estimate for the useful life.</t>
    </r>
  </si>
  <si>
    <r>
      <t>Requested by</t>
    </r>
    <r>
      <rPr>
        <sz val="10"/>
        <rFont val="Arial"/>
        <family val="2"/>
      </rPr>
      <t xml:space="preserve">  Using the drop down menu, select the applicable option (</t>
    </r>
    <r>
      <rPr>
        <b/>
        <sz val="10"/>
        <rFont val="Arial"/>
        <family val="2"/>
      </rPr>
      <t>1</t>
    </r>
    <r>
      <rPr>
        <sz val="10"/>
        <rFont val="Arial"/>
        <family val="2"/>
      </rPr>
      <t xml:space="preserve">. Original Contract, </t>
    </r>
    <r>
      <rPr>
        <b/>
        <sz val="10"/>
        <rFont val="Arial"/>
        <family val="2"/>
      </rPr>
      <t>2</t>
    </r>
    <r>
      <rPr>
        <sz val="10"/>
        <rFont val="Arial"/>
        <family val="2"/>
      </rPr>
      <t xml:space="preserve">. Contract Mod, </t>
    </r>
    <r>
      <rPr>
        <b/>
        <sz val="10"/>
        <rFont val="Arial"/>
        <family val="2"/>
      </rPr>
      <t>3</t>
    </r>
    <r>
      <rPr>
        <sz val="10"/>
        <rFont val="Arial"/>
        <family val="2"/>
      </rPr>
      <t xml:space="preserve">. COR MOD, </t>
    </r>
    <r>
      <rPr>
        <b/>
        <sz val="10"/>
        <rFont val="Arial"/>
        <family val="2"/>
      </rPr>
      <t>4</t>
    </r>
    <r>
      <rPr>
        <sz val="10"/>
        <rFont val="Arial"/>
        <family val="2"/>
      </rPr>
      <t xml:space="preserve">. Other MOD, </t>
    </r>
    <r>
      <rPr>
        <b/>
        <sz val="10"/>
        <rFont val="Arial"/>
        <family val="2"/>
      </rPr>
      <t>5</t>
    </r>
    <r>
      <rPr>
        <sz val="10"/>
        <rFont val="Arial"/>
        <family val="2"/>
      </rPr>
      <t xml:space="preserve">. Corporate, </t>
    </r>
    <r>
      <rPr>
        <b/>
        <sz val="10"/>
        <rFont val="Arial"/>
        <family val="2"/>
      </rPr>
      <t>6</t>
    </r>
    <r>
      <rPr>
        <sz val="10"/>
        <rFont val="Arial"/>
        <family val="2"/>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</si>
  <si>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family val="2"/>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</si>
  <si>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</si>
  <si>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</si>
  <si>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</si>
  <si>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</si>
  <si>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</si>
  <si>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</si>
  <si>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</si>
  <si>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</si>
  <si>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</si>
  <si>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</si>
  <si>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</si>
  <si>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</si>
  <si>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</si>
  <si>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</si>
  <si>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</si>
  <si>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</si>
  <si>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</si>
  <si>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</si>
  <si>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</si>
  <si>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</si>
  <si>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</si>
  <si>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</si>
  <si>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</si>
  <si>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</si>
  <si>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</si>
  <si>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</si>
  <si>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</si>
  <si>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</si>
  <si>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</si>
  <si>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</si>
  <si>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</si>
  <si>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</si>
  <si>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</si>
  <si>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</si>
  <si>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</si>
  <si>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</si>
  <si>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</si>
  <si>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</si>
  <si>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</si>
  <si>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</si>
  <si>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</si>
  <si>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</si>
  <si>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</si>
  <si>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</si>
  <si>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</si>
  <si>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</si>
  <si>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</si>
  <si>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</si>
  <si>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</si>
  <si>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</si>
  <si>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</si>
  <si>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</si>
  <si>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</si>
  <si>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</si>
  <si>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</si>
  <si>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</si>
  <si>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</si>
  <si>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</si>
  <si>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</si>
  <si>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</si>
  <si>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</si>
  <si>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</si>
  <si>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</si>
  <si>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</si>
  <si>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</si>
  <si>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</si>
  <si>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</si>
  <si>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</si>
  <si>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</si>
  <si>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</si>
  <si>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</si>
  <si>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</si>
  <si>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</si>
  <si>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</si>
  <si>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</si>
  <si>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</si>
  <si>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</si>
  <si>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</si>
  <si>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</si>
  <si>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</si>
  <si>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</si>
  <si>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</si>
  <si>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</si>
  <si>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</si>
  <si>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</si>
  <si>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</si>
  <si>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</si>
  <si>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</si>
  <si>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</si>
  <si>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</si>
  <si>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</si>
  <si>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</si>
  <si>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</si>
  <si>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</si>
  <si>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New WWCS Utility Service for FTW 336A- Aircraft Parts Storage</t>
  </si>
  <si>
    <t>RFP № FWA-09-021</t>
  </si>
  <si>
    <t>None</t>
  </si>
  <si>
    <t>Engineering Design Only</t>
  </si>
  <si>
    <t>Increase due to construction contract modification driven by enlarged vault and contaminated soil.</t>
  </si>
  <si>
    <t>FTW-336A Aircraft Storage</t>
  </si>
  <si>
    <t>Wily Splain</t>
  </si>
  <si>
    <t>J101396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</si>
</sst>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m/d/yyyy;@"/>
    <numFmt numFmtId="165" formatCode="_(&quot;$&quot;* #,##0_);_(&quot;$&quot;* \(#,##0\);_(&quot;$&quot;* &quot;-&quot;??_);_(@_)"/>
    <numFmt numFmtId="166" formatCode="0.0"/>
    <numFmt numFmtId="167" formatCode="&quot;$&quot;#,##0.00"/>
    <numFmt numFmtId="168" formatCode="[$-409]mmm\-yy;@"/>
    <numFmt numFmtId="169" formatCode="[$-409]dd\-mmm\-yy;@"/>
  </numFmts>
  <fonts count="28">
    <font>
      <sz val="10"/>
      <name val="Arial"/>
    </font>
    <font>
      <sz val="10"/>
      <name val="Arial"/>
      <family val="2"/>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6">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4"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4" fontId="0" fillId="3" borderId="0" xfId="0" applyNumberFormat="1" applyFill="1" applyBorder="1" applyAlignment="1">
      <alignment horizontal="center"/>
    </xf>
    <xf numFmtId="49" fontId="0" fillId="3" borderId="1" xfId="0" applyNumberFormat="1" applyFill="1" applyBorder="1" applyAlignment="1">
      <alignment horizontal="left"/>
    </xf>
    <xf numFmtId="166"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68"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5" fontId="24" fillId="0" borderId="0" xfId="2" applyNumberFormat="1" applyFont="1" applyAlignment="1">
      <alignment vertical="center"/>
    </xf>
    <xf numFmtId="165" fontId="24" fillId="0" borderId="0" xfId="2" applyNumberFormat="1" applyFont="1" applyBorder="1" applyAlignment="1">
      <alignment vertical="center"/>
    </xf>
    <xf numFmtId="165" fontId="1" fillId="0" borderId="0" xfId="2" applyNumberFormat="1" applyAlignment="1">
      <alignment vertical="center"/>
    </xf>
    <xf numFmtId="165" fontId="1" fillId="0" borderId="0" xfId="2" applyNumberFormat="1" applyBorder="1" applyAlignment="1">
      <alignment vertical="center"/>
    </xf>
    <xf numFmtId="165" fontId="1" fillId="0" borderId="2" xfId="2" applyNumberFormat="1" applyBorder="1" applyAlignment="1">
      <alignment vertical="center"/>
    </xf>
    <xf numFmtId="165"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5" fontId="24" fillId="0" borderId="3" xfId="2" applyNumberFormat="1" applyFont="1" applyBorder="1" applyAlignment="1">
      <alignment vertical="center"/>
    </xf>
    <xf numFmtId="0" fontId="0" fillId="0" borderId="3" xfId="0" applyBorder="1" applyAlignment="1">
      <alignment vertical="center"/>
    </xf>
    <xf numFmtId="165" fontId="1" fillId="0" borderId="3" xfId="2" applyNumberFormat="1" applyBorder="1" applyAlignment="1">
      <alignment vertical="center"/>
    </xf>
    <xf numFmtId="165"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5" fontId="24" fillId="0" borderId="18" xfId="2" applyNumberFormat="1" applyFont="1" applyBorder="1" applyAlignment="1">
      <alignment vertical="center"/>
    </xf>
    <xf numFmtId="165" fontId="1" fillId="0" borderId="18" xfId="2" applyNumberFormat="1" applyBorder="1" applyAlignment="1">
      <alignment vertical="center"/>
    </xf>
    <xf numFmtId="165"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169" fontId="0" fillId="3" borderId="1" xfId="0" applyNumberFormat="1" applyFill="1" applyBorder="1" applyAlignment="1">
      <alignment horizontal="center"/>
    </xf>
    <xf numFmtId="167" fontId="0" fillId="3" borderId="1" xfId="1" applyNumberFormat="1" applyFont="1" applyFill="1" applyBorder="1" applyAlignment="1">
      <alignment horizontal="center"/>
    </xf>
    <xf numFmtId="167" fontId="18" fillId="3" borderId="1" xfId="1" applyNumberFormat="1" applyFont="1" applyFill="1" applyBorder="1" applyAlignment="1">
      <alignment horizontal="right"/>
    </xf>
    <xf numFmtId="165" fontId="0" fillId="0" borderId="0" xfId="0" applyNumberFormat="1"/>
    <xf numFmtId="44" fontId="0" fillId="0" borderId="0" xfId="2" applyFont="1"/>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169"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xf numFmtId="44" fontId="17" fillId="2" borderId="0" xfId="2" applyFont="1" applyFill="1" applyBorder="1" applyAlignment="1">
      <alignment vertical="top" wrapText="1"/>
    </xf>
    <xf numFmtId="44" fontId="0" fillId="2" borderId="0" xfId="2" applyFont="1" applyFill="1"/>
  </cellXfs>
  <cellStyles count="4">
    <cellStyle name="Comma" xfId="1" builtinId="3"/>
    <cellStyle name="Currency" xfId="2" builtinId="4"/>
    <cellStyle name="Hyperlink" xfId="3" builtinId="8"/>
    <cellStyle name="Normal" xfId="0" builtinId="0"/>
  </cellStyles>
  <dxfs count="30">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trlProps/ctrlProp1.xml><?xml version="1.0" encoding="utf-8"?>
<formControlPr xmlns="http://schemas.microsoft.com/office/spreadsheetml/2009/9/main" objectType="Drop" dropStyle="combo" dx="16" fmlaLink="B14" fmlaRange="'form picklists'!$A$2:$A$6" noThreeD="1" sel="5" val="0"/>
</file>

<file path=xl/ctrlProps/ctrlProp2.xml><?xml version="1.0" encoding="utf-8"?>
<formControlPr xmlns="http://schemas.microsoft.com/office/spreadsheetml/2009/9/main" objectType="Drop" dropStyle="combo" dx="16" fmlaRange="'form picklists'!$E$2:$E$8" noThreeD="1" sel="3" val="0"/>
</file>

<file path=xl/ctrlProps/ctrlProp3.xml><?xml version="1.0" encoding="utf-8"?>
<formControlPr xmlns="http://schemas.microsoft.com/office/spreadsheetml/2009/9/main" objectType="Drop" dropStyle="combo" dx="16" fmlaLink="E14" fmlaRange="'form picklists'!$C$2:$C$8" noThreeD="1" sel="6" val="0"/>
</file>

<file path=xl/ctrlProps/ctrlProp4.xml><?xml version="1.0" encoding="utf-8"?>
<formControlPr xmlns="http://schemas.microsoft.com/office/spreadsheetml/2009/9/main" objectType="Drop" dropStyle="combo" dx="16" fmlaRange="'form picklists'!$G$2:$G$260" noThreeD="1" sel="223" val="215"/>
</file>

<file path=xl/ctrlProps/ctrlProp5.xml><?xml version="1.0" encoding="utf-8"?>
<formControlPr xmlns="http://schemas.microsoft.com/office/spreadsheetml/2009/9/main" objectType="Drop" dropStyle="combo" dx="16" fmlaRange="'form picklists'!$G$2:$G$260" noThreeD="1" val="0"/>
</file>

<file path=xl/ctrlProps/ctrlProp6.xml><?xml version="1.0" encoding="utf-8"?>
<formControlPr xmlns="http://schemas.microsoft.com/office/spreadsheetml/2009/9/main" objectType="Drop" dropStyle="combo" dx="16" fmlaRange="'form picklists'!$G$2:$G$260" noThreeD="1" val="0"/>
</file>

<file path=xl/ctrlProps/ctrlProp7.xml><?xml version="1.0" encoding="utf-8"?>
<formControlPr xmlns="http://schemas.microsoft.com/office/spreadsheetml/2009/9/main" objectType="Drop" dropStyle="combo" dx="16" fmlaRange="'form picklists'!$G$2:$G$260" noThreeD="1" val="0"/>
</file>

<file path=xl/ctrlProps/ctrlProp8.xml><?xml version="1.0" encoding="utf-8"?>
<formControlPr xmlns="http://schemas.microsoft.com/office/spreadsheetml/2009/9/main" objectType="Drop" dropStyle="combo" dx="16" fmlaRange="'form picklists'!$G$2:$G$260" noThreeD="1" sel="0" val="0"/>
</file>

<file path=xl/ctrlProps/ctrlProp9.xml><?xml version="1.0" encoding="utf-8"?>
<formControlPr xmlns="http://schemas.microsoft.com/office/spreadsheetml/2009/9/main" objectType="Drop" dropStyle="combo" dx="16" fmlaRange="'form picklists'!$K$2:$K$4" noThreeD="1" sel="2" val="0"/>
</file>

<file path=xl/ctrlProps/ctrlProp10.xml><?xml version="1.0" encoding="utf-8"?>
<formControlPr xmlns="http://schemas.microsoft.com/office/spreadsheetml/2009/9/main" objectType="Drop" dropStyle="combo" dx="16" fmlaRange="'form picklists'!$M$2:$M$4" noThreeD="1" sel="3" val="0"/>
</file>

<file path=xl/ctrlProps/ctrlProp11.xml><?xml version="1.0" encoding="utf-8"?>
<formControlPr xmlns="http://schemas.microsoft.com/office/spreadsheetml/2009/9/main" objectType="Drop" dropStyle="combo" dx="16" fmlaLink="B14" fmlaRange="'form picklists'!$A$2:$A$6" noThreeD="1" sel="5" val="0"/>
</file>

<file path=xl/ctrlProps/ctrlProp12.xml><?xml version="1.0" encoding="utf-8"?>
<formControlPr xmlns="http://schemas.microsoft.com/office/spreadsheetml/2009/9/main" objectType="Drop" dropStyle="combo" dx="16" fmlaRange="'form picklists'!$E$2:$E$8" noThreeD="1" sel="3" val="0"/>
</file>

<file path=xl/ctrlProps/ctrlProp13.xml><?xml version="1.0" encoding="utf-8"?>
<formControlPr xmlns="http://schemas.microsoft.com/office/spreadsheetml/2009/9/main" objectType="Drop" dropStyle="combo" dx="16" fmlaLink="E14" fmlaRange="'form picklists'!$C$2:$C$8" noThreeD="1" sel="6" val="0"/>
</file>

<file path=xl/ctrlProps/ctrlProp14.xml><?xml version="1.0" encoding="utf-8"?>
<formControlPr xmlns="http://schemas.microsoft.com/office/spreadsheetml/2009/9/main" objectType="Drop" dropStyle="combo" dx="16" fmlaRange="'form picklists'!$G$2:$G$260" noThreeD="1" sel="223" val="215"/>
</file>

<file path=xl/ctrlProps/ctrlProp15.xml><?xml version="1.0" encoding="utf-8"?>
<formControlPr xmlns="http://schemas.microsoft.com/office/spreadsheetml/2009/9/main" objectType="Drop" dropStyle="combo" dx="16" fmlaRange="'form picklists'!$G$2:$G$260" noThreeD="1" sel="0" val="0"/>
</file>

<file path=xl/ctrlProps/ctrlProp16.xml><?xml version="1.0" encoding="utf-8"?>
<formControlPr xmlns="http://schemas.microsoft.com/office/spreadsheetml/2009/9/main" objectType="Drop" dropStyle="combo" dx="16" fmlaRange="'form picklists'!$G$2:$G$260" noThreeD="1" sel="0" val="0"/>
</file>

<file path=xl/ctrlProps/ctrlProp17.xml><?xml version="1.0" encoding="utf-8"?>
<formControlPr xmlns="http://schemas.microsoft.com/office/spreadsheetml/2009/9/main" objectType="Drop" dropStyle="combo" dx="16" fmlaRange="'form picklists'!$G$2:$G$260" noThreeD="1" sel="0" val="0"/>
</file>

<file path=xl/ctrlProps/ctrlProp18.xml><?xml version="1.0" encoding="utf-8"?>
<formControlPr xmlns="http://schemas.microsoft.com/office/spreadsheetml/2009/9/main" objectType="Drop" dropStyle="combo" dx="16" fmlaRange="'form picklists'!$G$2:$G$260" noThreeD="1" sel="0" val="0"/>
</file>

<file path=xl/ctrlProps/ctrlProp19.xml><?xml version="1.0" encoding="utf-8"?>
<formControlPr xmlns="http://schemas.microsoft.com/office/spreadsheetml/2009/9/main" objectType="Drop" dropStyle="combo" dx="16" fmlaRange="'form picklists'!$K$2:$K$4" noThreeD="1" sel="0" val="0"/>
</file>

<file path=xl/ctrlProps/ctrlProp20.xml><?xml version="1.0" encoding="utf-8"?>
<formControlPr xmlns="http://schemas.microsoft.com/office/spreadsheetml/2009/9/main" objectType="Drop" dropStyle="combo" dx="16" fmlaLink="B14" fmlaRange="'form picklists'!$A$2:$A$6" noThreeD="1" val="0"/>
</file>

<file path=xl/ctrlProps/ctrlProp21.xml><?xml version="1.0" encoding="utf-8"?>
<formControlPr xmlns="http://schemas.microsoft.com/office/spreadsheetml/2009/9/main" objectType="Drop" dropStyle="combo" dx="16" fmlaRange="'form picklists'!$E$2:$E$8" noThreeD="1" val="0"/>
</file>

<file path=xl/ctrlProps/ctrlProp22.xml><?xml version="1.0" encoding="utf-8"?>
<formControlPr xmlns="http://schemas.microsoft.com/office/spreadsheetml/2009/9/main" objectType="Drop" dropStyle="combo" dx="16" fmlaLink="E14" fmlaRange="'form picklists'!$C$2:$C$8" noThreeD="1" val="0"/>
</file>

<file path=xl/ctrlProps/ctrlProp23.xml><?xml version="1.0" encoding="utf-8"?>
<formControlPr xmlns="http://schemas.microsoft.com/office/spreadsheetml/2009/9/main" objectType="Drop" dropStyle="combo" dx="16" fmlaRange="'form picklists'!$G$2:$G$260" noThreeD="1" val="0"/>
</file>

<file path=xl/ctrlProps/ctrlProp24.xml><?xml version="1.0" encoding="utf-8"?>
<formControlPr xmlns="http://schemas.microsoft.com/office/spreadsheetml/2009/9/main" objectType="Drop" dropStyle="combo" dx="16" fmlaRange="'form picklists'!$G$2:$G$216" noThreeD="1" sel="0" val="0"/>
</file>

<file path=xl/ctrlProps/ctrlProp25.xml><?xml version="1.0" encoding="utf-8"?>
<formControlPr xmlns="http://schemas.microsoft.com/office/spreadsheetml/2009/9/main" objectType="Drop" dropStyle="combo" dx="16" fmlaRange="'form picklists'!$G$2:$G$216" noThreeD="1" sel="0" val="0"/>
</file>

<file path=xl/ctrlProps/ctrlProp26.xml><?xml version="1.0" encoding="utf-8"?>
<formControlPr xmlns="http://schemas.microsoft.com/office/spreadsheetml/2009/9/main" objectType="Drop" dropStyle="combo" dx="16" fmlaRange="'form picklists'!$G$2:$G$216" noThreeD="1" sel="0" val="0"/>
</file>

<file path=xl/ctrlProps/ctrlProp27.xml><?xml version="1.0" encoding="utf-8"?>
<formControlPr xmlns="http://schemas.microsoft.com/office/spreadsheetml/2009/9/main" objectType="Drop" dropStyle="combo" dx="16" fmlaRange="'form picklists'!$G$2:$G$216" noThreeD="1" sel="0" val="0"/>
</file>

<file path=xl/ctrlProps/ctrlProp28.xml><?xml version="1.0" encoding="utf-8"?>
<formControlPr xmlns="http://schemas.microsoft.com/office/spreadsheetml/2009/9/main" objectType="Drop" dropStyle="combo" dx="16" fmlaRange="'form picklists'!$G$2:$G$260" noThreeD="1" val="0"/>
</file>

<file path=xl/ctrlProps/ctrlProp29.xml><?xml version="1.0" encoding="utf-8"?>
<formControlPr xmlns="http://schemas.microsoft.com/office/spreadsheetml/2009/9/main" objectType="Drop" dropStyle="combo" dx="16" fmlaRange="'form picklists'!$G$2:$G$260" noThreeD="1" val="0"/>
</file>

<file path=xl/ctrlProps/ctrlProp30.xml><?xml version="1.0" encoding="utf-8"?>
<formControlPr xmlns="http://schemas.microsoft.com/office/spreadsheetml/2009/9/main" objectType="Drop" dropStyle="combo" dx="16" fmlaRange="'form picklists'!$G$2:$G$260" noThreeD="1" val="0"/>
</file>

<file path=xl/ctrlProps/ctrlProp31.xml><?xml version="1.0" encoding="utf-8"?>
<formControlPr xmlns="http://schemas.microsoft.com/office/spreadsheetml/2009/9/main" objectType="Drop" dropStyle="combo" dx="16" fmlaRange="'form picklists'!$G$2:$G$260" noThreeD="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17"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18" name="Picture 4"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6" name="Picture 2"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1</xdr:col>
          <xdr:colOff>28575</xdr:colOff>
          <xdr:row>13</xdr:row>
          <xdr:rowOff>28575</xdr:rowOff>
        </xdr:from>
        <xdr:to>
          <xdr:col>2</xdr:col>
          <xdr:colOff>38100</xdr:colOff>
          <xdr:row>13</xdr:row>
          <xdr:rowOff>228600</xdr:rowOff>
        </xdr:to>
        <xdr:sp macro="" textlink="">
          <xdr:nvSpPr>
            <xdr:cNvPr id="2053" name="Drop Down 5" hidden="1">
              <a:extLst>
                <a:ext uri="{63B3BB69-23CF-44E3-9099-C40C66FF867C}">
                  <a14:compatExt spid="_x0000_s20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xdr:row>
          <xdr:rowOff>28575</xdr:rowOff>
        </xdr:from>
        <xdr:to>
          <xdr:col>2</xdr:col>
          <xdr:colOff>38100</xdr:colOff>
          <xdr:row>15</xdr:row>
          <xdr:rowOff>228600</xdr:rowOff>
        </xdr:to>
        <xdr:sp macro="" textlink="">
          <xdr:nvSpPr>
            <xdr:cNvPr id="2055" name="Drop Down 7" hidden="1">
              <a:extLst>
                <a:ext uri="{63B3BB69-23CF-44E3-9099-C40C66FF867C}">
                  <a14:compatExt spid="_x0000_s20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13</xdr:row>
          <xdr:rowOff>28575</xdr:rowOff>
        </xdr:from>
        <xdr:to>
          <xdr:col>4</xdr:col>
          <xdr:colOff>1304925</xdr:colOff>
          <xdr:row>13</xdr:row>
          <xdr:rowOff>228600</xdr:rowOff>
        </xdr:to>
        <xdr:sp macro="" textlink="">
          <xdr:nvSpPr>
            <xdr:cNvPr id="2056" name="Drop Down 8" hidden="1">
              <a:extLst>
                <a:ext uri="{63B3BB69-23CF-44E3-9099-C40C66FF867C}">
                  <a14:compatExt spid="_x0000_s20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20</xdr:row>
          <xdr:rowOff>28575</xdr:rowOff>
        </xdr:from>
        <xdr:to>
          <xdr:col>2</xdr:col>
          <xdr:colOff>38100</xdr:colOff>
          <xdr:row>20</xdr:row>
          <xdr:rowOff>228600</xdr:rowOff>
        </xdr:to>
        <xdr:sp macro="" textlink="">
          <xdr:nvSpPr>
            <xdr:cNvPr id="2058" name="Drop Down 10" hidden="1">
              <a:extLst>
                <a:ext uri="{63B3BB69-23CF-44E3-9099-C40C66FF867C}">
                  <a14:compatExt spid="_x0000_s20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21</xdr:row>
          <xdr:rowOff>28575</xdr:rowOff>
        </xdr:from>
        <xdr:to>
          <xdr:col>2</xdr:col>
          <xdr:colOff>38100</xdr:colOff>
          <xdr:row>21</xdr:row>
          <xdr:rowOff>228600</xdr:rowOff>
        </xdr:to>
        <xdr:sp macro="" textlink="">
          <xdr:nvSpPr>
            <xdr:cNvPr id="2060" name="Drop Down 12" hidden="1">
              <a:extLst>
                <a:ext uri="{63B3BB69-23CF-44E3-9099-C40C66FF867C}">
                  <a14:compatExt spid="_x0000_s20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22</xdr:row>
          <xdr:rowOff>28575</xdr:rowOff>
        </xdr:from>
        <xdr:to>
          <xdr:col>2</xdr:col>
          <xdr:colOff>38100</xdr:colOff>
          <xdr:row>22</xdr:row>
          <xdr:rowOff>228600</xdr:rowOff>
        </xdr:to>
        <xdr:sp macro="" textlink="">
          <xdr:nvSpPr>
            <xdr:cNvPr id="2061" name="Drop Down 13" hidden="1">
              <a:extLst>
                <a:ext uri="{63B3BB69-23CF-44E3-9099-C40C66FF867C}">
                  <a14:compatExt spid="_x0000_s20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23</xdr:row>
          <xdr:rowOff>28575</xdr:rowOff>
        </xdr:from>
        <xdr:to>
          <xdr:col>2</xdr:col>
          <xdr:colOff>38100</xdr:colOff>
          <xdr:row>23</xdr:row>
          <xdr:rowOff>228600</xdr:rowOff>
        </xdr:to>
        <xdr:sp macro="" textlink="">
          <xdr:nvSpPr>
            <xdr:cNvPr id="2062" name="Drop Down 14" hidden="1">
              <a:extLst>
                <a:ext uri="{63B3BB69-23CF-44E3-9099-C40C66FF867C}">
                  <a14:compatExt spid="_x0000_s20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24</xdr:row>
          <xdr:rowOff>28575</xdr:rowOff>
        </xdr:from>
        <xdr:to>
          <xdr:col>2</xdr:col>
          <xdr:colOff>38100</xdr:colOff>
          <xdr:row>24</xdr:row>
          <xdr:rowOff>228600</xdr:rowOff>
        </xdr:to>
        <xdr:sp macro="" textlink="">
          <xdr:nvSpPr>
            <xdr:cNvPr id="2063" name="Drop Down 15" hidden="1">
              <a:extLst>
                <a:ext uri="{63B3BB69-23CF-44E3-9099-C40C66FF867C}">
                  <a14:compatExt spid="_x0000_s20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28</xdr:row>
          <xdr:rowOff>28575</xdr:rowOff>
        </xdr:from>
        <xdr:to>
          <xdr:col>2</xdr:col>
          <xdr:colOff>38100</xdr:colOff>
          <xdr:row>28</xdr:row>
          <xdr:rowOff>228600</xdr:rowOff>
        </xdr:to>
        <xdr:sp macro="" textlink="">
          <xdr:nvSpPr>
            <xdr:cNvPr id="2064" name="Drop Down 16" hidden="1">
              <a:extLst>
                <a:ext uri="{63B3BB69-23CF-44E3-9099-C40C66FF867C}">
                  <a14:compatExt spid="_x0000_s2064"/>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5</xdr:row>
          <xdr:rowOff>28575</xdr:rowOff>
        </xdr:from>
        <xdr:to>
          <xdr:col>1</xdr:col>
          <xdr:colOff>657225</xdr:colOff>
          <xdr:row>6</xdr:row>
          <xdr:rowOff>0</xdr:rowOff>
        </xdr:to>
        <xdr:sp macro="" textlink="">
          <xdr:nvSpPr>
            <xdr:cNvPr id="5123" name="Drop Down 3" hidden="1">
              <a:extLst>
                <a:ext uri="{63B3BB69-23CF-44E3-9099-C40C66FF867C}">
                  <a14:compatExt spid="_x0000_s5123"/>
                </a:ext>
              </a:extLst>
            </xdr:cNvPr>
            <xdr:cNvSpPr/>
          </xdr:nvSpPr>
          <xdr:spPr>
            <a:xfrm>
              <a:off x="0" y="0"/>
              <a:ext cx="0" cy="0"/>
            </a:xfrm>
            <a:prstGeom prst="rect">
              <a:avLst/>
            </a:prstGeom>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5"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1</xdr:col>
          <xdr:colOff>28575</xdr:colOff>
          <xdr:row>13</xdr:row>
          <xdr:rowOff>28575</xdr:rowOff>
        </xdr:from>
        <xdr:to>
          <xdr:col>2</xdr:col>
          <xdr:colOff>38100</xdr:colOff>
          <xdr:row>13</xdr:row>
          <xdr:rowOff>228600</xdr:rowOff>
        </xdr:to>
        <xdr:sp macro="" textlink="">
          <xdr:nvSpPr>
            <xdr:cNvPr id="6146" name="Drop Down 2" hidden="1">
              <a:extLst>
                <a:ext uri="{63B3BB69-23CF-44E3-9099-C40C66FF867C}">
                  <a14:compatExt spid="_x0000_s61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xdr:row>
          <xdr:rowOff>28575</xdr:rowOff>
        </xdr:from>
        <xdr:to>
          <xdr:col>2</xdr:col>
          <xdr:colOff>38100</xdr:colOff>
          <xdr:row>15</xdr:row>
          <xdr:rowOff>228600</xdr:rowOff>
        </xdr:to>
        <xdr:sp macro="" textlink="">
          <xdr:nvSpPr>
            <xdr:cNvPr id="6147" name="Drop Down 3" hidden="1">
              <a:extLst>
                <a:ext uri="{63B3BB69-23CF-44E3-9099-C40C66FF867C}">
                  <a14:compatExt spid="_x0000_s61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13</xdr:row>
          <xdr:rowOff>28575</xdr:rowOff>
        </xdr:from>
        <xdr:to>
          <xdr:col>4</xdr:col>
          <xdr:colOff>1304925</xdr:colOff>
          <xdr:row>13</xdr:row>
          <xdr:rowOff>228600</xdr:rowOff>
        </xdr:to>
        <xdr:sp macro="" textlink="">
          <xdr:nvSpPr>
            <xdr:cNvPr id="6148" name="Drop Down 4" hidden="1">
              <a:extLst>
                <a:ext uri="{63B3BB69-23CF-44E3-9099-C40C66FF867C}">
                  <a14:compatExt spid="_x0000_s61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20</xdr:row>
          <xdr:rowOff>28575</xdr:rowOff>
        </xdr:from>
        <xdr:to>
          <xdr:col>2</xdr:col>
          <xdr:colOff>38100</xdr:colOff>
          <xdr:row>20</xdr:row>
          <xdr:rowOff>228600</xdr:rowOff>
        </xdr:to>
        <xdr:sp macro="" textlink="">
          <xdr:nvSpPr>
            <xdr:cNvPr id="6149" name="Drop Down 5" hidden="1">
              <a:extLst>
                <a:ext uri="{63B3BB69-23CF-44E3-9099-C40C66FF867C}">
                  <a14:compatExt spid="_x0000_s61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21</xdr:row>
          <xdr:rowOff>28575</xdr:rowOff>
        </xdr:from>
        <xdr:to>
          <xdr:col>2</xdr:col>
          <xdr:colOff>38100</xdr:colOff>
          <xdr:row>21</xdr:row>
          <xdr:rowOff>228600</xdr:rowOff>
        </xdr:to>
        <xdr:sp macro="" textlink="">
          <xdr:nvSpPr>
            <xdr:cNvPr id="6150" name="Drop Down 6" hidden="1">
              <a:extLst>
                <a:ext uri="{63B3BB69-23CF-44E3-9099-C40C66FF867C}">
                  <a14:compatExt spid="_x0000_s61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22</xdr:row>
          <xdr:rowOff>28575</xdr:rowOff>
        </xdr:from>
        <xdr:to>
          <xdr:col>2</xdr:col>
          <xdr:colOff>38100</xdr:colOff>
          <xdr:row>22</xdr:row>
          <xdr:rowOff>228600</xdr:rowOff>
        </xdr:to>
        <xdr:sp macro="" textlink="">
          <xdr:nvSpPr>
            <xdr:cNvPr id="6151" name="Drop Down 7" hidden="1">
              <a:extLst>
                <a:ext uri="{63B3BB69-23CF-44E3-9099-C40C66FF867C}">
                  <a14:compatExt spid="_x0000_s61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23</xdr:row>
          <xdr:rowOff>28575</xdr:rowOff>
        </xdr:from>
        <xdr:to>
          <xdr:col>2</xdr:col>
          <xdr:colOff>38100</xdr:colOff>
          <xdr:row>23</xdr:row>
          <xdr:rowOff>228600</xdr:rowOff>
        </xdr:to>
        <xdr:sp macro="" textlink="">
          <xdr:nvSpPr>
            <xdr:cNvPr id="6152" name="Drop Down 8" hidden="1">
              <a:extLst>
                <a:ext uri="{63B3BB69-23CF-44E3-9099-C40C66FF867C}">
                  <a14:compatExt spid="_x0000_s61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24</xdr:row>
          <xdr:rowOff>28575</xdr:rowOff>
        </xdr:from>
        <xdr:to>
          <xdr:col>2</xdr:col>
          <xdr:colOff>38100</xdr:colOff>
          <xdr:row>24</xdr:row>
          <xdr:rowOff>228600</xdr:rowOff>
        </xdr:to>
        <xdr:sp macro="" textlink="">
          <xdr:nvSpPr>
            <xdr:cNvPr id="6153" name="Drop Down 9" hidden="1">
              <a:extLst>
                <a:ext uri="{63B3BB69-23CF-44E3-9099-C40C66FF867C}">
                  <a14:compatExt spid="_x0000_s61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28</xdr:row>
          <xdr:rowOff>28575</xdr:rowOff>
        </xdr:from>
        <xdr:to>
          <xdr:col>2</xdr:col>
          <xdr:colOff>38100</xdr:colOff>
          <xdr:row>28</xdr:row>
          <xdr:rowOff>228600</xdr:rowOff>
        </xdr:to>
        <xdr:sp macro="" textlink="">
          <xdr:nvSpPr>
            <xdr:cNvPr id="6154" name="Drop Down 10" hidden="1">
              <a:extLst>
                <a:ext uri="{63B3BB69-23CF-44E3-9099-C40C66FF867C}">
                  <a14:compatExt spid="_x0000_s6154"/>
                </a:ext>
              </a:extLst>
            </xdr:cNvPr>
            <xdr:cNvSpPr/>
          </xdr:nvSpPr>
          <xdr:spPr>
            <a:xfrm>
              <a:off x="0" y="0"/>
              <a:ext cx="0" cy="0"/>
            </a:xfrm>
            <a:prstGeom prst="rect">
              <a:avLst/>
            </a:prstGeom>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28" name="Picture 1" descr="DU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76375" cy="79057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1</xdr:col>
          <xdr:colOff>28575</xdr:colOff>
          <xdr:row>13</xdr:row>
          <xdr:rowOff>28575</xdr:rowOff>
        </xdr:from>
        <xdr:to>
          <xdr:col>2</xdr:col>
          <xdr:colOff>38100</xdr:colOff>
          <xdr:row>13</xdr:row>
          <xdr:rowOff>228600</xdr:rowOff>
        </xdr:to>
        <xdr:sp macro="" textlink="">
          <xdr:nvSpPr>
            <xdr:cNvPr id="8194" name="Drop Down 2" hidden="1">
              <a:extLst>
                <a:ext uri="{63B3BB69-23CF-44E3-9099-C40C66FF867C}">
                  <a14:compatExt spid="_x0000_s81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xdr:row>
          <xdr:rowOff>28575</xdr:rowOff>
        </xdr:from>
        <xdr:to>
          <xdr:col>2</xdr:col>
          <xdr:colOff>38100</xdr:colOff>
          <xdr:row>15</xdr:row>
          <xdr:rowOff>228600</xdr:rowOff>
        </xdr:to>
        <xdr:sp macro="" textlink="">
          <xdr:nvSpPr>
            <xdr:cNvPr id="8195" name="Drop Down 3" hidden="1">
              <a:extLst>
                <a:ext uri="{63B3BB69-23CF-44E3-9099-C40C66FF867C}">
                  <a14:compatExt spid="_x0000_s81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13</xdr:row>
          <xdr:rowOff>28575</xdr:rowOff>
        </xdr:from>
        <xdr:to>
          <xdr:col>4</xdr:col>
          <xdr:colOff>1304925</xdr:colOff>
          <xdr:row>13</xdr:row>
          <xdr:rowOff>228600</xdr:rowOff>
        </xdr:to>
        <xdr:sp macro="" textlink="">
          <xdr:nvSpPr>
            <xdr:cNvPr id="8196" name="Drop Down 4" hidden="1">
              <a:extLst>
                <a:ext uri="{63B3BB69-23CF-44E3-9099-C40C66FF867C}">
                  <a14:compatExt spid="_x0000_s81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21</xdr:row>
          <xdr:rowOff>28575</xdr:rowOff>
        </xdr:from>
        <xdr:to>
          <xdr:col>2</xdr:col>
          <xdr:colOff>38100</xdr:colOff>
          <xdr:row>21</xdr:row>
          <xdr:rowOff>228600</xdr:rowOff>
        </xdr:to>
        <xdr:sp macro="" textlink="">
          <xdr:nvSpPr>
            <xdr:cNvPr id="8197" name="Drop Down 5" hidden="1">
              <a:extLst>
                <a:ext uri="{63B3BB69-23CF-44E3-9099-C40C66FF867C}">
                  <a14:compatExt spid="_x0000_s81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22</xdr:row>
          <xdr:rowOff>28575</xdr:rowOff>
        </xdr:from>
        <xdr:to>
          <xdr:col>2</xdr:col>
          <xdr:colOff>38100</xdr:colOff>
          <xdr:row>22</xdr:row>
          <xdr:rowOff>228600</xdr:rowOff>
        </xdr:to>
        <xdr:sp macro="" textlink="">
          <xdr:nvSpPr>
            <xdr:cNvPr id="8198" name="Drop Down 6" hidden="1">
              <a:extLst>
                <a:ext uri="{63B3BB69-23CF-44E3-9099-C40C66FF867C}">
                  <a14:compatExt spid="_x0000_s81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23</xdr:row>
          <xdr:rowOff>28575</xdr:rowOff>
        </xdr:from>
        <xdr:to>
          <xdr:col>2</xdr:col>
          <xdr:colOff>38100</xdr:colOff>
          <xdr:row>23</xdr:row>
          <xdr:rowOff>228600</xdr:rowOff>
        </xdr:to>
        <xdr:sp macro="" textlink="">
          <xdr:nvSpPr>
            <xdr:cNvPr id="8199" name="Drop Down 7" hidden="1">
              <a:extLst>
                <a:ext uri="{63B3BB69-23CF-44E3-9099-C40C66FF867C}">
                  <a14:compatExt spid="_x0000_s81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24</xdr:row>
          <xdr:rowOff>28575</xdr:rowOff>
        </xdr:from>
        <xdr:to>
          <xdr:col>2</xdr:col>
          <xdr:colOff>38100</xdr:colOff>
          <xdr:row>24</xdr:row>
          <xdr:rowOff>228600</xdr:rowOff>
        </xdr:to>
        <xdr:sp macro="" textlink="">
          <xdr:nvSpPr>
            <xdr:cNvPr id="8200" name="Drop Down 8" hidden="1">
              <a:extLst>
                <a:ext uri="{63B3BB69-23CF-44E3-9099-C40C66FF867C}">
                  <a14:compatExt spid="_x0000_s82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25</xdr:row>
          <xdr:rowOff>28575</xdr:rowOff>
        </xdr:from>
        <xdr:to>
          <xdr:col>2</xdr:col>
          <xdr:colOff>38100</xdr:colOff>
          <xdr:row>25</xdr:row>
          <xdr:rowOff>228600</xdr:rowOff>
        </xdr:to>
        <xdr:sp macro="" textlink="">
          <xdr:nvSpPr>
            <xdr:cNvPr id="8201" name="Drop Down 9" hidden="1">
              <a:extLst>
                <a:ext uri="{63B3BB69-23CF-44E3-9099-C40C66FF867C}">
                  <a14:compatExt spid="_x0000_s82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22</xdr:row>
          <xdr:rowOff>28575</xdr:rowOff>
        </xdr:from>
        <xdr:to>
          <xdr:col>2</xdr:col>
          <xdr:colOff>38100</xdr:colOff>
          <xdr:row>22</xdr:row>
          <xdr:rowOff>228600</xdr:rowOff>
        </xdr:to>
        <xdr:sp macro="" textlink="">
          <xdr:nvSpPr>
            <xdr:cNvPr id="8203" name="Drop Down 11" hidden="1">
              <a:extLst>
                <a:ext uri="{63B3BB69-23CF-44E3-9099-C40C66FF867C}">
                  <a14:compatExt spid="_x0000_s82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23</xdr:row>
          <xdr:rowOff>28575</xdr:rowOff>
        </xdr:from>
        <xdr:to>
          <xdr:col>2</xdr:col>
          <xdr:colOff>38100</xdr:colOff>
          <xdr:row>23</xdr:row>
          <xdr:rowOff>228600</xdr:rowOff>
        </xdr:to>
        <xdr:sp macro="" textlink="">
          <xdr:nvSpPr>
            <xdr:cNvPr id="8204" name="Drop Down 12" hidden="1">
              <a:extLst>
                <a:ext uri="{63B3BB69-23CF-44E3-9099-C40C66FF867C}">
                  <a14:compatExt spid="_x0000_s82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24</xdr:row>
          <xdr:rowOff>28575</xdr:rowOff>
        </xdr:from>
        <xdr:to>
          <xdr:col>2</xdr:col>
          <xdr:colOff>38100</xdr:colOff>
          <xdr:row>24</xdr:row>
          <xdr:rowOff>228600</xdr:rowOff>
        </xdr:to>
        <xdr:sp macro="" textlink="">
          <xdr:nvSpPr>
            <xdr:cNvPr id="8205" name="Drop Down 13" hidden="1">
              <a:extLst>
                <a:ext uri="{63B3BB69-23CF-44E3-9099-C40C66FF867C}">
                  <a14:compatExt spid="_x0000_s82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25</xdr:row>
          <xdr:rowOff>28575</xdr:rowOff>
        </xdr:from>
        <xdr:to>
          <xdr:col>2</xdr:col>
          <xdr:colOff>38100</xdr:colOff>
          <xdr:row>25</xdr:row>
          <xdr:rowOff>228600</xdr:rowOff>
        </xdr:to>
        <xdr:sp macro="" textlink="">
          <xdr:nvSpPr>
            <xdr:cNvPr id="8206" name="Drop Down 14" hidden="1">
              <a:extLst>
                <a:ext uri="{63B3BB69-23CF-44E3-9099-C40C66FF867C}">
                  <a14:compatExt spid="_x0000_s8206"/>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trlProp" Target="../ctrlProps/ctrlProp10.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5.xml"/><Relationship Id="rId3" Type="http://schemas.openxmlformats.org/officeDocument/2006/relationships/vmlDrawing" Target="../drawings/vmlDrawing3.vml"/><Relationship Id="rId7" Type="http://schemas.openxmlformats.org/officeDocument/2006/relationships/ctrlProp" Target="../ctrlProps/ctrlProp14.xml"/><Relationship Id="rId12" Type="http://schemas.openxmlformats.org/officeDocument/2006/relationships/ctrlProp" Target="../ctrlProps/ctrlProp19.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13.xml"/><Relationship Id="rId11" Type="http://schemas.openxmlformats.org/officeDocument/2006/relationships/ctrlProp" Target="../ctrlProps/ctrlProp18.xml"/><Relationship Id="rId5" Type="http://schemas.openxmlformats.org/officeDocument/2006/relationships/ctrlProp" Target="../ctrlProps/ctrlProp12.xml"/><Relationship Id="rId10" Type="http://schemas.openxmlformats.org/officeDocument/2006/relationships/ctrlProp" Target="../ctrlProps/ctrlProp17.xml"/><Relationship Id="rId4" Type="http://schemas.openxmlformats.org/officeDocument/2006/relationships/ctrlProp" Target="../ctrlProps/ctrlProp11.xml"/><Relationship Id="rId9" Type="http://schemas.openxmlformats.org/officeDocument/2006/relationships/ctrlProp" Target="../ctrlProps/ctrlProp1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24.xml"/><Relationship Id="rId13" Type="http://schemas.openxmlformats.org/officeDocument/2006/relationships/ctrlProp" Target="../ctrlProps/ctrlProp29.xml"/><Relationship Id="rId3" Type="http://schemas.openxmlformats.org/officeDocument/2006/relationships/vmlDrawing" Target="../drawings/vmlDrawing4.vml"/><Relationship Id="rId7" Type="http://schemas.openxmlformats.org/officeDocument/2006/relationships/ctrlProp" Target="../ctrlProps/ctrlProp23.xml"/><Relationship Id="rId12" Type="http://schemas.openxmlformats.org/officeDocument/2006/relationships/ctrlProp" Target="../ctrlProps/ctrlProp28.xml"/><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ctrlProp" Target="../ctrlProps/ctrlProp22.xml"/><Relationship Id="rId11" Type="http://schemas.openxmlformats.org/officeDocument/2006/relationships/ctrlProp" Target="../ctrlProps/ctrlProp27.xml"/><Relationship Id="rId5" Type="http://schemas.openxmlformats.org/officeDocument/2006/relationships/ctrlProp" Target="../ctrlProps/ctrlProp21.xml"/><Relationship Id="rId15" Type="http://schemas.openxmlformats.org/officeDocument/2006/relationships/ctrlProp" Target="../ctrlProps/ctrlProp31.xml"/><Relationship Id="rId10" Type="http://schemas.openxmlformats.org/officeDocument/2006/relationships/ctrlProp" Target="../ctrlProps/ctrlProp26.xml"/><Relationship Id="rId4" Type="http://schemas.openxmlformats.org/officeDocument/2006/relationships/ctrlProp" Target="../ctrlProps/ctrlProp20.xml"/><Relationship Id="rId9" Type="http://schemas.openxmlformats.org/officeDocument/2006/relationships/ctrlProp" Target="../ctrlProps/ctrlProp25.xml"/><Relationship Id="rId14" Type="http://schemas.openxmlformats.org/officeDocument/2006/relationships/ctrlProp" Target="../ctrlProps/ctrlProp30.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indexed="50"/>
  </sheetPr>
  <dimension ref="A1:BQ602"/>
  <sheetViews>
    <sheetView topLeftCell="A10" workbookViewId="0">
      <selection activeCell="B19" sqref="B19"/>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2" t="s">
        <v>0</v>
      </c>
      <c r="C5" s="112"/>
      <c r="D5" s="1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3" t="s">
        <v>1</v>
      </c>
      <c r="C6" s="113"/>
      <c r="D6" s="113"/>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4" t="s">
        <v>2</v>
      </c>
      <c r="C7" s="114"/>
      <c r="D7" s="114"/>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5">
        <v>40040</v>
      </c>
      <c r="C8" s="115"/>
      <c r="D8" s="115"/>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ht="12.75" customHeight="1">
      <c r="A10" s="42" t="s">
        <v>404</v>
      </c>
      <c r="B10" s="117" t="s">
        <v>630</v>
      </c>
      <c r="C10" s="117"/>
      <c r="D10" s="117"/>
      <c r="E10" s="117"/>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6" t="s">
        <v>629</v>
      </c>
      <c r="C12" s="116"/>
      <c r="D12" s="116"/>
      <c r="E12" s="116"/>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6</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631</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50000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50000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50000</v>
      </c>
      <c r="D27" s="30" t="s">
        <v>391</v>
      </c>
      <c r="E27" s="104">
        <v>50000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8" t="s">
        <v>402</v>
      </c>
      <c r="B30" s="109"/>
      <c r="C30" s="110" t="s">
        <v>632</v>
      </c>
      <c r="D30" s="111"/>
      <c r="E30" s="11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0" t="s">
        <v>633</v>
      </c>
      <c r="D32" s="111"/>
      <c r="E32" s="11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627</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29" priority="9" stopIfTrue="1" operator="equal">
      <formula>$Z1</formula>
    </cfRule>
  </conditionalFormatting>
  <conditionalFormatting sqref="E16 B17 E21:E25 B27 C30:E30 C32:E32 B34">
    <cfRule type="cellIs" dxfId="28" priority="10" stopIfTrue="1" operator="equal">
      <formula>$Z$1</formula>
    </cfRule>
  </conditionalFormatting>
  <conditionalFormatting sqref="B19 E19">
    <cfRule type="cellIs" dxfId="27" priority="11" stopIfTrue="1" operator="greaterThan">
      <formula>43831</formula>
    </cfRule>
    <cfRule type="cellIs" dxfId="26" priority="12" stopIfTrue="1" operator="lessThan">
      <formula>39448</formula>
    </cfRule>
    <cfRule type="cellIs" dxfId="25" priority="13" stopIfTrue="1" operator="equal">
      <formula>39448</formula>
    </cfRule>
  </conditionalFormatting>
  <conditionalFormatting sqref="B8:D8">
    <cfRule type="cellIs" dxfId="24" priority="14" stopIfTrue="1" operator="equal">
      <formula>$Y$20999</formula>
    </cfRule>
  </conditionalFormatting>
  <conditionalFormatting sqref="B12:E12">
    <cfRule type="cellIs" dxfId="23" priority="8" stopIfTrue="1" operator="equal">
      <formula>$Z3</formula>
    </cfRule>
  </conditionalFormatting>
  <conditionalFormatting sqref="B10:E10">
    <cfRule type="cellIs" dxfId="22" priority="7" stopIfTrue="1" operator="equal">
      <formula>$Z1</formula>
    </cfRule>
  </conditionalFormatting>
  <conditionalFormatting sqref="B17">
    <cfRule type="cellIs" dxfId="21" priority="6" stopIfTrue="1" operator="equal">
      <formula>$Z$1</formula>
    </cfRule>
  </conditionalFormatting>
  <conditionalFormatting sqref="B19 E19">
    <cfRule type="cellIs" dxfId="20" priority="3" stopIfTrue="1" operator="greaterThan">
      <formula>43831</formula>
    </cfRule>
    <cfRule type="cellIs" dxfId="19" priority="4" stopIfTrue="1" operator="lessThan">
      <formula>39448</formula>
    </cfRule>
    <cfRule type="cellIs" dxfId="18" priority="5" stopIfTrue="1" operator="equal">
      <formula>39448</formula>
    </cfRule>
  </conditionalFormatting>
  <conditionalFormatting sqref="C30:E30 C32:E32">
    <cfRule type="cellIs" dxfId="17" priority="2" stopIfTrue="1" operator="equal">
      <formula>$Z$1</formula>
    </cfRule>
  </conditionalFormatting>
  <conditionalFormatting sqref="B8:D8">
    <cfRule type="cellIs" dxfId="16" priority="1"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 ref="D19" location="Instructions!B63" tooltip="Enter the expected end of construction date. " display="Est Completion Dat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53" r:id="rId4" name="Drop Down 5">
              <controlPr defaultSize="0" autoLine="0" autoPict="0">
                <anchor moveWithCells="1">
                  <from>
                    <xdr:col>1</xdr:col>
                    <xdr:colOff>28575</xdr:colOff>
                    <xdr:row>13</xdr:row>
                    <xdr:rowOff>28575</xdr:rowOff>
                  </from>
                  <to>
                    <xdr:col>2</xdr:col>
                    <xdr:colOff>38100</xdr:colOff>
                    <xdr:row>13</xdr:row>
                    <xdr:rowOff>228600</xdr:rowOff>
                  </to>
                </anchor>
              </controlPr>
            </control>
          </mc:Choice>
        </mc:AlternateContent>
        <mc:AlternateContent xmlns:mc="http://schemas.openxmlformats.org/markup-compatibility/2006">
          <mc:Choice Requires="x14">
            <control shapeId="2055" r:id="rId5" name="Drop Down 7">
              <controlPr defaultSize="0" autoLine="0" autoPict="0">
                <anchor moveWithCells="1">
                  <from>
                    <xdr:col>1</xdr:col>
                    <xdr:colOff>28575</xdr:colOff>
                    <xdr:row>15</xdr:row>
                    <xdr:rowOff>28575</xdr:rowOff>
                  </from>
                  <to>
                    <xdr:col>2</xdr:col>
                    <xdr:colOff>38100</xdr:colOff>
                    <xdr:row>15</xdr:row>
                    <xdr:rowOff>228600</xdr:rowOff>
                  </to>
                </anchor>
              </controlPr>
            </control>
          </mc:Choice>
        </mc:AlternateContent>
        <mc:AlternateContent xmlns:mc="http://schemas.openxmlformats.org/markup-compatibility/2006">
          <mc:Choice Requires="x14">
            <control shapeId="2056" r:id="rId6" name="Drop Down 8">
              <controlPr defaultSize="0" autoLine="0" autoPict="0">
                <anchor moveWithCells="1">
                  <from>
                    <xdr:col>4</xdr:col>
                    <xdr:colOff>28575</xdr:colOff>
                    <xdr:row>13</xdr:row>
                    <xdr:rowOff>28575</xdr:rowOff>
                  </from>
                  <to>
                    <xdr:col>4</xdr:col>
                    <xdr:colOff>1304925</xdr:colOff>
                    <xdr:row>13</xdr:row>
                    <xdr:rowOff>228600</xdr:rowOff>
                  </to>
                </anchor>
              </controlPr>
            </control>
          </mc:Choice>
        </mc:AlternateContent>
        <mc:AlternateContent xmlns:mc="http://schemas.openxmlformats.org/markup-compatibility/2006">
          <mc:Choice Requires="x14">
            <control shapeId="2058" r:id="rId7" name="Drop Down 10">
              <controlPr defaultSize="0" autoLine="0" autoPict="0">
                <anchor moveWithCells="1">
                  <from>
                    <xdr:col>1</xdr:col>
                    <xdr:colOff>28575</xdr:colOff>
                    <xdr:row>20</xdr:row>
                    <xdr:rowOff>28575</xdr:rowOff>
                  </from>
                  <to>
                    <xdr:col>2</xdr:col>
                    <xdr:colOff>38100</xdr:colOff>
                    <xdr:row>20</xdr:row>
                    <xdr:rowOff>228600</xdr:rowOff>
                  </to>
                </anchor>
              </controlPr>
            </control>
          </mc:Choice>
        </mc:AlternateContent>
        <mc:AlternateContent xmlns:mc="http://schemas.openxmlformats.org/markup-compatibility/2006">
          <mc:Choice Requires="x14">
            <control shapeId="2060" r:id="rId8" name="Drop Down 12">
              <controlPr defaultSize="0" autoLine="0" autoPict="0">
                <anchor moveWithCells="1">
                  <from>
                    <xdr:col>1</xdr:col>
                    <xdr:colOff>28575</xdr:colOff>
                    <xdr:row>21</xdr:row>
                    <xdr:rowOff>28575</xdr:rowOff>
                  </from>
                  <to>
                    <xdr:col>2</xdr:col>
                    <xdr:colOff>38100</xdr:colOff>
                    <xdr:row>21</xdr:row>
                    <xdr:rowOff>228600</xdr:rowOff>
                  </to>
                </anchor>
              </controlPr>
            </control>
          </mc:Choice>
        </mc:AlternateContent>
        <mc:AlternateContent xmlns:mc="http://schemas.openxmlformats.org/markup-compatibility/2006">
          <mc:Choice Requires="x14">
            <control shapeId="2061" r:id="rId9" name="Drop Down 13">
              <controlPr defaultSize="0" autoLine="0" autoPict="0">
                <anchor moveWithCells="1">
                  <from>
                    <xdr:col>1</xdr:col>
                    <xdr:colOff>28575</xdr:colOff>
                    <xdr:row>22</xdr:row>
                    <xdr:rowOff>28575</xdr:rowOff>
                  </from>
                  <to>
                    <xdr:col>2</xdr:col>
                    <xdr:colOff>38100</xdr:colOff>
                    <xdr:row>22</xdr:row>
                    <xdr:rowOff>228600</xdr:rowOff>
                  </to>
                </anchor>
              </controlPr>
            </control>
          </mc:Choice>
        </mc:AlternateContent>
        <mc:AlternateContent xmlns:mc="http://schemas.openxmlformats.org/markup-compatibility/2006">
          <mc:Choice Requires="x14">
            <control shapeId="2062" r:id="rId10" name="Drop Down 14">
              <controlPr defaultSize="0" autoLine="0" autoPict="0">
                <anchor moveWithCells="1">
                  <from>
                    <xdr:col>1</xdr:col>
                    <xdr:colOff>28575</xdr:colOff>
                    <xdr:row>23</xdr:row>
                    <xdr:rowOff>28575</xdr:rowOff>
                  </from>
                  <to>
                    <xdr:col>2</xdr:col>
                    <xdr:colOff>38100</xdr:colOff>
                    <xdr:row>23</xdr:row>
                    <xdr:rowOff>228600</xdr:rowOff>
                  </to>
                </anchor>
              </controlPr>
            </control>
          </mc:Choice>
        </mc:AlternateContent>
        <mc:AlternateContent xmlns:mc="http://schemas.openxmlformats.org/markup-compatibility/2006">
          <mc:Choice Requires="x14">
            <control shapeId="2063" r:id="rId11" name="Drop Down 15">
              <controlPr defaultSize="0" autoLine="0" autoPict="0">
                <anchor moveWithCells="1">
                  <from>
                    <xdr:col>1</xdr:col>
                    <xdr:colOff>28575</xdr:colOff>
                    <xdr:row>24</xdr:row>
                    <xdr:rowOff>28575</xdr:rowOff>
                  </from>
                  <to>
                    <xdr:col>2</xdr:col>
                    <xdr:colOff>38100</xdr:colOff>
                    <xdr:row>24</xdr:row>
                    <xdr:rowOff>228600</xdr:rowOff>
                  </to>
                </anchor>
              </controlPr>
            </control>
          </mc:Choice>
        </mc:AlternateContent>
        <mc:AlternateContent xmlns:mc="http://schemas.openxmlformats.org/markup-compatibility/2006">
          <mc:Choice Requires="x14">
            <control shapeId="2064" r:id="rId12" name="Drop Down 16">
              <controlPr defaultSize="0" autoLine="0" autoPict="0">
                <anchor moveWithCells="1">
                  <from>
                    <xdr:col>1</xdr:col>
                    <xdr:colOff>28575</xdr:colOff>
                    <xdr:row>28</xdr:row>
                    <xdr:rowOff>28575</xdr:rowOff>
                  </from>
                  <to>
                    <xdr:col>2</xdr:col>
                    <xdr:colOff>38100</xdr:colOff>
                    <xdr:row>28</xdr:row>
                    <xdr:rowOff>228600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indexed="50"/>
    <pageSetUpPr fitToPage="1"/>
  </sheetPr>
  <dimension ref="A1:N34"/>
  <sheetViews>
    <sheetView topLeftCell="A4" zoomScaleNormal="100" zoomScaleSheetLayoutView="100" workbookViewId="0">
      <selection activeCell="M35" sqref="M35"/>
    </sheetView>
  </sheetViews>
  <sheetFormatPr defaultRowHeight="12.75"/>
  <cols>
    <col min="1" max="1" width="17.85546875" bestFit="1" customWidth="1"/>
    <col min="2" max="14" width="11.7109375" customWidth="1"/>
  </cols>
  <sheetData>
    <row r="1" spans="1:14" s="67" customFormat="1" ht="20.25">
      <c r="A1" s="118" t="s">
        <v>411</v>
      </c>
      <c r="B1" s="118"/>
      <c r="C1" s="66"/>
      <c r="D1" s="66"/>
      <c r="E1" s="66"/>
      <c r="F1" s="66"/>
      <c r="G1" s="66"/>
      <c r="H1" s="66"/>
    </row>
    <row r="2" spans="1:14" s="67" customFormat="1" ht="18" customHeight="1">
      <c r="A2" s="118" t="s">
        <v>428</v>
      </c>
      <c r="B2" s="118"/>
      <c r="C2" s="119" t="str">
        <f>LEFT('Job Initiation Form'!B10,50)</f>
        <v>New WWCS Utility Service for FTW 336A- Aircraft Pa</v>
      </c>
      <c r="D2" s="119"/>
      <c r="E2" s="119"/>
      <c r="F2" s="119"/>
      <c r="G2" s="119"/>
      <c r="H2" s="119"/>
      <c r="I2" s="119"/>
      <c r="J2" s="119"/>
      <c r="K2" s="119"/>
    </row>
    <row r="3" spans="1:14" s="67" customFormat="1" ht="20.25">
      <c r="A3" s="68" t="s">
        <v>413</v>
      </c>
      <c r="B3" s="69"/>
      <c r="C3" s="119">
        <f>'Job Initiation Form'!E38</f>
        <v>0</v>
      </c>
      <c r="D3" s="119"/>
      <c r="E3" s="119"/>
      <c r="F3" s="119"/>
      <c r="G3" s="119"/>
      <c r="H3" s="119"/>
      <c r="I3" s="119"/>
      <c r="J3" s="119"/>
      <c r="K3" s="119"/>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Waste Water</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c r="D14" s="79"/>
      <c r="E14" s="88">
        <v>0</v>
      </c>
      <c r="F14" s="80">
        <v>0</v>
      </c>
      <c r="G14" s="96">
        <v>69096.75</v>
      </c>
      <c r="H14" s="96">
        <v>69096.75</v>
      </c>
      <c r="I14" s="96">
        <v>69096.75</v>
      </c>
      <c r="J14" s="96">
        <v>69096.75</v>
      </c>
      <c r="K14" s="88">
        <v>0</v>
      </c>
      <c r="L14" s="80">
        <v>0</v>
      </c>
      <c r="M14" s="96">
        <v>0</v>
      </c>
      <c r="N14" s="81">
        <f>SUM(B14:M14)</f>
        <v>276387</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0</v>
      </c>
      <c r="E17" s="91">
        <f t="shared" si="1"/>
        <v>0</v>
      </c>
      <c r="F17" s="83">
        <f t="shared" si="1"/>
        <v>0</v>
      </c>
      <c r="G17" s="98">
        <f t="shared" si="1"/>
        <v>69096.75</v>
      </c>
      <c r="H17" s="91">
        <f t="shared" si="1"/>
        <v>69096.75</v>
      </c>
      <c r="I17" s="83">
        <f t="shared" si="1"/>
        <v>69096.75</v>
      </c>
      <c r="J17" s="98">
        <f t="shared" si="1"/>
        <v>69096.75</v>
      </c>
      <c r="K17" s="91">
        <f t="shared" si="1"/>
        <v>0</v>
      </c>
      <c r="L17" s="83">
        <f t="shared" si="1"/>
        <v>0</v>
      </c>
      <c r="M17" s="98">
        <f t="shared" si="1"/>
        <v>0</v>
      </c>
      <c r="N17" s="83">
        <f>SUM(N13:N16)</f>
        <v>276387</v>
      </c>
    </row>
    <row r="18" spans="1:14" s="67" customFormat="1" ht="13.5" thickTop="1">
      <c r="A18" s="70"/>
    </row>
    <row r="19" spans="1:14" s="67" customFormat="1">
      <c r="A19" s="70"/>
      <c r="D19" s="84">
        <f>D17+C17+B17</f>
        <v>0</v>
      </c>
      <c r="E19" s="84">
        <f>E17+D17+C17+B17</f>
        <v>0</v>
      </c>
      <c r="F19" s="84">
        <f>F17+E19</f>
        <v>0</v>
      </c>
      <c r="G19" s="84">
        <f t="shared" ref="G19:M19" si="2">G17+F19</f>
        <v>69096.75</v>
      </c>
      <c r="H19" s="84">
        <f t="shared" si="2"/>
        <v>138193.5</v>
      </c>
      <c r="I19" s="84">
        <f t="shared" si="2"/>
        <v>207290.25</v>
      </c>
      <c r="J19" s="84">
        <f t="shared" si="2"/>
        <v>276387</v>
      </c>
      <c r="K19" s="84">
        <f t="shared" si="2"/>
        <v>276387</v>
      </c>
      <c r="L19" s="84">
        <f t="shared" si="2"/>
        <v>276387</v>
      </c>
      <c r="M19" s="84">
        <f t="shared" si="2"/>
        <v>276387</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276387</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276387</v>
      </c>
    </row>
    <row r="30" spans="1:14" s="67" customFormat="1" ht="13.5" thickTop="1">
      <c r="A30" s="70"/>
    </row>
    <row r="31" spans="1:14" s="67" customFormat="1">
      <c r="A31" s="70"/>
      <c r="B31" s="84">
        <f>B29+N17</f>
        <v>276387</v>
      </c>
      <c r="C31" s="84">
        <f>C29+B31</f>
        <v>276387</v>
      </c>
      <c r="D31" s="84">
        <f>D29+C31</f>
        <v>276387</v>
      </c>
      <c r="E31" s="84">
        <f>E29+D31</f>
        <v>276387</v>
      </c>
      <c r="F31" s="84">
        <f>F29+E31</f>
        <v>276387</v>
      </c>
      <c r="G31" s="84">
        <f t="shared" ref="G31:L31" si="5">G29+F31</f>
        <v>276387</v>
      </c>
      <c r="H31" s="84">
        <f t="shared" si="5"/>
        <v>276387</v>
      </c>
      <c r="I31" s="84">
        <f t="shared" si="5"/>
        <v>276387</v>
      </c>
      <c r="J31" s="84">
        <f t="shared" si="5"/>
        <v>276387</v>
      </c>
      <c r="K31" s="84">
        <f t="shared" si="5"/>
        <v>276387</v>
      </c>
      <c r="L31" s="84">
        <f t="shared" si="5"/>
        <v>276387</v>
      </c>
      <c r="M31" s="84">
        <f>M29+L31</f>
        <v>276387</v>
      </c>
    </row>
    <row r="33" spans="1:13">
      <c r="A33" s="62" t="s">
        <v>625</v>
      </c>
    </row>
    <row r="34" spans="1:13">
      <c r="M34" s="105"/>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123" r:id="rId4" name="Drop Down 3">
              <controlPr defaultSize="0" autoLine="0" autoPict="0">
                <anchor moveWithCells="1">
                  <from>
                    <xdr:col>1</xdr:col>
                    <xdr:colOff>28575</xdr:colOff>
                    <xdr:row>5</xdr:row>
                    <xdr:rowOff>28575</xdr:rowOff>
                  </from>
                  <to>
                    <xdr:col>1</xdr:col>
                    <xdr:colOff>657225</xdr:colOff>
                    <xdr:row>6</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indexed="43"/>
  </sheetPr>
  <dimension ref="A1:BQ602"/>
  <sheetViews>
    <sheetView tabSelected="1" workbookViewId="0">
      <selection activeCell="B9" sqref="B9"/>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7" width="14" style="10" bestFit="1" customWidth="1"/>
    <col min="8"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2"/>
      <c r="C5" s="112"/>
      <c r="D5" s="1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3" t="s">
        <v>412</v>
      </c>
      <c r="C6" s="113"/>
      <c r="D6" s="113"/>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4" t="s">
        <v>443</v>
      </c>
      <c r="C7" s="114"/>
      <c r="D7" s="114"/>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0">
        <v>40606</v>
      </c>
      <c r="C8" s="120"/>
      <c r="D8" s="120"/>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t="s">
        <v>637</v>
      </c>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21" t="s">
        <v>635</v>
      </c>
      <c r="C10" s="121"/>
      <c r="D10" s="121"/>
      <c r="E10" s="121"/>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21" t="s">
        <v>634</v>
      </c>
      <c r="C12" s="121"/>
      <c r="D12" s="121"/>
      <c r="E12" s="121"/>
      <c r="F12" s="124"/>
      <c r="G12" s="125"/>
      <c r="H12" s="125"/>
      <c r="I12" s="125"/>
      <c r="J12" s="125"/>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25"/>
      <c r="G13" s="125"/>
      <c r="H13" s="125"/>
      <c r="I13" s="125"/>
      <c r="J13" s="125"/>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48">
        <v>6</v>
      </c>
      <c r="F14" s="125"/>
      <c r="G14" s="125"/>
      <c r="H14" s="125"/>
      <c r="I14" s="125"/>
      <c r="J14" s="125"/>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25"/>
      <c r="G15" s="125"/>
      <c r="H15" s="125"/>
      <c r="I15" s="125"/>
      <c r="J15" s="125"/>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t="s">
        <v>636</v>
      </c>
      <c r="F16" s="125"/>
      <c r="G16" s="125"/>
      <c r="H16" s="125"/>
      <c r="I16" s="125"/>
      <c r="J16" s="125"/>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25"/>
      <c r="G17" s="125"/>
      <c r="H17" s="125"/>
      <c r="I17" s="125"/>
      <c r="J17" s="125"/>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25"/>
      <c r="G18" s="125"/>
      <c r="H18" s="125"/>
      <c r="I18" s="125"/>
      <c r="J18" s="125"/>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40056</v>
      </c>
      <c r="D19" s="42" t="s">
        <v>389</v>
      </c>
      <c r="E19" s="26">
        <v>40648</v>
      </c>
      <c r="F19" s="125"/>
      <c r="G19" s="125"/>
      <c r="H19" s="125"/>
      <c r="I19" s="125"/>
      <c r="J19" s="125"/>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25"/>
      <c r="G20" s="125"/>
      <c r="H20" s="125"/>
      <c r="I20" s="125"/>
      <c r="J20" s="125"/>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106">
        <v>278577.67</v>
      </c>
      <c r="F21" s="125"/>
      <c r="G21" s="125"/>
      <c r="H21" s="125"/>
      <c r="I21" s="125"/>
      <c r="J21" s="125"/>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c r="F22" s="125"/>
      <c r="G22" s="125"/>
      <c r="H22" s="125"/>
      <c r="I22" s="125"/>
      <c r="J22" s="125"/>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25"/>
      <c r="G23" s="125"/>
      <c r="H23" s="125"/>
      <c r="I23" s="125"/>
      <c r="J23" s="125"/>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278577.67</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-278577.67</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8" t="s">
        <v>402</v>
      </c>
      <c r="B30" s="109"/>
      <c r="C30" s="111"/>
      <c r="D30" s="111"/>
      <c r="E30" s="11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11"/>
      <c r="D32" s="111"/>
      <c r="E32" s="11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427</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B9 B27 C30:E30 C32:E32 B34 E22:E25">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6" r:id="rId4" name="Drop Down 2">
              <controlPr defaultSize="0" autoLine="0" autoPict="0">
                <anchor moveWithCells="1">
                  <from>
                    <xdr:col>1</xdr:col>
                    <xdr:colOff>28575</xdr:colOff>
                    <xdr:row>13</xdr:row>
                    <xdr:rowOff>28575</xdr:rowOff>
                  </from>
                  <to>
                    <xdr:col>2</xdr:col>
                    <xdr:colOff>38100</xdr:colOff>
                    <xdr:row>13</xdr:row>
                    <xdr:rowOff>228600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1</xdr:col>
                    <xdr:colOff>28575</xdr:colOff>
                    <xdr:row>15</xdr:row>
                    <xdr:rowOff>28575</xdr:rowOff>
                  </from>
                  <to>
                    <xdr:col>2</xdr:col>
                    <xdr:colOff>38100</xdr:colOff>
                    <xdr:row>15</xdr:row>
                    <xdr:rowOff>228600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4</xdr:col>
                    <xdr:colOff>28575</xdr:colOff>
                    <xdr:row>13</xdr:row>
                    <xdr:rowOff>28575</xdr:rowOff>
                  </from>
                  <to>
                    <xdr:col>4</xdr:col>
                    <xdr:colOff>1304925</xdr:colOff>
                    <xdr:row>13</xdr:row>
                    <xdr:rowOff>228600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1</xdr:col>
                    <xdr:colOff>28575</xdr:colOff>
                    <xdr:row>20</xdr:row>
                    <xdr:rowOff>28575</xdr:rowOff>
                  </from>
                  <to>
                    <xdr:col>2</xdr:col>
                    <xdr:colOff>38100</xdr:colOff>
                    <xdr:row>20</xdr:row>
                    <xdr:rowOff>228600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1</xdr:col>
                    <xdr:colOff>28575</xdr:colOff>
                    <xdr:row>21</xdr:row>
                    <xdr:rowOff>28575</xdr:rowOff>
                  </from>
                  <to>
                    <xdr:col>2</xdr:col>
                    <xdr:colOff>38100</xdr:colOff>
                    <xdr:row>21</xdr:row>
                    <xdr:rowOff>228600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1</xdr:col>
                    <xdr:colOff>28575</xdr:colOff>
                    <xdr:row>22</xdr:row>
                    <xdr:rowOff>28575</xdr:rowOff>
                  </from>
                  <to>
                    <xdr:col>2</xdr:col>
                    <xdr:colOff>38100</xdr:colOff>
                    <xdr:row>22</xdr:row>
                    <xdr:rowOff>228600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1</xdr:col>
                    <xdr:colOff>28575</xdr:colOff>
                    <xdr:row>23</xdr:row>
                    <xdr:rowOff>28575</xdr:rowOff>
                  </from>
                  <to>
                    <xdr:col>2</xdr:col>
                    <xdr:colOff>38100</xdr:colOff>
                    <xdr:row>23</xdr:row>
                    <xdr:rowOff>228600</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1</xdr:col>
                    <xdr:colOff>28575</xdr:colOff>
                    <xdr:row>24</xdr:row>
                    <xdr:rowOff>28575</xdr:rowOff>
                  </from>
                  <to>
                    <xdr:col>2</xdr:col>
                    <xdr:colOff>38100</xdr:colOff>
                    <xdr:row>24</xdr:row>
                    <xdr:rowOff>228600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1</xdr:col>
                    <xdr:colOff>28575</xdr:colOff>
                    <xdr:row>28</xdr:row>
                    <xdr:rowOff>28575</xdr:rowOff>
                  </from>
                  <to>
                    <xdr:col>2</xdr:col>
                    <xdr:colOff>38100</xdr:colOff>
                    <xdr:row>28</xdr:row>
                    <xdr:rowOff>228600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9"/>
  <sheetViews>
    <sheetView zoomScaleNormal="100" workbookViewId="0">
      <pane xSplit="1" ySplit="1" topLeftCell="B215" activePane="bottomRight" state="frozen"/>
      <selection pane="topRight" activeCell="B1" sqref="B1"/>
      <selection pane="bottomLeft" activeCell="A2" sqref="A2"/>
      <selection pane="bottomRight" activeCell="A228" sqref="A228"/>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indexed="10"/>
  </sheetPr>
  <dimension ref="A1:BQ602"/>
  <sheetViews>
    <sheetView topLeftCell="A37"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2"/>
      <c r="C5" s="112"/>
      <c r="D5" s="1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2" t="s">
        <v>489</v>
      </c>
      <c r="C6" s="112"/>
      <c r="D6" s="112"/>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4" t="s">
        <v>490</v>
      </c>
      <c r="C7" s="114"/>
      <c r="D7" s="114"/>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20"/>
      <c r="C8" s="120"/>
      <c r="D8" s="120"/>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21"/>
      <c r="C10" s="121"/>
      <c r="D10" s="121"/>
      <c r="E10" s="121"/>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21"/>
      <c r="C12" s="121"/>
      <c r="D12" s="121"/>
      <c r="E12" s="121"/>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2" t="s">
        <v>402</v>
      </c>
      <c r="B30" s="123"/>
      <c r="C30" s="111"/>
      <c r="D30" s="111"/>
      <c r="E30" s="111"/>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11"/>
      <c r="D32" s="111"/>
      <c r="E32" s="111"/>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7" t="s">
        <v>427</v>
      </c>
      <c r="B36" s="107"/>
      <c r="C36" s="107"/>
      <c r="D36" s="107"/>
      <c r="E36" s="107"/>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8194" r:id="rId4" name="Drop Down 2">
              <controlPr defaultSize="0" autoLine="0" autoPict="0">
                <anchor moveWithCells="1">
                  <from>
                    <xdr:col>1</xdr:col>
                    <xdr:colOff>28575</xdr:colOff>
                    <xdr:row>13</xdr:row>
                    <xdr:rowOff>28575</xdr:rowOff>
                  </from>
                  <to>
                    <xdr:col>2</xdr:col>
                    <xdr:colOff>38100</xdr:colOff>
                    <xdr:row>13</xdr:row>
                    <xdr:rowOff>228600</xdr:rowOff>
                  </to>
                </anchor>
              </controlPr>
            </control>
          </mc:Choice>
        </mc:AlternateContent>
        <mc:AlternateContent xmlns:mc="http://schemas.openxmlformats.org/markup-compatibility/2006">
          <mc:Choice Requires="x14">
            <control shapeId="8195" r:id="rId5" name="Drop Down 3">
              <controlPr defaultSize="0" autoLine="0" autoPict="0">
                <anchor moveWithCells="1">
                  <from>
                    <xdr:col>1</xdr:col>
                    <xdr:colOff>28575</xdr:colOff>
                    <xdr:row>15</xdr:row>
                    <xdr:rowOff>28575</xdr:rowOff>
                  </from>
                  <to>
                    <xdr:col>2</xdr:col>
                    <xdr:colOff>38100</xdr:colOff>
                    <xdr:row>15</xdr:row>
                    <xdr:rowOff>228600</xdr:rowOff>
                  </to>
                </anchor>
              </controlPr>
            </control>
          </mc:Choice>
        </mc:AlternateContent>
        <mc:AlternateContent xmlns:mc="http://schemas.openxmlformats.org/markup-compatibility/2006">
          <mc:Choice Requires="x14">
            <control shapeId="8196" r:id="rId6" name="Drop Down 4">
              <controlPr defaultSize="0" autoLine="0" autoPict="0">
                <anchor moveWithCells="1">
                  <from>
                    <xdr:col>4</xdr:col>
                    <xdr:colOff>28575</xdr:colOff>
                    <xdr:row>13</xdr:row>
                    <xdr:rowOff>28575</xdr:rowOff>
                  </from>
                  <to>
                    <xdr:col>4</xdr:col>
                    <xdr:colOff>1304925</xdr:colOff>
                    <xdr:row>13</xdr:row>
                    <xdr:rowOff>228600</xdr:rowOff>
                  </to>
                </anchor>
              </controlPr>
            </control>
          </mc:Choice>
        </mc:AlternateContent>
        <mc:AlternateContent xmlns:mc="http://schemas.openxmlformats.org/markup-compatibility/2006">
          <mc:Choice Requires="x14">
            <control shapeId="8197" r:id="rId7" name="Drop Down 5">
              <controlPr defaultSize="0" autoLine="0" autoPict="0">
                <anchor moveWithCells="1">
                  <from>
                    <xdr:col>1</xdr:col>
                    <xdr:colOff>28575</xdr:colOff>
                    <xdr:row>21</xdr:row>
                    <xdr:rowOff>28575</xdr:rowOff>
                  </from>
                  <to>
                    <xdr:col>2</xdr:col>
                    <xdr:colOff>38100</xdr:colOff>
                    <xdr:row>21</xdr:row>
                    <xdr:rowOff>228600</xdr:rowOff>
                  </to>
                </anchor>
              </controlPr>
            </control>
          </mc:Choice>
        </mc:AlternateContent>
        <mc:AlternateContent xmlns:mc="http://schemas.openxmlformats.org/markup-compatibility/2006">
          <mc:Choice Requires="x14">
            <control shapeId="8198" r:id="rId8" name="Drop Down 6">
              <controlPr defaultSize="0" autoLine="0" autoPict="0">
                <anchor moveWithCells="1">
                  <from>
                    <xdr:col>1</xdr:col>
                    <xdr:colOff>28575</xdr:colOff>
                    <xdr:row>22</xdr:row>
                    <xdr:rowOff>28575</xdr:rowOff>
                  </from>
                  <to>
                    <xdr:col>2</xdr:col>
                    <xdr:colOff>38100</xdr:colOff>
                    <xdr:row>22</xdr:row>
                    <xdr:rowOff>228600</xdr:rowOff>
                  </to>
                </anchor>
              </controlPr>
            </control>
          </mc:Choice>
        </mc:AlternateContent>
        <mc:AlternateContent xmlns:mc="http://schemas.openxmlformats.org/markup-compatibility/2006">
          <mc:Choice Requires="x14">
            <control shapeId="8199" r:id="rId9" name="Drop Down 7">
              <controlPr defaultSize="0" autoLine="0" autoPict="0">
                <anchor moveWithCells="1">
                  <from>
                    <xdr:col>1</xdr:col>
                    <xdr:colOff>28575</xdr:colOff>
                    <xdr:row>23</xdr:row>
                    <xdr:rowOff>28575</xdr:rowOff>
                  </from>
                  <to>
                    <xdr:col>2</xdr:col>
                    <xdr:colOff>38100</xdr:colOff>
                    <xdr:row>23</xdr:row>
                    <xdr:rowOff>228600</xdr:rowOff>
                  </to>
                </anchor>
              </controlPr>
            </control>
          </mc:Choice>
        </mc:AlternateContent>
        <mc:AlternateContent xmlns:mc="http://schemas.openxmlformats.org/markup-compatibility/2006">
          <mc:Choice Requires="x14">
            <control shapeId="8200" r:id="rId10" name="Drop Down 8">
              <controlPr defaultSize="0" autoLine="0" autoPict="0">
                <anchor moveWithCells="1">
                  <from>
                    <xdr:col>1</xdr:col>
                    <xdr:colOff>28575</xdr:colOff>
                    <xdr:row>24</xdr:row>
                    <xdr:rowOff>28575</xdr:rowOff>
                  </from>
                  <to>
                    <xdr:col>2</xdr:col>
                    <xdr:colOff>38100</xdr:colOff>
                    <xdr:row>24</xdr:row>
                    <xdr:rowOff>228600</xdr:rowOff>
                  </to>
                </anchor>
              </controlPr>
            </control>
          </mc:Choice>
        </mc:AlternateContent>
        <mc:AlternateContent xmlns:mc="http://schemas.openxmlformats.org/markup-compatibility/2006">
          <mc:Choice Requires="x14">
            <control shapeId="8201" r:id="rId11" name="Drop Down 9">
              <controlPr defaultSize="0" autoLine="0" autoPict="0">
                <anchor moveWithCells="1">
                  <from>
                    <xdr:col>1</xdr:col>
                    <xdr:colOff>28575</xdr:colOff>
                    <xdr:row>25</xdr:row>
                    <xdr:rowOff>28575</xdr:rowOff>
                  </from>
                  <to>
                    <xdr:col>2</xdr:col>
                    <xdr:colOff>38100</xdr:colOff>
                    <xdr:row>25</xdr:row>
                    <xdr:rowOff>228600</xdr:rowOff>
                  </to>
                </anchor>
              </controlPr>
            </control>
          </mc:Choice>
        </mc:AlternateContent>
        <mc:AlternateContent xmlns:mc="http://schemas.openxmlformats.org/markup-compatibility/2006">
          <mc:Choice Requires="x14">
            <control shapeId="8203" r:id="rId12" name="Drop Down 11">
              <controlPr defaultSize="0" autoLine="0" autoPict="0">
                <anchor moveWithCells="1">
                  <from>
                    <xdr:col>1</xdr:col>
                    <xdr:colOff>28575</xdr:colOff>
                    <xdr:row>22</xdr:row>
                    <xdr:rowOff>28575</xdr:rowOff>
                  </from>
                  <to>
                    <xdr:col>2</xdr:col>
                    <xdr:colOff>38100</xdr:colOff>
                    <xdr:row>22</xdr:row>
                    <xdr:rowOff>228600</xdr:rowOff>
                  </to>
                </anchor>
              </controlPr>
            </control>
          </mc:Choice>
        </mc:AlternateContent>
        <mc:AlternateContent xmlns:mc="http://schemas.openxmlformats.org/markup-compatibility/2006">
          <mc:Choice Requires="x14">
            <control shapeId="8204" r:id="rId13" name="Drop Down 12">
              <controlPr defaultSize="0" autoLine="0" autoPict="0">
                <anchor moveWithCells="1">
                  <from>
                    <xdr:col>1</xdr:col>
                    <xdr:colOff>28575</xdr:colOff>
                    <xdr:row>23</xdr:row>
                    <xdr:rowOff>28575</xdr:rowOff>
                  </from>
                  <to>
                    <xdr:col>2</xdr:col>
                    <xdr:colOff>38100</xdr:colOff>
                    <xdr:row>23</xdr:row>
                    <xdr:rowOff>228600</xdr:rowOff>
                  </to>
                </anchor>
              </controlPr>
            </control>
          </mc:Choice>
        </mc:AlternateContent>
        <mc:AlternateContent xmlns:mc="http://schemas.openxmlformats.org/markup-compatibility/2006">
          <mc:Choice Requires="x14">
            <control shapeId="8205" r:id="rId14" name="Drop Down 13">
              <controlPr defaultSize="0" autoLine="0" autoPict="0">
                <anchor moveWithCells="1">
                  <from>
                    <xdr:col>1</xdr:col>
                    <xdr:colOff>28575</xdr:colOff>
                    <xdr:row>24</xdr:row>
                    <xdr:rowOff>28575</xdr:rowOff>
                  </from>
                  <to>
                    <xdr:col>2</xdr:col>
                    <xdr:colOff>38100</xdr:colOff>
                    <xdr:row>24</xdr:row>
                    <xdr:rowOff>228600</xdr:rowOff>
                  </to>
                </anchor>
              </controlPr>
            </control>
          </mc:Choice>
        </mc:AlternateContent>
        <mc:AlternateContent xmlns:mc="http://schemas.openxmlformats.org/markup-compatibility/2006">
          <mc:Choice Requires="x14">
            <control shapeId="8206" r:id="rId15" name="Drop Down 14">
              <controlPr defaultSize="0" autoLine="0" autoPict="0">
                <anchor moveWithCells="1">
                  <from>
                    <xdr:col>1</xdr:col>
                    <xdr:colOff>28575</xdr:colOff>
                    <xdr:row>25</xdr:row>
                    <xdr:rowOff>28575</xdr:rowOff>
                  </from>
                  <to>
                    <xdr:col>2</xdr:col>
                    <xdr:colOff>38100</xdr:colOff>
                    <xdr:row>25</xdr:row>
                    <xdr:rowOff>228600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2011-03-04T18:33:43Z</dcterms:modified>
</cp:coreProperties>
</file>