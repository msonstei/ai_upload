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drawings/drawing3.xml" ContentType="application/vnd.openxmlformats-officedocument.drawing+xml"/>
  <Override PartName="/xl/ctrlProps/ctrlProp10.xml" ContentType="application/vnd.ms-excel.controlproperties+xml"/>
  <Override PartName="/xl/drawings/drawing4.xml" ContentType="application/vnd.openxmlformats-officedocument.drawing+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drawings/drawing5.xml" ContentType="application/vnd.openxmlformats-officedocument.drawing+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1080" yWindow="-180" windowWidth="13530" windowHeight="10335" tabRatio="661" activeTab="3"/>
  </bookViews>
  <sheets>
    <sheet name="Instructions" sheetId="5" r:id="rId1"/>
    <sheet name="Job Initiation Form" sheetId="1" r:id="rId2"/>
    <sheet name="CashFlow" sheetId="9" r:id="rId3"/>
    <sheet name="Job Revision Form" sheetId="10" r:id="rId4"/>
    <sheet name="Subclasses" sheetId="3" r:id="rId5"/>
    <sheet name="Job Completion Form" sheetId="11" r:id="rId6"/>
    <sheet name="form picklists" sheetId="8" state="hidden" r:id="rId7"/>
  </sheets>
  <externalReferences>
    <externalReference r:id="rId8"/>
    <externalReference r:id="rId9"/>
  </externalReferences>
  <definedNames>
    <definedName name="CapitalFormula">'[1]Capital Reports'!$E$15:$BC$17</definedName>
    <definedName name="DOT">#REF!</definedName>
    <definedName name="FromYear">[1]MainSheet!$B$14</definedName>
    <definedName name="GrandTotals">'[1]Capital Reports'!$E$75:$BC$77</definedName>
    <definedName name="HeaderRow">[1]MainSheet!$B$1</definedName>
    <definedName name="Inf">#REF!</definedName>
    <definedName name="Inflation">[2]InflationSheet!$O$2:$BL$2</definedName>
    <definedName name="InflationFactor">[1]MainSheet!$B$13</definedName>
    <definedName name="INPUT">#REF!</definedName>
    <definedName name="Item">#REF!</definedName>
    <definedName name="ItemColumn">[1]MainSheet!$B$2</definedName>
    <definedName name="Linear_Asset">#REF!</definedName>
    <definedName name="LinearAssetColumn">[1]MainSheet!$B$6</definedName>
    <definedName name="Major_Maint_Duration__Years">#REF!</definedName>
    <definedName name="Major_Maint_Total_Expense">#REF!</definedName>
    <definedName name="Major_Maint_Year">#REF!</definedName>
    <definedName name="MajorMaintCostColumn">[1]MainSheet!$B$11</definedName>
    <definedName name="MajorMaintDurationColumn">[1]MainSheet!$B$12</definedName>
    <definedName name="MajorMaintYearColumn">[1]MainSheet!$B$10</definedName>
    <definedName name="NameTable">[1]MainSheet!$A$1:$B$15</definedName>
    <definedName name="Original_Cost">#REF!</definedName>
    <definedName name="Original_Installation_Year">#REF!</definedName>
    <definedName name="Original_Life">#REF!</definedName>
    <definedName name="OriginalCostColumn">[1]MainSheet!$B$4</definedName>
    <definedName name="OriginalLifeColumn">[1]MainSheet!$B$5</definedName>
    <definedName name="OriginalYearInstalledColumn">[1]MainSheet!$B$3</definedName>
    <definedName name="_xlnm.Print_Area" localSheetId="2">CashFlow!$A$1:$N$31</definedName>
    <definedName name="_xlnm.Print_Area" localSheetId="0">Instructions!$A$1:$B$81</definedName>
    <definedName name="_xlnm.Print_Area" localSheetId="5">'Job Completion Form'!$A$1:$E$40</definedName>
    <definedName name="_xlnm.Print_Area" localSheetId="1">'Job Initiation Form'!$A$1:$E$40</definedName>
    <definedName name="_xlnm.Print_Area" localSheetId="3">'Job Revision Form'!$A$1:$E$40</definedName>
    <definedName name="_xlnm.Print_Titles" localSheetId="0">Instructions!$1:$2</definedName>
    <definedName name="_xlnm.Print_Titles" localSheetId="4">Subclasses!$1:$1</definedName>
    <definedName name="Replace_Cost">#REF!</definedName>
    <definedName name="Replace_Life">#REF!</definedName>
    <definedName name="Replace_Year">#REF!</definedName>
    <definedName name="ReplaceCostColumn">[1]MainSheet!$B$8</definedName>
    <definedName name="ReplaceLifeColumn">[1]MainSheet!$B$9</definedName>
    <definedName name="ReplaceYearColumn">[1]MainSheet!$B$7</definedName>
    <definedName name="Source_Book">#REF!</definedName>
    <definedName name="Source_Row">#REF!</definedName>
    <definedName name="Source_Sheet">#REF!</definedName>
    <definedName name="Title">#REF!</definedName>
    <definedName name="Total">#REF!</definedName>
    <definedName name="ToYear">[1]MainSheet!$B$15</definedName>
    <definedName name="Version">[1]MainSheet!$B$16</definedName>
    <definedName name="Years">#REF!</definedName>
  </definedNames>
  <calcPr calcId="144525"/>
</workbook>
</file>

<file path=xl/calcChain.xml><?xml version="1.0" encoding="utf-8"?>
<calcChain xmlns="http://schemas.openxmlformats.org/spreadsheetml/2006/main">
  <c r="E26" i="10" l="1"/>
  <c r="E27" i="10" s="1"/>
  <c r="E26" i="1"/>
  <c r="B7" i="9"/>
  <c r="B12" i="9" s="1"/>
  <c r="E27" i="11"/>
  <c r="E28" i="11"/>
  <c r="C3" i="9"/>
  <c r="B5" i="9"/>
  <c r="B4" i="9"/>
  <c r="N14" i="9"/>
  <c r="N26" i="9" s="1"/>
  <c r="N29" i="9" s="1"/>
  <c r="C2" i="9"/>
  <c r="F29" i="9"/>
  <c r="C29" i="9"/>
  <c r="M29" i="9"/>
  <c r="L29" i="9"/>
  <c r="K29" i="9"/>
  <c r="J29" i="9"/>
  <c r="I29" i="9"/>
  <c r="H29" i="9"/>
  <c r="G29" i="9"/>
  <c r="E29" i="9"/>
  <c r="D29" i="9"/>
  <c r="B29" i="9"/>
  <c r="B17" i="9"/>
  <c r="C17" i="9"/>
  <c r="D17" i="9"/>
  <c r="E17" i="9"/>
  <c r="F17" i="9"/>
  <c r="G17" i="9"/>
  <c r="H17" i="9"/>
  <c r="I17" i="9"/>
  <c r="J17" i="9"/>
  <c r="K17" i="9"/>
  <c r="L17" i="9"/>
  <c r="M17" i="9"/>
  <c r="B8" i="9"/>
  <c r="B10" i="9"/>
  <c r="E19" i="9" l="1"/>
  <c r="N17" i="9"/>
  <c r="B31" i="9" s="1"/>
  <c r="C31" i="9" s="1"/>
  <c r="D31" i="9" s="1"/>
  <c r="E31" i="9" s="1"/>
  <c r="F31" i="9" s="1"/>
  <c r="G31" i="9" s="1"/>
  <c r="H31" i="9" s="1"/>
  <c r="I31" i="9" s="1"/>
  <c r="J31" i="9" s="1"/>
  <c r="K31" i="9" s="1"/>
  <c r="L31" i="9" s="1"/>
  <c r="M31" i="9" s="1"/>
  <c r="D19" i="9"/>
  <c r="F19" i="9"/>
  <c r="G19" i="9" s="1"/>
  <c r="H19" i="9" s="1"/>
  <c r="I19" i="9" s="1"/>
  <c r="J19" i="9" s="1"/>
  <c r="K19" i="9" s="1"/>
  <c r="L19" i="9" s="1"/>
  <c r="M19" i="9" s="1"/>
  <c r="B11" i="9"/>
  <c r="C10" i="9"/>
  <c r="C12" i="9"/>
  <c r="D10" i="9" l="1"/>
  <c r="C11" i="9"/>
  <c r="D12" i="9"/>
  <c r="E10" i="9" l="1"/>
  <c r="E12" i="9"/>
  <c r="D11" i="9"/>
  <c r="E11" i="9" l="1"/>
  <c r="F10" i="9"/>
  <c r="F12" i="9"/>
  <c r="G10" i="9" l="1"/>
  <c r="F11" i="9"/>
  <c r="G12" i="9"/>
  <c r="H10" i="9" l="1"/>
  <c r="H12" i="9"/>
  <c r="G11" i="9"/>
  <c r="I12" i="9" l="1"/>
  <c r="I10" i="9"/>
  <c r="H11" i="9"/>
  <c r="I11" i="9" l="1"/>
  <c r="J12" i="9"/>
  <c r="J10" i="9"/>
  <c r="J11" i="9" l="1"/>
  <c r="K12" i="9"/>
  <c r="K10" i="9"/>
  <c r="L12" i="9" l="1"/>
  <c r="L10" i="9"/>
  <c r="K11" i="9"/>
  <c r="M12" i="9" l="1"/>
  <c r="M10" i="9"/>
  <c r="L11" i="9"/>
  <c r="B24" i="9" l="1"/>
  <c r="M11" i="9"/>
  <c r="B22" i="9"/>
  <c r="B23" i="9" l="1"/>
  <c r="C22" i="9" s="1"/>
  <c r="C24" i="9"/>
  <c r="C23" i="9" l="1"/>
  <c r="D22" i="9" s="1"/>
  <c r="D24" i="9"/>
  <c r="D23" i="9" l="1"/>
  <c r="E22" i="9" s="1"/>
  <c r="E24" i="9"/>
  <c r="E23" i="9" l="1"/>
  <c r="F22" i="9" s="1"/>
  <c r="F24" i="9"/>
  <c r="F23" i="9" l="1"/>
  <c r="G22" i="9" s="1"/>
  <c r="G24" i="9"/>
  <c r="G23" i="9" l="1"/>
  <c r="H22" i="9" s="1"/>
  <c r="H24" i="9"/>
  <c r="I24" i="9" l="1"/>
  <c r="H23" i="9"/>
  <c r="I22" i="9" s="1"/>
  <c r="I23" i="9" l="1"/>
  <c r="J22" i="9" s="1"/>
  <c r="J24" i="9"/>
  <c r="J23" i="9" l="1"/>
  <c r="K22" i="9" s="1"/>
  <c r="K24" i="9"/>
  <c r="K23" i="9" l="1"/>
  <c r="L22" i="9" s="1"/>
  <c r="L24" i="9"/>
  <c r="L23" i="9" l="1"/>
  <c r="M22" i="9" s="1"/>
  <c r="M24" i="9"/>
  <c r="M23" i="9" s="1"/>
</calcChain>
</file>

<file path=xl/sharedStrings.xml><?xml version="1.0" encoding="utf-8"?>
<sst xmlns="http://schemas.openxmlformats.org/spreadsheetml/2006/main" count="2189" uniqueCount="638">
  <si>
    <t>Job #:____________</t>
  </si>
  <si>
    <t>Capital Job Initiation form</t>
  </si>
  <si>
    <t>Request for creation of new Job number</t>
  </si>
  <si>
    <t>Job Description (Long):</t>
  </si>
  <si>
    <t>Utility:</t>
  </si>
  <si>
    <t>Project Manager:</t>
  </si>
  <si>
    <t>Introduction</t>
  </si>
  <si>
    <t>The primary use of the document is to act as a base document against which approval to advance can be given, progress can be assessed, and changes can be made as needed.</t>
  </si>
  <si>
    <t>Parts of the JI Form might need to be amended as the project progresses.</t>
  </si>
  <si>
    <t>Process Flow</t>
  </si>
  <si>
    <t>Complete Cash Flow tab</t>
  </si>
  <si>
    <t>Complete JI Form tab</t>
  </si>
  <si>
    <t>Submit JI Form and Cash Flow to DU President/CEO (George Gordon) for approval</t>
  </si>
  <si>
    <t>Upon approval, signed documents should be forwarded to Accounting at USA.</t>
  </si>
  <si>
    <t>JI Form - Help</t>
  </si>
  <si>
    <t>NAV Code</t>
  </si>
  <si>
    <t>Cost Center</t>
  </si>
  <si>
    <t>Description</t>
  </si>
  <si>
    <t>NARUC Codes</t>
  </si>
  <si>
    <t>GAAP
Life</t>
  </si>
  <si>
    <t>Fed Tax MACRS
Life</t>
  </si>
  <si>
    <t>Bonus Depr</t>
  </si>
  <si>
    <t>EDS 301 1</t>
  </si>
  <si>
    <t>Intangible</t>
  </si>
  <si>
    <t>Organization</t>
  </si>
  <si>
    <t>N</t>
  </si>
  <si>
    <t>EDS 303 1</t>
  </si>
  <si>
    <t>Miscellaneous Intangible Plant</t>
  </si>
  <si>
    <t>EDS 310 10</t>
  </si>
  <si>
    <t>Production Plant/Steam Prod</t>
  </si>
  <si>
    <t>Land and Land Rights</t>
  </si>
  <si>
    <t>EDS 311 10</t>
  </si>
  <si>
    <t>Structures Improvement</t>
  </si>
  <si>
    <t>EDS 312 10</t>
  </si>
  <si>
    <t>Boiler Plant Equip</t>
  </si>
  <si>
    <t>Y</t>
  </si>
  <si>
    <t>EDS 313 10</t>
  </si>
  <si>
    <t>Eng, Engin Driven Generators</t>
  </si>
  <si>
    <t>EDS 314 10</t>
  </si>
  <si>
    <t>Turbogenerator Units</t>
  </si>
  <si>
    <t>EDS 315 10</t>
  </si>
  <si>
    <t>Accessory Electric Equipment</t>
  </si>
  <si>
    <t>EDS 316 10</t>
  </si>
  <si>
    <t>Misc Power Plant Equip</t>
  </si>
  <si>
    <t>EDS 342 10</t>
  </si>
  <si>
    <t>Fuel Holders, Producer</t>
  </si>
  <si>
    <t>EDS 344 10</t>
  </si>
  <si>
    <t xml:space="preserve">Production Plant/Other Production </t>
  </si>
  <si>
    <t>Generators</t>
  </si>
  <si>
    <t>EDS 350 3</t>
  </si>
  <si>
    <t>Transmission</t>
  </si>
  <si>
    <t>EDS 352 3</t>
  </si>
  <si>
    <t>Structures &amp; Improvements</t>
  </si>
  <si>
    <t>EDS 353 3</t>
  </si>
  <si>
    <t>Station Equipment</t>
  </si>
  <si>
    <t>EDS 354 3</t>
  </si>
  <si>
    <t>Towers and Fixtures</t>
  </si>
  <si>
    <t>EDS 355 3</t>
  </si>
  <si>
    <t>Poles and Fixtures</t>
  </si>
  <si>
    <t>EDS 356 3</t>
  </si>
  <si>
    <t>Overhead Conductors &amp; Devices</t>
  </si>
  <si>
    <t>EDS 357 3</t>
  </si>
  <si>
    <t>Underground Conduit</t>
  </si>
  <si>
    <t>EDS 358 3</t>
  </si>
  <si>
    <t>Underground Conductors &amp; Devices</t>
  </si>
  <si>
    <t>EDS 359 3</t>
  </si>
  <si>
    <t>Road and Trails</t>
  </si>
  <si>
    <t>EDS 360 4</t>
  </si>
  <si>
    <t>Distribution</t>
  </si>
  <si>
    <t>EDS 361 4</t>
  </si>
  <si>
    <t>Structures and Improvements</t>
  </si>
  <si>
    <t>EDS 362 4</t>
  </si>
  <si>
    <t>EDS 363 4</t>
  </si>
  <si>
    <t>Storage Battery Equipment</t>
  </si>
  <si>
    <t>EDS 364 4</t>
  </si>
  <si>
    <t>Poles, Towers, and Fixtures</t>
  </si>
  <si>
    <t>40 &amp; 50</t>
  </si>
  <si>
    <t>EDS 365 4</t>
  </si>
  <si>
    <t>Overhead Conductors and Devices</t>
  </si>
  <si>
    <t>35 &amp; 50</t>
  </si>
  <si>
    <t>EDS 366 4</t>
  </si>
  <si>
    <t>85 &amp; 105</t>
  </si>
  <si>
    <t>EDS 367 4</t>
  </si>
  <si>
    <t>Underground Conductors and Devices</t>
  </si>
  <si>
    <t>EDS 368 4</t>
  </si>
  <si>
    <t>Line Transformers</t>
  </si>
  <si>
    <t>EDS 369 4</t>
  </si>
  <si>
    <t>Services</t>
  </si>
  <si>
    <t>EDS 370 4</t>
  </si>
  <si>
    <t>Meters</t>
  </si>
  <si>
    <t>EDS 371 4</t>
  </si>
  <si>
    <t>Installation on Customer's Premises</t>
  </si>
  <si>
    <t>EDS 372 4</t>
  </si>
  <si>
    <t>Leased Property on Customers Premises</t>
  </si>
  <si>
    <t>EDS 373 4</t>
  </si>
  <si>
    <t>Street Lighting and Signal Systems</t>
  </si>
  <si>
    <t>EDS 389 5</t>
  </si>
  <si>
    <t>General Plant</t>
  </si>
  <si>
    <t>EDS 390 5</t>
  </si>
  <si>
    <t>EDS 391 5</t>
  </si>
  <si>
    <t>EDS 392 5</t>
  </si>
  <si>
    <t>Transportation Equipment</t>
  </si>
  <si>
    <t>EDS 393 5</t>
  </si>
  <si>
    <t>Stores Equipment</t>
  </si>
  <si>
    <t>EDS 394 5</t>
  </si>
  <si>
    <t>Tools, Shop and Garage Equipment</t>
  </si>
  <si>
    <t>EDS 395 5</t>
  </si>
  <si>
    <t>Laboratory Equipment</t>
  </si>
  <si>
    <t>EDS 396 5</t>
  </si>
  <si>
    <t>Power Operated Equipment</t>
  </si>
  <si>
    <t>EDS 397 5</t>
  </si>
  <si>
    <t>Communication Equipment</t>
  </si>
  <si>
    <t>EDS 398 5</t>
  </si>
  <si>
    <t>Miscellaneous Equipment</t>
  </si>
  <si>
    <t>EDS 399 5</t>
  </si>
  <si>
    <t>Other Tangible Equipment</t>
  </si>
  <si>
    <t>WTD 301 1</t>
  </si>
  <si>
    <t>WTD 339 1</t>
  </si>
  <si>
    <t>WTD 303 4</t>
  </si>
  <si>
    <t>WTD 304 4</t>
  </si>
  <si>
    <t>WTD 311 4</t>
  </si>
  <si>
    <t>Pumping Equipment</t>
  </si>
  <si>
    <t>WTD 330 4</t>
  </si>
  <si>
    <t>Reservoirs and Standpipes</t>
  </si>
  <si>
    <t>WTD 331 4</t>
  </si>
  <si>
    <t>Transmission and Distribution Mains</t>
  </si>
  <si>
    <t>WTD 333 4</t>
  </si>
  <si>
    <t>WTD 334 4</t>
  </si>
  <si>
    <t>WTD 335 4</t>
  </si>
  <si>
    <t>Hydrants</t>
  </si>
  <si>
    <t>WTD 336 4</t>
  </si>
  <si>
    <t>Backflow Prevention Devices</t>
  </si>
  <si>
    <t>WTD 339 4</t>
  </si>
  <si>
    <t>Other Plant and Misc Equipment</t>
  </si>
  <si>
    <t>WTD 302 2</t>
  </si>
  <si>
    <t>Source and Pumping</t>
  </si>
  <si>
    <t>Franchise</t>
  </si>
  <si>
    <t>WTD 304 2</t>
  </si>
  <si>
    <t>WTD 305 2</t>
  </si>
  <si>
    <t>Collect and Impound Reservoirs</t>
  </si>
  <si>
    <t>WTD 306 2</t>
  </si>
  <si>
    <t>Lake, River and Other Intakes</t>
  </si>
  <si>
    <t>WTD 307 2</t>
  </si>
  <si>
    <t>Wells and Springs</t>
  </si>
  <si>
    <t>WTD 308 2</t>
  </si>
  <si>
    <t>Infiltration Galleries &amp; Tunnel</t>
  </si>
  <si>
    <t>WTD 309 2</t>
  </si>
  <si>
    <t>Supply Mains</t>
  </si>
  <si>
    <t>WTD 310 2</t>
  </si>
  <si>
    <t>Power Generation</t>
  </si>
  <si>
    <t>WTD 311 2</t>
  </si>
  <si>
    <t>WTD 339 2</t>
  </si>
  <si>
    <t>WTD 303 3</t>
  </si>
  <si>
    <t>Treatment</t>
  </si>
  <si>
    <t>WTD 304 3</t>
  </si>
  <si>
    <t>WTD 311 3</t>
  </si>
  <si>
    <t>WTD 320 3</t>
  </si>
  <si>
    <t>Water Treatment Equipment</t>
  </si>
  <si>
    <t>25 &amp; 30</t>
  </si>
  <si>
    <t>WTD 339 3</t>
  </si>
  <si>
    <t>WTD 303 5</t>
  </si>
  <si>
    <t>WTD 304 5</t>
  </si>
  <si>
    <t>WTD 340 5</t>
  </si>
  <si>
    <t>WTD 341 5</t>
  </si>
  <si>
    <t>WTD 342 5</t>
  </si>
  <si>
    <t>WTD 343 5</t>
  </si>
  <si>
    <t>WTD 344 5</t>
  </si>
  <si>
    <t>WTD 345 5</t>
  </si>
  <si>
    <t>WTD 346 5</t>
  </si>
  <si>
    <t>WTD 347 5</t>
  </si>
  <si>
    <t>WTD 348 5</t>
  </si>
  <si>
    <t>WWC 351 1</t>
  </si>
  <si>
    <t>WWC 389 1</t>
  </si>
  <si>
    <t>WWC 353 2</t>
  </si>
  <si>
    <t>Collection</t>
  </si>
  <si>
    <t>WWC 354 2</t>
  </si>
  <si>
    <t>WWC 355 2</t>
  </si>
  <si>
    <t>Power Generation Equipment</t>
  </si>
  <si>
    <t>WWC 360 2</t>
  </si>
  <si>
    <t>Sewer Mains Force</t>
  </si>
  <si>
    <t>WWC 361 2</t>
  </si>
  <si>
    <t>Sewer Mains Gravity</t>
  </si>
  <si>
    <t>WWC 362 2</t>
  </si>
  <si>
    <t>Special Collecting Structures</t>
  </si>
  <si>
    <t>WWC 363 2</t>
  </si>
  <si>
    <t>Services to Customers</t>
  </si>
  <si>
    <t>WWC 364 2</t>
  </si>
  <si>
    <t>WWC 365 2</t>
  </si>
  <si>
    <t>Flow Measuring Installations</t>
  </si>
  <si>
    <t>WWC 389 2</t>
  </si>
  <si>
    <t>Other Plant and Miscellaneous Equipment</t>
  </si>
  <si>
    <t>WWC 353 4</t>
  </si>
  <si>
    <t>WWC 354 4</t>
  </si>
  <si>
    <t>WWC 355 4</t>
  </si>
  <si>
    <t>WWC 380 4</t>
  </si>
  <si>
    <t>Treatment and Disposal Equipment</t>
  </si>
  <si>
    <t>WWC 381 4</t>
  </si>
  <si>
    <t>Plant Sewers</t>
  </si>
  <si>
    <t>WWC 382 4</t>
  </si>
  <si>
    <t>Outfall Sewer Lines</t>
  </si>
  <si>
    <t>WWC 389 4</t>
  </si>
  <si>
    <t>WWC 353 7</t>
  </si>
  <si>
    <t>WWC 354 7</t>
  </si>
  <si>
    <t>WWC 390 7</t>
  </si>
  <si>
    <t>WWC 391 7</t>
  </si>
  <si>
    <t>WWC 392 7</t>
  </si>
  <si>
    <t>WWC 393 7</t>
  </si>
  <si>
    <t>WWC 394 7</t>
  </si>
  <si>
    <t>WWC 395 7</t>
  </si>
  <si>
    <t>WWC 396 7</t>
  </si>
  <si>
    <t>WWC 397 7</t>
  </si>
  <si>
    <t>WWC 398 7</t>
  </si>
  <si>
    <t>DHS 301 1</t>
  </si>
  <si>
    <t>n/a</t>
  </si>
  <si>
    <t>DHS 303 1</t>
  </si>
  <si>
    <t>DHS 211 8</t>
  </si>
  <si>
    <t>CHPP Plant</t>
  </si>
  <si>
    <t>Boiler Plant Equip - 75 years</t>
  </si>
  <si>
    <t>70 &amp; 75</t>
  </si>
  <si>
    <t>DHS 212 8</t>
  </si>
  <si>
    <t>Boiler Plant Equip - 50 years</t>
  </si>
  <si>
    <t>DHS 214 8</t>
  </si>
  <si>
    <t>Boiler - Deaeriator</t>
  </si>
  <si>
    <t>DHS 215 8</t>
  </si>
  <si>
    <t>Boiler - Feedwater Heaters</t>
  </si>
  <si>
    <t>DHS 216 8</t>
  </si>
  <si>
    <t>Boiler - Feedwater Pump</t>
  </si>
  <si>
    <t>DHS 235 8</t>
  </si>
  <si>
    <t>DHS 242 8</t>
  </si>
  <si>
    <t>Other-Fuel Holders, Producer</t>
  </si>
  <si>
    <t>DHS 261 8</t>
  </si>
  <si>
    <t>Turbogenerator Unit</t>
  </si>
  <si>
    <t>DHS 262 8</t>
  </si>
  <si>
    <t>Engine Driven Generators</t>
  </si>
  <si>
    <t>DHS 263 8</t>
  </si>
  <si>
    <t>DHS 264 8</t>
  </si>
  <si>
    <t>Other Systems</t>
  </si>
  <si>
    <t>35 &amp; 40</t>
  </si>
  <si>
    <t>DHS 349 8</t>
  </si>
  <si>
    <t>DHS 350 8</t>
  </si>
  <si>
    <t>DHS 291 11</t>
  </si>
  <si>
    <t xml:space="preserve">Ash Handling </t>
  </si>
  <si>
    <t>Ash Blowers</t>
  </si>
  <si>
    <t>DHS 292 11</t>
  </si>
  <si>
    <t>Ash Silo and Unloader</t>
  </si>
  <si>
    <t>DHS 293 11</t>
  </si>
  <si>
    <t>Ash System Bag House</t>
  </si>
  <si>
    <t>DHS 294 11</t>
  </si>
  <si>
    <t>Clinker Crushers</t>
  </si>
  <si>
    <t>DHS 213 9</t>
  </si>
  <si>
    <t>Coal Handling</t>
  </si>
  <si>
    <t>Boiler Plant Equipment - Other</t>
  </si>
  <si>
    <t>DHS 281 9</t>
  </si>
  <si>
    <t>Bucket Elevators</t>
  </si>
  <si>
    <t>DHS 282 9</t>
  </si>
  <si>
    <t>Coal Conveyers</t>
  </si>
  <si>
    <t>DHS 283 9</t>
  </si>
  <si>
    <t>Coal Crushers</t>
  </si>
  <si>
    <t>DHS 284 9</t>
  </si>
  <si>
    <t>Coal Feeders</t>
  </si>
  <si>
    <t>DHS 285 9</t>
  </si>
  <si>
    <t>Screening System</t>
  </si>
  <si>
    <t>DHS 286 9</t>
  </si>
  <si>
    <t>Track Mobile</t>
  </si>
  <si>
    <t>DHS 287 9</t>
  </si>
  <si>
    <t>Other Equip</t>
  </si>
  <si>
    <t>DHS 221 4</t>
  </si>
  <si>
    <t>Steam Meters</t>
  </si>
  <si>
    <t>20 &amp; 25</t>
  </si>
  <si>
    <t>DHS 222 4</t>
  </si>
  <si>
    <t>Steam Meter Installations</t>
  </si>
  <si>
    <t>DHS 231 4</t>
  </si>
  <si>
    <t xml:space="preserve">CHPP Utilidors-Direct Buried- Condensate Lines </t>
  </si>
  <si>
    <t>DHS 232 4</t>
  </si>
  <si>
    <t xml:space="preserve">CHPP Utilidors-Direct Buried- Steam Lines </t>
  </si>
  <si>
    <t>DHS 350 4</t>
  </si>
  <si>
    <t>DHS 271 3</t>
  </si>
  <si>
    <t xml:space="preserve">Water Treatment </t>
  </si>
  <si>
    <t>Chemical Feed System</t>
  </si>
  <si>
    <t>DHS 272 3</t>
  </si>
  <si>
    <t>Condensate Polisher</t>
  </si>
  <si>
    <t>DHS 273 3</t>
  </si>
  <si>
    <t>Condensate Pumps-Storage Tanks</t>
  </si>
  <si>
    <t>DHS 274 3</t>
  </si>
  <si>
    <t>Manholes</t>
  </si>
  <si>
    <t>DHS 349 5</t>
  </si>
  <si>
    <t>DHS 350 5</t>
  </si>
  <si>
    <t>DHS 351 5</t>
  </si>
  <si>
    <t>Plant Equipment</t>
  </si>
  <si>
    <t>DHS 352 5</t>
  </si>
  <si>
    <t>10, 15, 20 &amp; 30</t>
  </si>
  <si>
    <t>DHS 353 5</t>
  </si>
  <si>
    <t>Transmission Assets</t>
  </si>
  <si>
    <t>DHS 354 5</t>
  </si>
  <si>
    <t>Steam Lines</t>
  </si>
  <si>
    <t>DHS 355 5</t>
  </si>
  <si>
    <t>Capital Spares</t>
  </si>
  <si>
    <t>DHS 356 5</t>
  </si>
  <si>
    <t>Furniture and Office Equipment</t>
  </si>
  <si>
    <t>DHS 357 5</t>
  </si>
  <si>
    <t>Computer, Netwrk, Communication Equp</t>
  </si>
  <si>
    <t>DHS 358 5</t>
  </si>
  <si>
    <t>DHS 359 5</t>
  </si>
  <si>
    <t>NGD 301 1</t>
  </si>
  <si>
    <t>NGD 303 1</t>
  </si>
  <si>
    <t>NGD 374 5</t>
  </si>
  <si>
    <t>NGD 375 5</t>
  </si>
  <si>
    <t>NGD 376 5</t>
  </si>
  <si>
    <t>Mains</t>
  </si>
  <si>
    <t>25, 70 &amp; 75</t>
  </si>
  <si>
    <t>NGD 377 5</t>
  </si>
  <si>
    <t>Compressor Station Equipment</t>
  </si>
  <si>
    <t>NGD 378 5</t>
  </si>
  <si>
    <t>Measuring and Regulating Stn Equip General</t>
  </si>
  <si>
    <t>NGD 379 5</t>
  </si>
  <si>
    <t>Meas and Reg Stn Equip - Gate Chk Stations</t>
  </si>
  <si>
    <t>NGD 380 5</t>
  </si>
  <si>
    <t>NGD 381 5</t>
  </si>
  <si>
    <t>NGD 382 5</t>
  </si>
  <si>
    <t>Meter Installations</t>
  </si>
  <si>
    <t>NGD 383 5</t>
  </si>
  <si>
    <t>House Regulators</t>
  </si>
  <si>
    <t>NGD 384 5</t>
  </si>
  <si>
    <t>House Regulator Installations</t>
  </si>
  <si>
    <t>NGD 385 5</t>
  </si>
  <si>
    <t>Indust Measure and Reg Station Equip</t>
  </si>
  <si>
    <t>NGD 386 5</t>
  </si>
  <si>
    <t>Other Property on Customers' Premises</t>
  </si>
  <si>
    <t>NGD 387 5</t>
  </si>
  <si>
    <t>Other Equipment</t>
  </si>
  <si>
    <t>NGD 389 6</t>
  </si>
  <si>
    <t>NGD 390 6</t>
  </si>
  <si>
    <t>NGD 391 6</t>
  </si>
  <si>
    <t>NGD 392 6</t>
  </si>
  <si>
    <t>NGD 393 6</t>
  </si>
  <si>
    <t>NGD 394 6</t>
  </si>
  <si>
    <t>NGD 395 6</t>
  </si>
  <si>
    <t>NGD 396 6</t>
  </si>
  <si>
    <t>NGD 397 6</t>
  </si>
  <si>
    <t>NGD 398 6</t>
  </si>
  <si>
    <t>NGD 399 6</t>
  </si>
  <si>
    <t>A copy of all project plans and specifications are provided to accounting and kept in the job file.</t>
  </si>
  <si>
    <t>Updates/changes are provided to Accounting regularly.</t>
  </si>
  <si>
    <t>All change orders require approval by management.</t>
  </si>
  <si>
    <t>General Definitions</t>
  </si>
  <si>
    <t>Help - JI Form - Field Assistance</t>
  </si>
  <si>
    <r>
      <t>Job Description (Short)</t>
    </r>
    <r>
      <rPr>
        <sz val="10"/>
        <rFont val="Arial"/>
        <family val="2"/>
      </rPr>
      <t xml:space="preserve"> This field will carry forward as the name or title of the job.  
Be as specific as you can, within space provided. Maximum of 50 characters. </t>
    </r>
  </si>
  <si>
    <r>
      <t>Division</t>
    </r>
    <r>
      <rPr>
        <sz val="10"/>
        <rFont val="Arial"/>
        <family val="2"/>
      </rPr>
      <t xml:space="preserve">  Using the drop down menu, select the applicable Division (Corporate, Fort Wainwright, Fort Richardson or Fort Greely).  Only one selection is permitted per JI Form.</t>
    </r>
  </si>
  <si>
    <r>
      <t>Utility</t>
    </r>
    <r>
      <rPr>
        <sz val="10"/>
        <rFont val="Arial"/>
        <family val="2"/>
      </rPr>
      <t xml:space="preserve">  Using the drop down menu, select the applicable Utility (Corporate, Natural Gas, Water, Waste Water, Electric Distribution, Central Heating Plant).  Only one selection is permitted per JI Form.</t>
    </r>
  </si>
  <si>
    <t>1. Original Contract</t>
  </si>
  <si>
    <t>3. COR MOD</t>
  </si>
  <si>
    <t>4. Other MOD</t>
  </si>
  <si>
    <t>5. Corporate</t>
  </si>
  <si>
    <t>6. An Individual</t>
  </si>
  <si>
    <t>2. Contract Mod</t>
  </si>
  <si>
    <r>
      <t xml:space="preserve">     </t>
    </r>
    <r>
      <rPr>
        <b/>
        <sz val="10"/>
        <rFont val="Arial"/>
        <family val="2"/>
      </rPr>
      <t>1.</t>
    </r>
    <r>
      <rPr>
        <sz val="10"/>
        <rFont val="Arial"/>
        <family val="2"/>
      </rPr>
      <t xml:space="preserve"> Original Contract         -       Enter Letter/# designator (i.e. HCU10)</t>
    </r>
  </si>
  <si>
    <r>
      <t xml:space="preserve">    </t>
    </r>
    <r>
      <rPr>
        <b/>
        <sz val="10"/>
        <rFont val="Arial"/>
        <family val="2"/>
      </rPr>
      <t xml:space="preserve"> 2.</t>
    </r>
    <r>
      <rPr>
        <sz val="10"/>
        <rFont val="Arial"/>
        <family val="2"/>
      </rPr>
      <t xml:space="preserve"> Contract Mod        -       Enter Letter/# designator (i.e. HCU10)</t>
    </r>
  </si>
  <si>
    <r>
      <t xml:space="preserve">     </t>
    </r>
    <r>
      <rPr>
        <b/>
        <sz val="10"/>
        <rFont val="Arial"/>
        <family val="2"/>
      </rPr>
      <t>3.</t>
    </r>
    <r>
      <rPr>
        <sz val="10"/>
        <rFont val="Arial"/>
        <family val="2"/>
      </rPr>
      <t xml:space="preserve"> COR MOD (Contracting Officer's Rep MOD)        -       Enter Letter/# designator</t>
    </r>
  </si>
  <si>
    <r>
      <t xml:space="preserve">    </t>
    </r>
    <r>
      <rPr>
        <b/>
        <sz val="10"/>
        <rFont val="Arial"/>
        <family val="2"/>
      </rPr>
      <t xml:space="preserve"> 4.</t>
    </r>
    <r>
      <rPr>
        <sz val="10"/>
        <rFont val="Arial"/>
        <family val="2"/>
      </rPr>
      <t xml:space="preserve"> Other MOD       -       Enter Letter/# designator</t>
    </r>
  </si>
  <si>
    <r>
      <t xml:space="preserve">     </t>
    </r>
    <r>
      <rPr>
        <b/>
        <sz val="10"/>
        <rFont val="Arial"/>
        <family val="2"/>
      </rPr>
      <t>5.</t>
    </r>
    <r>
      <rPr>
        <sz val="10"/>
        <rFont val="Arial"/>
        <family val="2"/>
      </rPr>
      <t xml:space="preserve"> Corporate        -       Enter Corporate Department or Title (i.e. IT, etc.)</t>
    </r>
  </si>
  <si>
    <r>
      <t xml:space="preserve">     </t>
    </r>
    <r>
      <rPr>
        <b/>
        <sz val="10"/>
        <rFont val="Arial"/>
        <family val="2"/>
      </rPr>
      <t>6.</t>
    </r>
    <r>
      <rPr>
        <sz val="10"/>
        <rFont val="Arial"/>
        <family val="2"/>
      </rPr>
      <t xml:space="preserve"> An Individual     -     This should be the last choice!  Enter the name of person</t>
    </r>
  </si>
  <si>
    <r>
      <t xml:space="preserve">Job Description (Long)  </t>
    </r>
    <r>
      <rPr>
        <sz val="10"/>
        <rFont val="Arial"/>
        <family val="2"/>
      </rPr>
      <t>Explain what the project is setting out to achieve.  Be as specific as you can.  Target: One paragraph.</t>
    </r>
  </si>
  <si>
    <t>Requested by Description:</t>
  </si>
  <si>
    <r>
      <t>Start Date</t>
    </r>
    <r>
      <rPr>
        <sz val="10"/>
        <rFont val="Arial"/>
        <family val="2"/>
      </rPr>
      <t xml:space="preserve"> Enter the start date of the project.  This is the date that we will begin spending money (manpower, supplies, contracts, etc.).</t>
    </r>
  </si>
  <si>
    <r>
      <t>Subclass Cost Estimate</t>
    </r>
    <r>
      <rPr>
        <sz val="10"/>
        <rFont val="Arial"/>
        <family val="2"/>
      </rPr>
      <t xml:space="preserve"> Enter the cost estimate of each of the retirement units if known.  The total of all subclass estimates should be the same as the full cost estimate for the Job.</t>
    </r>
  </si>
  <si>
    <r>
      <t>Subclasses</t>
    </r>
    <r>
      <rPr>
        <sz val="10"/>
        <rFont val="Arial"/>
        <family val="2"/>
      </rPr>
      <t xml:space="preserve"> Enter one or more retirement units if known. </t>
    </r>
  </si>
  <si>
    <t>A listing of subclasses is located in the Subclasses tab.</t>
  </si>
  <si>
    <t>Subclass Cost Estimate</t>
  </si>
  <si>
    <t>Cash Flow tab</t>
  </si>
  <si>
    <r>
      <t>Additional Comments</t>
    </r>
    <r>
      <rPr>
        <sz val="10"/>
        <rFont val="Arial"/>
        <family val="2"/>
      </rPr>
      <t xml:space="preserve"> List any additional comments, pictures, maps, etc. for reference in the Job file.</t>
    </r>
  </si>
  <si>
    <r>
      <t>Your Name</t>
    </r>
    <r>
      <rPr>
        <sz val="10"/>
        <rFont val="Arial"/>
        <family val="2"/>
      </rPr>
      <t xml:space="preserve"> Enter your name </t>
    </r>
  </si>
  <si>
    <r>
      <t>JI Form</t>
    </r>
    <r>
      <rPr>
        <sz val="10"/>
        <rFont val="Arial"/>
        <family val="2"/>
      </rPr>
      <t xml:space="preserve"> - Job Initiation Form</t>
    </r>
  </si>
  <si>
    <r>
      <t>Capital Projects</t>
    </r>
    <r>
      <rPr>
        <sz val="10"/>
        <rFont val="Arial"/>
        <family val="2"/>
      </rPr>
      <t xml:space="preserve"> - Defined as investor owned or contributed plant (self constructed or subcontracted by bid award).  Job tasks are defined to ensure proper classification upon completion of the project.</t>
    </r>
  </si>
  <si>
    <r>
      <t xml:space="preserve">The </t>
    </r>
    <r>
      <rPr>
        <b/>
        <sz val="10"/>
        <rFont val="Antique Olive"/>
        <family val="2"/>
      </rPr>
      <t>Job Initiation Form</t>
    </r>
    <r>
      <rPr>
        <sz val="10"/>
        <rFont val="Antique Olive"/>
        <family val="2"/>
      </rPr>
      <t xml:space="preserve"> is a working document for managing and directing a capital project.  It is the focal point at which information relating to the project is gathered for approval by Management and serves to remind all of the project scope.  A clear understanding of the project ensures that the major needs are identified and incorporated into the planning of the project.</t>
    </r>
  </si>
  <si>
    <t xml:space="preserve"> </t>
  </si>
  <si>
    <t>Division:</t>
  </si>
  <si>
    <t>Start Date:</t>
  </si>
  <si>
    <t>Division</t>
  </si>
  <si>
    <t>Utility</t>
  </si>
  <si>
    <t>Corporate</t>
  </si>
  <si>
    <t>Fort Wainwright</t>
  </si>
  <si>
    <t>Fort Richardson</t>
  </si>
  <si>
    <t>Fort Greely</t>
  </si>
  <si>
    <t>Natural Gas</t>
  </si>
  <si>
    <t>Water</t>
  </si>
  <si>
    <t>Waste Water</t>
  </si>
  <si>
    <t>Electric Distribution</t>
  </si>
  <si>
    <t>Central Heating Plant</t>
  </si>
  <si>
    <t>Requested By</t>
  </si>
  <si>
    <t>Est Completion Date:</t>
  </si>
  <si>
    <t>Total Subclass Estimate</t>
  </si>
  <si>
    <t>Cost Est - Subclass Est</t>
  </si>
  <si>
    <t>Cash Flow?</t>
  </si>
  <si>
    <t>See Attached</t>
  </si>
  <si>
    <t>N/A</t>
  </si>
  <si>
    <r>
      <t>Job #</t>
    </r>
    <r>
      <rPr>
        <sz val="10"/>
        <rFont val="Arial"/>
        <family val="2"/>
      </rPr>
      <t xml:space="preserve"> This field will be completed by Accounting</t>
    </r>
  </si>
  <si>
    <t>For use by Accounting Office:</t>
  </si>
  <si>
    <t>Approved by:</t>
  </si>
  <si>
    <t xml:space="preserve">Approved on: </t>
  </si>
  <si>
    <t>Date Job Created:</t>
  </si>
  <si>
    <t>Assigned Job #:</t>
  </si>
  <si>
    <t>For use by DU President/CEO:</t>
  </si>
  <si>
    <t>Description of retirements:</t>
  </si>
  <si>
    <t>Requested by:</t>
  </si>
  <si>
    <t>Job Description (Short):</t>
  </si>
  <si>
    <t>Cost Estimate:</t>
  </si>
  <si>
    <t>Cash Flow Estimate:</t>
  </si>
  <si>
    <t>Additional comments:</t>
  </si>
  <si>
    <t>Your name:</t>
  </si>
  <si>
    <t>General Help</t>
  </si>
  <si>
    <r>
      <t>JI Form</t>
    </r>
    <r>
      <rPr>
        <sz val="10"/>
        <rFont val="Arial"/>
        <family val="2"/>
      </rPr>
      <t xml:space="preserve"> - The Job Initiation Form is integrated with links to help the end-user complete the form.  Tips can be found within the JI Form by hovering the mouse pointer on the name of a field.  Further information can be found by clicking directly on the name of a field.  </t>
    </r>
  </si>
  <si>
    <t>Cash Flow</t>
  </si>
  <si>
    <t>Capital Job Revision form</t>
  </si>
  <si>
    <t>Job #:</t>
  </si>
  <si>
    <t>Describe Change (Long):</t>
  </si>
  <si>
    <t>Updated Job #:</t>
  </si>
  <si>
    <t>Date Job Changed:</t>
  </si>
  <si>
    <t>return to field</t>
  </si>
  <si>
    <r>
      <t>Requested by</t>
    </r>
    <r>
      <rPr>
        <sz val="10"/>
        <rFont val="Arial"/>
        <family val="2"/>
      </rPr>
      <t xml:space="preserve">  Using the drop down menu, select the applicable option (</t>
    </r>
    <r>
      <rPr>
        <b/>
        <sz val="10"/>
        <rFont val="Arial"/>
        <family val="2"/>
      </rPr>
      <t>1</t>
    </r>
    <r>
      <rPr>
        <sz val="10"/>
        <rFont val="Arial"/>
        <family val="2"/>
      </rPr>
      <t xml:space="preserve">. Original Contract, </t>
    </r>
    <r>
      <rPr>
        <b/>
        <sz val="10"/>
        <rFont val="Arial"/>
        <family val="2"/>
      </rPr>
      <t>2</t>
    </r>
    <r>
      <rPr>
        <sz val="10"/>
        <rFont val="Arial"/>
        <family val="2"/>
      </rPr>
      <t xml:space="preserve">. Contract Mod, </t>
    </r>
    <r>
      <rPr>
        <b/>
        <sz val="10"/>
        <rFont val="Arial"/>
        <family val="2"/>
      </rPr>
      <t>3</t>
    </r>
    <r>
      <rPr>
        <sz val="10"/>
        <rFont val="Arial"/>
        <family val="2"/>
      </rPr>
      <t xml:space="preserve">. COR MOD, </t>
    </r>
    <r>
      <rPr>
        <b/>
        <sz val="10"/>
        <rFont val="Arial"/>
        <family val="2"/>
      </rPr>
      <t>4</t>
    </r>
    <r>
      <rPr>
        <sz val="10"/>
        <rFont val="Arial"/>
        <family val="2"/>
      </rPr>
      <t xml:space="preserve">. Other MOD, </t>
    </r>
    <r>
      <rPr>
        <b/>
        <sz val="10"/>
        <rFont val="Arial"/>
        <family val="2"/>
      </rPr>
      <t>5</t>
    </r>
    <r>
      <rPr>
        <sz val="10"/>
        <rFont val="Arial"/>
        <family val="2"/>
      </rPr>
      <t xml:space="preserve">. Corporate, </t>
    </r>
    <r>
      <rPr>
        <b/>
        <sz val="10"/>
        <rFont val="Arial"/>
        <family val="2"/>
      </rPr>
      <t>6</t>
    </r>
    <r>
      <rPr>
        <sz val="10"/>
        <rFont val="Arial"/>
        <family val="2"/>
      </rPr>
      <t xml:space="preserve">. An Individual).  Only one selection is permitted per JI Form. </t>
    </r>
    <r>
      <rPr>
        <i/>
        <sz val="10"/>
        <rFont val="Arial"/>
        <family val="2"/>
      </rPr>
      <t>Data in this field should correspond with those in the field titled, "Requested By Description".</t>
    </r>
  </si>
  <si>
    <r>
      <t>Requested by Description</t>
    </r>
    <r>
      <rPr>
        <sz val="10"/>
        <rFont val="Arial"/>
        <family val="2"/>
      </rPr>
      <t xml:space="preserve">  Based on the selection in the "Requested By" field, enter the corresponding information: select the applicable option </t>
    </r>
    <r>
      <rPr>
        <sz val="10"/>
        <rFont val="Arial"/>
        <family val="2"/>
      </rPr>
      <t xml:space="preserve"> </t>
    </r>
  </si>
  <si>
    <t>Data in this field should correspond with those in the field titled, "Requested By".</t>
  </si>
  <si>
    <t>Data in this field should correspond with those in the field titled, "Subclass Cost Estimate".</t>
  </si>
  <si>
    <t>Data in this field should correspond with those in the field titled, "Subclasses".</t>
  </si>
  <si>
    <r>
      <t>Project Manager</t>
    </r>
    <r>
      <rPr>
        <sz val="10"/>
        <rFont val="Arial"/>
        <family val="2"/>
      </rPr>
      <t xml:space="preserve"> Enter the name of the Project Manager/Requestor for this job. </t>
    </r>
  </si>
  <si>
    <r>
      <t>Cost Estimate</t>
    </r>
    <r>
      <rPr>
        <sz val="10"/>
        <rFont val="Arial"/>
        <family val="2"/>
      </rPr>
      <t xml:space="preserve"> Enter the cost estimate of the entire job.  The total of all subclass estimates should be the same as the full cost estimate for the Job.  </t>
    </r>
    <r>
      <rPr>
        <b/>
        <u/>
        <sz val="10"/>
        <rFont val="Arial"/>
        <family val="2"/>
      </rPr>
      <t>Updates should be provided to Accounting as better information becomes available.</t>
    </r>
  </si>
  <si>
    <r>
      <t>Cash Flow Estimate</t>
    </r>
    <r>
      <rPr>
        <sz val="10"/>
        <rFont val="Arial"/>
        <family val="2"/>
      </rPr>
      <t xml:space="preserve"> Provide a current Cash Flow estimate within the Cash Flow tab, or attach to the completed JI Form for approval.  Cash Flow should be broken out by year/quarter or year/month.  </t>
    </r>
    <r>
      <rPr>
        <b/>
        <u/>
        <sz val="10"/>
        <rFont val="Arial"/>
        <family val="2"/>
      </rPr>
      <t>Updates should be provided to Accounting as better information becomes available.</t>
    </r>
  </si>
  <si>
    <r>
      <t>Description of Retirements</t>
    </r>
    <r>
      <rPr>
        <sz val="10"/>
        <rFont val="Arial"/>
        <family val="2"/>
      </rPr>
      <t xml:space="preserve"> List the associated capital items that will be removed from service (demolished, retired, scrapped, sold, etc.) due to the completion of this job. Please include description, age, size, quantity, manufacturer, location, etc.
While this may not be known at the time a job is initiated, i</t>
    </r>
    <r>
      <rPr>
        <b/>
        <sz val="10"/>
        <rFont val="Arial"/>
        <family val="2"/>
      </rPr>
      <t>t will have to be done at some time during the life of the job</t>
    </r>
    <r>
      <rPr>
        <sz val="10"/>
        <rFont val="Arial"/>
        <family val="2"/>
      </rPr>
      <t>!  Close coordination with Accounting / GIS will be required.</t>
    </r>
  </si>
  <si>
    <t>THIS FORM IS NOT VALID WITHOUT APPROVING SIGNATURE OF GEORGE GORDON, PRESIDENT/CEO</t>
  </si>
  <si>
    <t>Job Description:</t>
  </si>
  <si>
    <t>DIV:</t>
  </si>
  <si>
    <t>CPM?:</t>
  </si>
  <si>
    <t>CPM?</t>
  </si>
  <si>
    <t>Yes</t>
  </si>
  <si>
    <t>No</t>
  </si>
  <si>
    <t>Start Month:</t>
  </si>
  <si>
    <t>Duration (months):</t>
  </si>
  <si>
    <t>Capital Job Initiation (JI)</t>
  </si>
  <si>
    <t xml:space="preserve">Acquisition or construction of new facilities shall be done in accordance with the Army and Management Committee’s approved capital plan, or modifications to the contracts.  Prior to approving the acquisition or construction of a new asset, management shall be presented with an estimate of the full cost to purchase or construct the new asset.  Upon determination of approval, management and/or the Management Committee will ensure resources are adequate to meet these needs.  </t>
  </si>
  <si>
    <t>Job #s will be created in NAV Job System and provided via email to requesting party.</t>
  </si>
  <si>
    <t>Copies of all signed contracts are provided to Accounting and filed in the job file (which will be incorporated into the CPR (Continuing Property Record)).</t>
  </si>
  <si>
    <t>Notify Accounting when the project is scheduled to be completed and placed into service.</t>
  </si>
  <si>
    <t>Only enter data into the highlighted cells and the drop-down selection cells. Highlighting will automatically disappear from each cell as data is entered into the cell. If all else fails, fill the form out by hand (the drop down values for each field are listed in the help description for each field), or seek assistance from Accounting.</t>
  </si>
  <si>
    <r>
      <t>Expected Completion Date</t>
    </r>
    <r>
      <rPr>
        <sz val="10"/>
        <rFont val="Arial"/>
        <family val="2"/>
      </rPr>
      <t xml:space="preserve"> Enter the expected end of construction date. (Date facility is expected to be "used &amp; useful"and placed into service.) </t>
    </r>
  </si>
  <si>
    <t>Request for revision of existing Job</t>
  </si>
  <si>
    <t>Total Estimate</t>
  </si>
  <si>
    <t>CFID</t>
  </si>
  <si>
    <t>CFID2</t>
  </si>
  <si>
    <t>Station Equip-SCADA</t>
  </si>
  <si>
    <t>Today's Date:</t>
  </si>
  <si>
    <t>To be updated</t>
  </si>
  <si>
    <t>EDS 362 4.1</t>
  </si>
  <si>
    <t>HDQ 303 5</t>
  </si>
  <si>
    <t>HDQ 304 5</t>
  </si>
  <si>
    <t>HDQ 340 5</t>
  </si>
  <si>
    <t>HDQ 341 5</t>
  </si>
  <si>
    <t>HDQ 342 5</t>
  </si>
  <si>
    <t>HDQ 343 5</t>
  </si>
  <si>
    <t>HDQ 344 5</t>
  </si>
  <si>
    <t>HDQ 345 5</t>
  </si>
  <si>
    <t>HDQ 346 5</t>
  </si>
  <si>
    <t>HDQ 347 5</t>
  </si>
  <si>
    <t>HDQ 348 5</t>
  </si>
  <si>
    <t>DHS 350 8.1</t>
  </si>
  <si>
    <t>Structures and Improvements - 20 yr</t>
  </si>
  <si>
    <t>Structures and Improvements - 60 yr</t>
  </si>
  <si>
    <t>Steam Turbines</t>
  </si>
  <si>
    <t>Black Start Generators</t>
  </si>
  <si>
    <t>DHS 261 8.1</t>
  </si>
  <si>
    <t>DHS 261 8.2</t>
  </si>
  <si>
    <t>DHS 261 8.3</t>
  </si>
  <si>
    <t>DHS 293 11.1</t>
  </si>
  <si>
    <t>Ash System Dust Collectors</t>
  </si>
  <si>
    <t>DHS 283 9.1</t>
  </si>
  <si>
    <t>Coal System Dust Collectors</t>
  </si>
  <si>
    <t>DHS 231 4.1</t>
  </si>
  <si>
    <t>DHS 231 4.2</t>
  </si>
  <si>
    <t xml:space="preserve">CHPP Utilidors - Condensate Lines </t>
  </si>
  <si>
    <t xml:space="preserve">Direct Buried - Condensate Lines </t>
  </si>
  <si>
    <t>DHS 232 4.1</t>
  </si>
  <si>
    <t>DHS 232 4.2</t>
  </si>
  <si>
    <t>DHS 232 4.3</t>
  </si>
  <si>
    <t xml:space="preserve">CHPP Utilidors - Steam Lines </t>
  </si>
  <si>
    <t xml:space="preserve">Direct Buried- Steam Lines </t>
  </si>
  <si>
    <t>Utilidors - Steam Traps</t>
  </si>
  <si>
    <t>DHS 357 5.1</t>
  </si>
  <si>
    <t>SCADA System</t>
  </si>
  <si>
    <t>NGD 378 5.1</t>
  </si>
  <si>
    <t>WWC 396 7.1</t>
  </si>
  <si>
    <t>WTD 311 4.1</t>
  </si>
  <si>
    <t>Job Completion form</t>
  </si>
  <si>
    <t>Notification of Job Completion</t>
  </si>
  <si>
    <t>Describe Job (Long):</t>
  </si>
  <si>
    <t>Final Completion Date:</t>
  </si>
  <si>
    <t>Total Subclass Cost</t>
  </si>
  <si>
    <t>Cost - Subclass</t>
  </si>
  <si>
    <t>Final Cost:</t>
  </si>
  <si>
    <t>Associated FA #:</t>
  </si>
  <si>
    <t>Date Job Closed:</t>
  </si>
  <si>
    <t>Qty</t>
  </si>
  <si>
    <t>Subclass Final Cost</t>
  </si>
  <si>
    <t>Short Description</t>
  </si>
  <si>
    <t>Expected Life (yrs)</t>
  </si>
  <si>
    <t>Subclass</t>
  </si>
  <si>
    <t>Subclass:</t>
  </si>
  <si>
    <t>Job Completion Form - Help</t>
  </si>
  <si>
    <r>
      <t>JC Form</t>
    </r>
    <r>
      <rPr>
        <sz val="10"/>
        <rFont val="Arial"/>
        <family val="2"/>
      </rPr>
      <t xml:space="preserve"> - Job Completion Form</t>
    </r>
  </si>
  <si>
    <r>
      <t>JC Form</t>
    </r>
    <r>
      <rPr>
        <sz val="10"/>
        <rFont val="Arial"/>
        <family val="2"/>
      </rPr>
      <t xml:space="preserve"> - The Job Completion Form is integrated with links to help the end-user complete the form.  Tips can be found within the JC Form by hovering the mouse pointer on the name of a field.  Further information can be found by clicking directly on the name of a field.  </t>
    </r>
  </si>
  <si>
    <t>Help - JC Form - Field Assistance</t>
  </si>
  <si>
    <r>
      <t>Job #</t>
    </r>
    <r>
      <rPr>
        <sz val="10"/>
        <rFont val="Arial"/>
        <family val="2"/>
      </rPr>
      <t xml:space="preserve"> Enter the Job # of the job that is due to be completed</t>
    </r>
  </si>
  <si>
    <r>
      <t>Job Description (Short)</t>
    </r>
    <r>
      <rPr>
        <sz val="10"/>
        <rFont val="Arial"/>
        <family val="2"/>
      </rPr>
      <t xml:space="preserve"> This field will carry forward as the name or title of the job and capital asset.  Be as specific as you can, within space provided. Maximum of 50 characters. </t>
    </r>
  </si>
  <si>
    <r>
      <t xml:space="preserve">Job Description (Long)  </t>
    </r>
    <r>
      <rPr>
        <sz val="10"/>
        <rFont val="Arial"/>
        <family val="2"/>
      </rPr>
      <t>Explain what the project is setting out to achieve.  Be as specific as 
you can.  Target: One paragraph.</t>
    </r>
  </si>
  <si>
    <r>
      <t>Division</t>
    </r>
    <r>
      <rPr>
        <sz val="10"/>
        <rFont val="Arial"/>
        <family val="2"/>
      </rPr>
      <t xml:space="preserve">  Using the drop down menu, select the applicable Division (Corporate, Fort Wainwright, Fort Richardson or Fort Greely).  Only one selection is permitted per Form.</t>
    </r>
  </si>
  <si>
    <r>
      <t>Utility</t>
    </r>
    <r>
      <rPr>
        <sz val="10"/>
        <rFont val="Arial"/>
        <family val="2"/>
      </rPr>
      <t xml:space="preserve">  Using the drop down menu, select the applicable Utility (Corporate, Natural Gas, Water, Waste Water, Electric Distribution, Central Heating Plant).  Only one selection is permitted per Form.</t>
    </r>
  </si>
  <si>
    <r>
      <t>Project Manager</t>
    </r>
    <r>
      <rPr>
        <sz val="10"/>
        <rFont val="Arial"/>
        <family val="2"/>
      </rPr>
      <t xml:space="preserve"> Enter the name of the Final Project Manager/Requestor for this job. </t>
    </r>
  </si>
  <si>
    <r>
      <t>Final Completion Date</t>
    </r>
    <r>
      <rPr>
        <sz val="10"/>
        <rFont val="Arial"/>
        <family val="2"/>
      </rPr>
      <t xml:space="preserve"> Enter the actual or pending end of construction date. (Date facility is expected to be "used &amp; useful" and placed into service.) </t>
    </r>
  </si>
  <si>
    <t>Data in this field should correspond with those in the field titled, "Subclass Final Cost".</t>
  </si>
  <si>
    <r>
      <t>Subclass Final Cost</t>
    </r>
    <r>
      <rPr>
        <sz val="10"/>
        <rFont val="Arial"/>
        <family val="2"/>
      </rPr>
      <t xml:space="preserve"> Enter the final cost of each of the retirement units if known.  The total of all subclass costs should be the same as the full final cost for the Job.</t>
    </r>
  </si>
  <si>
    <t>Data in this field should correspond with those in the field titled, "Subclass".</t>
  </si>
  <si>
    <r>
      <t>Final Cost</t>
    </r>
    <r>
      <rPr>
        <sz val="10"/>
        <rFont val="Arial"/>
        <family val="2"/>
      </rPr>
      <t xml:space="preserve"> Enter the final cost of the entire job.  The total of all subclass costs should be the same as the full cost  for the Job.  A listing of expected/outstanding expenses</t>
    </r>
    <r>
      <rPr>
        <b/>
        <u/>
        <sz val="10"/>
        <rFont val="Arial"/>
        <family val="2"/>
      </rPr>
      <t xml:space="preserve"> should be provided to Accounting asap.</t>
    </r>
  </si>
  <si>
    <r>
      <t>Description of Retirements</t>
    </r>
    <r>
      <rPr>
        <sz val="10"/>
        <rFont val="Arial"/>
        <family val="2"/>
      </rPr>
      <t xml:space="preserve"> List the associated capital items that were removed from service (demolished, retired, scrapped, sold, etc.) due to the completion of this job. Please include description, age, size, quantity, manufacturer, location, etc.
If the list is extensive, feel free to include additional page of data.  Close coordination with Accounting / GIS will be required.</t>
    </r>
  </si>
  <si>
    <r>
      <t>Additional Comments</t>
    </r>
    <r>
      <rPr>
        <sz val="10"/>
        <rFont val="Arial"/>
        <family val="2"/>
      </rPr>
      <t xml:space="preserve"> List any additional comments, pictures, maps, etc. for reference in the Continuing Property Record file.</t>
    </r>
  </si>
  <si>
    <r>
      <t>Subclass</t>
    </r>
    <r>
      <rPr>
        <sz val="10"/>
        <rFont val="Arial"/>
        <family val="2"/>
      </rPr>
      <t xml:space="preserve"> Enter one or more retirement units if known. </t>
    </r>
  </si>
  <si>
    <r>
      <t>Short Description (Subclass)</t>
    </r>
    <r>
      <rPr>
        <sz val="10"/>
        <rFont val="Arial"/>
        <family val="2"/>
      </rPr>
      <t xml:space="preserve"> Enter brief description of acquisition for each subclass row selected.</t>
    </r>
  </si>
  <si>
    <r>
      <t>Qty (Subclass)</t>
    </r>
    <r>
      <rPr>
        <sz val="10"/>
        <rFont val="Arial"/>
        <family val="2"/>
      </rPr>
      <t xml:space="preserve"> Enter quantity of acquisition for each subclass row selected.</t>
    </r>
  </si>
  <si>
    <t>Capital Job Completion (JC)</t>
  </si>
  <si>
    <r>
      <t xml:space="preserve">The </t>
    </r>
    <r>
      <rPr>
        <b/>
        <sz val="10"/>
        <rFont val="Antique Olive"/>
        <family val="2"/>
      </rPr>
      <t>Job Completion Form</t>
    </r>
    <r>
      <rPr>
        <sz val="10"/>
        <rFont val="Antique Olive"/>
        <family val="2"/>
      </rPr>
      <t xml:space="preserve"> is a trigger document for alerting all to the acquisition of and begin the final capitalization of a capital project.  It is the trigger point at which information relating to the finalization of the project is reviewed by Management and serves to  update and capsulate all of the information for the Property Record.  A clear understanding of what was acquired throughout the project ensures that the acquisitions are identified and incorporated into the final costs and recording of the fixed asset.</t>
    </r>
  </si>
  <si>
    <t>The primary use of the document is to act as a base document against which approval to close can be given, final paperwork can be requested, and the job file can be prepared for final review prior to close.</t>
  </si>
  <si>
    <t>Complete Job Completion Form tab</t>
  </si>
  <si>
    <t>Submit Job Completion Form to DU President/CEO (George Gordon) for approval</t>
  </si>
  <si>
    <t>Job records will be reviewed for completeness and prepared to be reviewed by the Project Manager and Management.</t>
  </si>
  <si>
    <t>Copies of all signed contracts, outstanding invoices, drawings, pictures, diagrams, etc. are provided to Accounting and filed in the job file (which will be incorporated into the CPR (Continuing Property Record)).</t>
  </si>
  <si>
    <t>Updates/changes are provided to Accounting ASAP.</t>
  </si>
  <si>
    <t>Notify Accounting when the project is completed and placed into service.</t>
  </si>
  <si>
    <r>
      <t>Expected Life (years)</t>
    </r>
    <r>
      <rPr>
        <sz val="10"/>
        <rFont val="Arial"/>
        <family val="2"/>
      </rPr>
      <t xml:space="preserve"> If you feel the estimated useful GAAP life listed in the Subclass tab is not appropriate for this asset, please enter your best estimate for the useful life.</t>
    </r>
  </si>
  <si>
    <r>
      <t>Requested by</t>
    </r>
    <r>
      <rPr>
        <sz val="10"/>
        <rFont val="Arial"/>
        <family val="2"/>
      </rPr>
      <t xml:space="preserve">  Using the drop down menu, select the applicable option (</t>
    </r>
    <r>
      <rPr>
        <b/>
        <sz val="10"/>
        <rFont val="Arial"/>
        <family val="2"/>
      </rPr>
      <t>1</t>
    </r>
    <r>
      <rPr>
        <sz val="10"/>
        <rFont val="Arial"/>
        <family val="2"/>
      </rPr>
      <t xml:space="preserve">. Original Contract, </t>
    </r>
    <r>
      <rPr>
        <b/>
        <sz val="10"/>
        <rFont val="Arial"/>
        <family val="2"/>
      </rPr>
      <t>2</t>
    </r>
    <r>
      <rPr>
        <sz val="10"/>
        <rFont val="Arial"/>
        <family val="2"/>
      </rPr>
      <t xml:space="preserve">. Contract Mod, </t>
    </r>
    <r>
      <rPr>
        <b/>
        <sz val="10"/>
        <rFont val="Arial"/>
        <family val="2"/>
      </rPr>
      <t>3</t>
    </r>
    <r>
      <rPr>
        <sz val="10"/>
        <rFont val="Arial"/>
        <family val="2"/>
      </rPr>
      <t xml:space="preserve">. COR MOD, </t>
    </r>
    <r>
      <rPr>
        <b/>
        <sz val="10"/>
        <rFont val="Arial"/>
        <family val="2"/>
      </rPr>
      <t>4</t>
    </r>
    <r>
      <rPr>
        <sz val="10"/>
        <rFont val="Arial"/>
        <family val="2"/>
      </rPr>
      <t xml:space="preserve">. Other MOD, </t>
    </r>
    <r>
      <rPr>
        <b/>
        <sz val="10"/>
        <rFont val="Arial"/>
        <family val="2"/>
      </rPr>
      <t>5</t>
    </r>
    <r>
      <rPr>
        <sz val="10"/>
        <rFont val="Arial"/>
        <family val="2"/>
      </rPr>
      <t xml:space="preserve">. Corporate, </t>
    </r>
    <r>
      <rPr>
        <b/>
        <sz val="10"/>
        <rFont val="Arial"/>
        <family val="2"/>
      </rPr>
      <t>6</t>
    </r>
    <r>
      <rPr>
        <sz val="10"/>
        <rFont val="Arial"/>
        <family val="2"/>
      </rPr>
      <t xml:space="preserve">. An Individual).  Only one selection is permitted per JC Form. </t>
    </r>
    <r>
      <rPr>
        <i/>
        <sz val="10"/>
        <rFont val="Arial"/>
        <family val="2"/>
      </rPr>
      <t>Data in this field should correspond with those in the field titled, "Requested By Description".</t>
    </r>
  </si>
  <si>
    <r>
      <t>Start Date</t>
    </r>
    <r>
      <rPr>
        <sz val="10"/>
        <rFont val="Arial"/>
        <family val="2"/>
      </rPr>
      <t xml:space="preserve"> Enter the start date of the project.  This is the date that we began spending money (manpower, supplies, contracts, etc.).</t>
    </r>
  </si>
  <si>
    <t>WWC 364 2.1</t>
  </si>
  <si>
    <t>Flow Measuring Devices - 15 yr</t>
  </si>
  <si>
    <t>Flow Measuring Devices - 10 yr</t>
  </si>
  <si>
    <t>WWC 364 2.2</t>
  </si>
  <si>
    <t>Flow Measuring Devices - Vaults</t>
  </si>
  <si>
    <t>WWC 364 2.3</t>
  </si>
  <si>
    <t>Flow Measuring Devices - Meters</t>
  </si>
  <si>
    <t>WWC 364 2.4</t>
  </si>
  <si>
    <t>Flow Measuring Devices - SCADA</t>
  </si>
  <si>
    <t>WTD 311 4.2</t>
  </si>
  <si>
    <t>PMP EQ - CIRC ST - MECHANICAL</t>
  </si>
  <si>
    <t>WTD 311 4.3</t>
  </si>
  <si>
    <t>PMP EQ - CIRC ST - ELECTRICAL</t>
  </si>
  <si>
    <t>PMP EQ - CIRC ST - METER VAULT</t>
  </si>
  <si>
    <t>DHS 360 5</t>
  </si>
  <si>
    <t>DHS 222 4.1</t>
  </si>
  <si>
    <t>Steam Meter AMRs</t>
  </si>
  <si>
    <t>EDS 370 4.1</t>
  </si>
  <si>
    <t>Meter AMRs</t>
  </si>
  <si>
    <t>WTD 334 4.1</t>
  </si>
  <si>
    <t>Meters Installations</t>
  </si>
  <si>
    <t>WTD 334 4.2</t>
  </si>
  <si>
    <t>HDQ 340 5.1</t>
  </si>
  <si>
    <t>Office Equipment</t>
  </si>
  <si>
    <t xml:space="preserve">Office Furniture </t>
  </si>
  <si>
    <t>EDS 391 5.1</t>
  </si>
  <si>
    <t>WTD 304 2.1</t>
  </si>
  <si>
    <t>Structures and Improvements 10YR</t>
  </si>
  <si>
    <t>WTD 311 3.1</t>
  </si>
  <si>
    <t>Pumping Equipment - Pumps</t>
  </si>
  <si>
    <t>WTD 311 3.2</t>
  </si>
  <si>
    <t>WTD 311 3.3</t>
  </si>
  <si>
    <t>Pumping Equipment - Mechanical</t>
  </si>
  <si>
    <t>Pumping Equipment - Electrical</t>
  </si>
  <si>
    <t>Circ Station - Pumping Equipment</t>
  </si>
  <si>
    <t>WTD 340 5.1</t>
  </si>
  <si>
    <t>Office Furniture</t>
  </si>
  <si>
    <t>NGD 391 6.1</t>
  </si>
  <si>
    <t>WTD 341 5.1</t>
  </si>
  <si>
    <t>WTD 341 5.2</t>
  </si>
  <si>
    <t>Transportation Equipment - 10 YR</t>
  </si>
  <si>
    <t>Transportation Equipment - 15 YR</t>
  </si>
  <si>
    <t>Transportation Equipment -7 YR</t>
  </si>
  <si>
    <t>WTD 343 5.1</t>
  </si>
  <si>
    <t>WTD 343 5.2</t>
  </si>
  <si>
    <t>WTD 343 5.3</t>
  </si>
  <si>
    <t>Tools, Shop and Garage Equipment - 10 YR</t>
  </si>
  <si>
    <t>Tools, Shop and Garage Equipment - 7 YR</t>
  </si>
  <si>
    <t>Tools, Shop and Garage Equipment - 5 YR</t>
  </si>
  <si>
    <t>Tools, Shop and Garage Equipment - 3 YR</t>
  </si>
  <si>
    <t>WTD 344 5.1</t>
  </si>
  <si>
    <t>WTD 344 5.2</t>
  </si>
  <si>
    <t>Laboratory Equipment - 10 YR</t>
  </si>
  <si>
    <t>Laboratory Equipment - 15 YR</t>
  </si>
  <si>
    <t>Laboratory Equipment - 5 YR</t>
  </si>
  <si>
    <t>Power Operated Equipment - 10 YR</t>
  </si>
  <si>
    <t>WTD 345 5.1</t>
  </si>
  <si>
    <t>Power Operated Equipment - 5 YR</t>
  </si>
  <si>
    <t>WTD 346 5.1</t>
  </si>
  <si>
    <t>Communication Equipment - 5 YR</t>
  </si>
  <si>
    <t>Communication Equipment - 7 YR</t>
  </si>
  <si>
    <t>WTD 346 5.2</t>
  </si>
  <si>
    <t>Communication Equipment - 10 YR</t>
  </si>
  <si>
    <t>WWC 361 2.1</t>
  </si>
  <si>
    <t>Sewer Mains GV - Manholes</t>
  </si>
  <si>
    <t>WWC 361 2.2</t>
  </si>
  <si>
    <t>WWC 361 2.3</t>
  </si>
  <si>
    <t>Sewer Mains GV - Flushwells</t>
  </si>
  <si>
    <t>Sewer Mains GV - Metering Manholes</t>
  </si>
  <si>
    <t>WWC 390 7.1</t>
  </si>
  <si>
    <t>WWC 390 7.2</t>
  </si>
  <si>
    <t>Office Equipment  - 5 yr</t>
  </si>
  <si>
    <t>Office Furniture - 10 yr</t>
  </si>
  <si>
    <t>Office Furniture and Equipment - 2 YR</t>
  </si>
  <si>
    <t>WWC 391 7.1</t>
  </si>
  <si>
    <t>WWC 391 7.2</t>
  </si>
  <si>
    <t>Transportation Equipment - 5 YR</t>
  </si>
  <si>
    <t>WWC 393 7.1</t>
  </si>
  <si>
    <t>Tools Shop and Garage Equipment - 7 YR</t>
  </si>
  <si>
    <t>Tools Shop and Garage Equipment - 5 YR</t>
  </si>
  <si>
    <t>WWC 395 7.1</t>
  </si>
  <si>
    <t>WWC 395 7.2</t>
  </si>
  <si>
    <t>Power Operated Equipment - 7 YR</t>
  </si>
  <si>
    <t>WWC 396 7.2</t>
  </si>
  <si>
    <t>WWC 396 7.3</t>
  </si>
  <si>
    <t>HDQ 301 1</t>
  </si>
  <si>
    <t>WTD 311 4.4</t>
  </si>
  <si>
    <t>EDS 345 10</t>
  </si>
  <si>
    <t>Estimate</t>
  </si>
  <si>
    <t>The header dates on this worksheet will automatically populate based on the start date of the job noted on the Job Initiation Form</t>
  </si>
  <si>
    <t>.</t>
  </si>
  <si>
    <t>THIS FORM IS NOT VALID WITHOUT APPROVING SIGNATURE OF DAN GAVORA, PRESIDENT/CEO</t>
  </si>
  <si>
    <t>Norman Sather</t>
  </si>
  <si>
    <r>
      <t xml:space="preserve">Fort Wainwright requires new service connections to provide utility service to the facility being constructed under U.S. Army Corps of Engineers (USACE) Project FTW 336A – Aircraft Parts Storage.  Doyon Utilities, LLC (DU) shall be responsible for design of all service connections up to the applicable points of demarcation.  
This Request for Proposal is for </t>
    </r>
    <r>
      <rPr>
        <b/>
        <sz val="10"/>
        <color indexed="10"/>
        <rFont val="Arial"/>
        <family val="2"/>
      </rPr>
      <t>design effort only</t>
    </r>
    <r>
      <rPr>
        <sz val="10"/>
        <rFont val="Arial"/>
        <family val="2"/>
      </rPr>
      <t xml:space="preserve">. As part of the design process, DU will be expected to attend design coordination meetings and design review meetings.
</t>
    </r>
  </si>
  <si>
    <t>New WDS Utility Service for FTW 336A- Aircraft Parts Storage</t>
  </si>
  <si>
    <t>RFP № FWA-09-021</t>
  </si>
  <si>
    <t>None</t>
  </si>
  <si>
    <t>Engineering Design Only</t>
  </si>
  <si>
    <t>Increase due to construction contract modification driven by enlarged vault and contaminated soil.</t>
  </si>
  <si>
    <t>J101395</t>
  </si>
  <si>
    <t>FTW-336A Aircraft Storage</t>
  </si>
  <si>
    <t>Wily Splain</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</si>
</sst>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4" formatCode="_(&quot;$&quot;* #,##0.00_);_(&quot;$&quot;* \(#,##0.00\);_(&quot;$&quot;* &quot;-&quot;??_);_(@_)"/>
    <numFmt numFmtId="43" formatCode="_(* #,##0.00_);_(* \(#,##0.00\);_(* &quot;-&quot;??_);_(@_)"/>
    <numFmt numFmtId="164" formatCode="m/d/yyyy;@"/>
    <numFmt numFmtId="165" formatCode="_(&quot;$&quot;* #,##0_);_(&quot;$&quot;* \(#,##0\);_(&quot;$&quot;* &quot;-&quot;??_);_(@_)"/>
    <numFmt numFmtId="166" formatCode="0.0"/>
    <numFmt numFmtId="167" formatCode="&quot;$&quot;#,##0.00"/>
    <numFmt numFmtId="168" formatCode="[$-409]mmm\-yy;@"/>
    <numFmt numFmtId="169" formatCode="[$-409]dd\-mmm\-yy;@"/>
  </numFmts>
  <fonts count="29">
    <font>
      <sz val="10"/>
      <name val="Arial"/>
    </font>
    <font>
      <sz val="10"/>
      <name val="Arial"/>
      <family val="2"/>
    </font>
    <font>
      <sz val="8"/>
      <name val="Arial"/>
      <family val="2"/>
    </font>
    <font>
      <b/>
      <sz val="16"/>
      <name val="Perpetua Titling MT"/>
      <family val="1"/>
    </font>
    <font>
      <i/>
      <sz val="12"/>
      <name val="Verdana"/>
      <family val="2"/>
    </font>
    <font>
      <b/>
      <sz val="12"/>
      <name val="Arial Narrow"/>
      <family val="2"/>
    </font>
    <font>
      <b/>
      <sz val="10"/>
      <name val="Arial"/>
      <family val="2"/>
    </font>
    <font>
      <b/>
      <sz val="10"/>
      <name val="Arial"/>
      <family val="2"/>
    </font>
    <font>
      <sz val="10"/>
      <name val="Antique Olive"/>
      <family val="2"/>
    </font>
    <font>
      <b/>
      <sz val="10"/>
      <name val="Antique Olive"/>
      <family val="2"/>
    </font>
    <font>
      <b/>
      <sz val="8"/>
      <name val="Verdana"/>
      <family val="2"/>
    </font>
    <font>
      <sz val="10"/>
      <name val="Verdana"/>
      <family val="2"/>
    </font>
    <font>
      <u/>
      <sz val="10"/>
      <color indexed="12"/>
      <name val="Arial"/>
      <family val="2"/>
    </font>
    <font>
      <i/>
      <sz val="10"/>
      <name val="Arial"/>
      <family val="2"/>
    </font>
    <font>
      <b/>
      <sz val="12"/>
      <name val="Antique Olive"/>
      <family val="2"/>
    </font>
    <font>
      <b/>
      <sz val="11"/>
      <name val="Antique Olive"/>
      <family val="2"/>
    </font>
    <font>
      <b/>
      <sz val="11"/>
      <name val="Arial"/>
      <family val="2"/>
    </font>
    <font>
      <u/>
      <sz val="10"/>
      <name val="Arial"/>
      <family val="2"/>
    </font>
    <font>
      <b/>
      <i/>
      <sz val="10"/>
      <name val="Arial"/>
      <family val="2"/>
    </font>
    <font>
      <sz val="10"/>
      <color indexed="55"/>
      <name val="Arial"/>
      <family val="2"/>
    </font>
    <font>
      <b/>
      <sz val="10"/>
      <color indexed="63"/>
      <name val="Arial Narrow"/>
      <family val="2"/>
    </font>
    <font>
      <b/>
      <sz val="11"/>
      <name val="Arial Narrow"/>
      <family val="2"/>
    </font>
    <font>
      <b/>
      <sz val="16"/>
      <name val="Arial"/>
      <family val="2"/>
    </font>
    <font>
      <b/>
      <u/>
      <sz val="10"/>
      <name val="Arial"/>
      <family val="2"/>
    </font>
    <font>
      <b/>
      <sz val="10"/>
      <color indexed="12"/>
      <name val="Arial"/>
      <family val="2"/>
    </font>
    <font>
      <sz val="10"/>
      <name val="Arial"/>
      <family val="2"/>
    </font>
    <font>
      <b/>
      <u/>
      <sz val="10"/>
      <color indexed="12"/>
      <name val="Arial"/>
      <family val="2"/>
    </font>
    <font>
      <b/>
      <sz val="10"/>
      <color indexed="10"/>
      <name val="Arial"/>
      <family val="2"/>
    </font>
    <font>
      <sz val="10"/>
      <name val="Arial"/>
    </font>
  </fonts>
  <fills count="4">
    <fill>
      <patternFill patternType="none"/>
    </fill>
    <fill>
      <patternFill patternType="gray125"/>
    </fill>
    <fill>
      <patternFill patternType="solid">
        <fgColor indexed="22"/>
        <bgColor indexed="64"/>
      </patternFill>
    </fill>
    <fill>
      <patternFill patternType="solid">
        <fgColor indexed="9"/>
        <bgColor indexed="64"/>
      </patternFill>
    </fill>
  </fills>
  <borders count="22">
    <border>
      <left/>
      <right/>
      <top/>
      <bottom/>
      <diagonal/>
    </border>
    <border>
      <left/>
      <right/>
      <top/>
      <bottom style="hair">
        <color indexed="24"/>
      </bottom>
      <diagonal/>
    </border>
    <border>
      <left/>
      <right/>
      <top style="thin">
        <color indexed="64"/>
      </top>
      <bottom style="double">
        <color indexed="64"/>
      </bottom>
      <diagonal/>
    </border>
    <border>
      <left style="thin">
        <color indexed="64"/>
      </left>
      <right/>
      <top/>
      <bottom/>
      <diagonal/>
    </border>
    <border>
      <left/>
      <right style="thin">
        <color indexed="64"/>
      </right>
      <top/>
      <bottom style="hair">
        <color indexed="2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9"/>
      </left>
      <right style="medium">
        <color indexed="9"/>
      </right>
      <top style="medium">
        <color indexed="9"/>
      </top>
      <bottom style="medium">
        <color indexed="9"/>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double">
        <color indexed="64"/>
      </bottom>
      <diagonal/>
    </border>
    <border>
      <left/>
      <right style="thin">
        <color indexed="64"/>
      </right>
      <top style="medium">
        <color indexed="64"/>
      </top>
      <bottom style="medium">
        <color indexed="64"/>
      </bottom>
      <diagonal/>
    </border>
    <border>
      <left/>
      <right style="thin">
        <color indexed="64"/>
      </right>
      <top/>
      <bottom/>
      <diagonal/>
    </border>
    <border>
      <left/>
      <right style="thin">
        <color indexed="64"/>
      </right>
      <top style="thin">
        <color indexed="64"/>
      </top>
      <bottom style="double">
        <color indexed="64"/>
      </bottom>
      <diagonal/>
    </border>
    <border>
      <left style="medium">
        <color indexed="9"/>
      </left>
      <right/>
      <top/>
      <bottom/>
      <diagonal/>
    </border>
    <border>
      <left/>
      <right/>
      <top/>
      <bottom style="hair">
        <color indexed="5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2" fillId="0" borderId="0" applyNumberFormat="0" applyFill="0" applyBorder="0" applyAlignment="0" applyProtection="0">
      <alignment vertical="top"/>
      <protection locked="0"/>
    </xf>
    <xf numFmtId="44" fontId="28" fillId="0" borderId="0" applyFont="0" applyFill="0" applyBorder="0" applyAlignment="0" applyProtection="0"/>
  </cellStyleXfs>
  <cellXfs count="127">
    <xf numFmtId="0" fontId="0" fillId="0" borderId="0" xfId="0"/>
    <xf numFmtId="0" fontId="0" fillId="0" borderId="0" xfId="0" applyAlignment="1">
      <alignment horizontal="center"/>
    </xf>
    <xf numFmtId="0" fontId="7" fillId="0" borderId="0" xfId="0" applyFont="1"/>
    <xf numFmtId="0" fontId="10" fillId="2" borderId="0" xfId="0" applyFont="1" applyFill="1" applyAlignment="1">
      <alignment horizontal="center" wrapText="1"/>
    </xf>
    <xf numFmtId="0" fontId="11" fillId="0" borderId="0" xfId="0" applyFont="1" applyFill="1"/>
    <xf numFmtId="0" fontId="11" fillId="0" borderId="0" xfId="0" applyFont="1"/>
    <xf numFmtId="0" fontId="11" fillId="0" borderId="0" xfId="0" applyFont="1" applyAlignment="1">
      <alignment horizontal="center"/>
    </xf>
    <xf numFmtId="0" fontId="11" fillId="0" borderId="0" xfId="0" applyFont="1" applyFill="1" applyAlignment="1">
      <alignment horizontal="left"/>
    </xf>
    <xf numFmtId="0" fontId="11" fillId="0" borderId="0" xfId="0" applyFont="1" applyFill="1" applyAlignment="1">
      <alignment horizontal="center"/>
    </xf>
    <xf numFmtId="0" fontId="11" fillId="0" borderId="0" xfId="0" applyFont="1" applyAlignment="1">
      <alignment horizontal="left"/>
    </xf>
    <xf numFmtId="0" fontId="0" fillId="3" borderId="0" xfId="0" applyFill="1"/>
    <xf numFmtId="0" fontId="7" fillId="3" borderId="0" xfId="0" applyFont="1" applyFill="1"/>
    <xf numFmtId="0" fontId="8" fillId="3" borderId="0" xfId="0" applyFont="1" applyFill="1" applyAlignment="1">
      <alignment wrapText="1"/>
    </xf>
    <xf numFmtId="0" fontId="0" fillId="3" borderId="0" xfId="0" applyFill="1" applyAlignment="1">
      <alignment wrapText="1"/>
    </xf>
    <xf numFmtId="0" fontId="7" fillId="3" borderId="0" xfId="0" applyFont="1" applyFill="1" applyAlignment="1">
      <alignment wrapText="1"/>
    </xf>
    <xf numFmtId="0" fontId="12" fillId="3" borderId="0" xfId="3" applyFill="1" applyAlignment="1" applyProtection="1"/>
    <xf numFmtId="0" fontId="13" fillId="3" borderId="0" xfId="0" applyFont="1" applyFill="1"/>
    <xf numFmtId="0" fontId="12" fillId="3" borderId="0" xfId="3" applyFont="1" applyFill="1" applyAlignment="1" applyProtection="1">
      <alignment wrapText="1"/>
    </xf>
    <xf numFmtId="0" fontId="0" fillId="2" borderId="0" xfId="0" applyFill="1"/>
    <xf numFmtId="0" fontId="14" fillId="3" borderId="0" xfId="0" applyFont="1" applyFill="1"/>
    <xf numFmtId="0" fontId="15" fillId="3" borderId="0" xfId="0" applyFont="1" applyFill="1"/>
    <xf numFmtId="0" fontId="16" fillId="3" borderId="0" xfId="0" applyFont="1" applyFill="1"/>
    <xf numFmtId="0" fontId="5" fillId="3" borderId="0" xfId="0" applyFont="1" applyFill="1" applyAlignment="1">
      <alignment horizontal="right"/>
    </xf>
    <xf numFmtId="14" fontId="0" fillId="3" borderId="0" xfId="0" applyNumberFormat="1" applyFill="1"/>
    <xf numFmtId="0" fontId="4" fillId="3" borderId="0" xfId="0" applyFont="1" applyFill="1" applyAlignment="1">
      <alignment horizontal="center"/>
    </xf>
    <xf numFmtId="0" fontId="5" fillId="3" borderId="0" xfId="0" applyFont="1" applyFill="1"/>
    <xf numFmtId="164" fontId="0" fillId="3" borderId="1" xfId="0" applyNumberFormat="1" applyFill="1" applyBorder="1" applyAlignment="1">
      <alignment horizontal="center"/>
    </xf>
    <xf numFmtId="49" fontId="0" fillId="3" borderId="1" xfId="0" applyNumberFormat="1" applyFill="1" applyBorder="1" applyAlignment="1">
      <alignment horizontal="center"/>
    </xf>
    <xf numFmtId="43" fontId="0" fillId="3" borderId="1" xfId="1" applyFont="1" applyFill="1" applyBorder="1" applyAlignment="1">
      <alignment horizontal="center"/>
    </xf>
    <xf numFmtId="44" fontId="7" fillId="3" borderId="2" xfId="2" applyFont="1" applyFill="1" applyBorder="1"/>
    <xf numFmtId="0" fontId="18" fillId="3" borderId="0" xfId="0" applyFont="1" applyFill="1"/>
    <xf numFmtId="40" fontId="18" fillId="3" borderId="1" xfId="1" applyNumberFormat="1" applyFont="1" applyFill="1" applyBorder="1" applyAlignment="1">
      <alignment horizontal="right"/>
    </xf>
    <xf numFmtId="43" fontId="20" fillId="3" borderId="1" xfId="1" applyFont="1" applyFill="1" applyBorder="1" applyAlignment="1">
      <alignment horizontal="center"/>
    </xf>
    <xf numFmtId="0" fontId="20" fillId="3" borderId="3" xfId="0" applyFont="1" applyFill="1" applyBorder="1" applyAlignment="1">
      <alignment horizontal="right"/>
    </xf>
    <xf numFmtId="43" fontId="19" fillId="3" borderId="4" xfId="1" applyFont="1" applyFill="1" applyBorder="1" applyAlignment="1">
      <alignment horizontal="center"/>
    </xf>
    <xf numFmtId="0" fontId="20" fillId="3" borderId="5" xfId="0" applyFont="1" applyFill="1" applyBorder="1" applyAlignment="1">
      <alignment horizontal="right"/>
    </xf>
    <xf numFmtId="43" fontId="20" fillId="3" borderId="6" xfId="1" applyFont="1" applyFill="1" applyBorder="1" applyAlignment="1">
      <alignment horizontal="center"/>
    </xf>
    <xf numFmtId="43" fontId="19" fillId="3" borderId="7" xfId="1" applyFont="1" applyFill="1" applyBorder="1" applyAlignment="1">
      <alignment horizontal="center"/>
    </xf>
    <xf numFmtId="0" fontId="20" fillId="3" borderId="8" xfId="0" applyFont="1" applyFill="1" applyBorder="1"/>
    <xf numFmtId="0" fontId="20" fillId="3" borderId="9" xfId="0" applyFont="1" applyFill="1" applyBorder="1"/>
    <xf numFmtId="0" fontId="19" fillId="3" borderId="10" xfId="0" applyFont="1" applyFill="1" applyBorder="1"/>
    <xf numFmtId="0" fontId="6" fillId="3" borderId="0" xfId="0" applyFont="1" applyFill="1"/>
    <xf numFmtId="0" fontId="6" fillId="3" borderId="0" xfId="3" applyFont="1" applyFill="1" applyAlignment="1" applyProtection="1"/>
    <xf numFmtId="0" fontId="6" fillId="3" borderId="0" xfId="3" applyFont="1" applyFill="1" applyAlignment="1" applyProtection="1">
      <alignment vertical="top"/>
    </xf>
    <xf numFmtId="0" fontId="6" fillId="3" borderId="11" xfId="3" applyFont="1" applyFill="1" applyBorder="1" applyAlignment="1" applyProtection="1">
      <alignment vertical="top" wrapText="1"/>
    </xf>
    <xf numFmtId="14" fontId="0" fillId="2" borderId="0" xfId="0" applyNumberFormat="1" applyFill="1"/>
    <xf numFmtId="0" fontId="17" fillId="2" borderId="0" xfId="0" applyFont="1" applyFill="1" applyBorder="1" applyAlignment="1">
      <alignment vertical="top" wrapText="1"/>
    </xf>
    <xf numFmtId="0" fontId="3" fillId="3" borderId="0" xfId="0" applyFont="1" applyFill="1" applyAlignment="1">
      <alignment horizontal="right"/>
    </xf>
    <xf numFmtId="0" fontId="0" fillId="3" borderId="0" xfId="0" applyFill="1" applyAlignment="1">
      <alignment horizontal="center"/>
    </xf>
    <xf numFmtId="43" fontId="1" fillId="3" borderId="1" xfId="1" applyFill="1" applyBorder="1" applyAlignment="1">
      <alignment horizontal="center"/>
    </xf>
    <xf numFmtId="0" fontId="0" fillId="3" borderId="0" xfId="0" applyFill="1" applyAlignment="1">
      <alignment vertical="top"/>
    </xf>
    <xf numFmtId="0" fontId="12" fillId="3" borderId="0" xfId="3" applyFill="1" applyAlignment="1" applyProtection="1">
      <alignment vertical="top"/>
    </xf>
    <xf numFmtId="0" fontId="7" fillId="3" borderId="0" xfId="0" applyFont="1" applyFill="1" applyAlignment="1">
      <alignment horizontal="left"/>
    </xf>
    <xf numFmtId="164" fontId="0" fillId="3" borderId="0" xfId="0" applyNumberFormat="1" applyFill="1" applyBorder="1" applyAlignment="1">
      <alignment horizontal="center"/>
    </xf>
    <xf numFmtId="49" fontId="0" fillId="3" borderId="1" xfId="0" applyNumberFormat="1" applyFill="1" applyBorder="1" applyAlignment="1">
      <alignment horizontal="left"/>
    </xf>
    <xf numFmtId="166" fontId="0" fillId="3" borderId="1" xfId="0" applyNumberFormat="1" applyFill="1" applyBorder="1" applyAlignment="1">
      <alignment horizontal="center"/>
    </xf>
    <xf numFmtId="0" fontId="7" fillId="3" borderId="0" xfId="3" applyFont="1" applyFill="1" applyAlignment="1" applyProtection="1"/>
    <xf numFmtId="0" fontId="7" fillId="3" borderId="0" xfId="3" applyFont="1" applyFill="1" applyAlignment="1" applyProtection="1">
      <alignment vertical="top"/>
    </xf>
    <xf numFmtId="0" fontId="7" fillId="3" borderId="0" xfId="3" applyFont="1" applyFill="1" applyAlignment="1" applyProtection="1">
      <alignment horizontal="center"/>
    </xf>
    <xf numFmtId="0" fontId="7" fillId="3" borderId="11" xfId="3" applyFont="1" applyFill="1" applyBorder="1" applyAlignment="1" applyProtection="1">
      <alignment vertical="top" wrapText="1"/>
    </xf>
    <xf numFmtId="0" fontId="0" fillId="0" borderId="0" xfId="0" applyFill="1" applyAlignment="1">
      <alignment horizontal="center"/>
    </xf>
    <xf numFmtId="0" fontId="0" fillId="0" borderId="0" xfId="0" applyFill="1"/>
    <xf numFmtId="0" fontId="26" fillId="0" borderId="0" xfId="3" applyFont="1" applyAlignment="1" applyProtection="1"/>
    <xf numFmtId="0" fontId="7" fillId="0" borderId="0" xfId="0" applyFont="1" applyAlignment="1">
      <alignment horizontal="left" vertical="center"/>
    </xf>
    <xf numFmtId="0" fontId="25" fillId="0" borderId="0" xfId="0" applyFont="1" applyAlignment="1">
      <alignment vertical="center"/>
    </xf>
    <xf numFmtId="168" fontId="25" fillId="0" borderId="0" xfId="0" applyNumberFormat="1" applyFont="1" applyAlignment="1">
      <alignment vertical="center"/>
    </xf>
    <xf numFmtId="0" fontId="22" fillId="0" borderId="0" xfId="0" applyFont="1" applyAlignment="1">
      <alignment horizontal="left" vertical="center"/>
    </xf>
    <xf numFmtId="0" fontId="0" fillId="0" borderId="0" xfId="0" applyAlignment="1">
      <alignment vertical="center"/>
    </xf>
    <xf numFmtId="49" fontId="22" fillId="0" borderId="0" xfId="0" applyNumberFormat="1" applyFont="1" applyAlignment="1">
      <alignment horizontal="left" vertical="center"/>
    </xf>
    <xf numFmtId="0" fontId="22" fillId="0" borderId="0" xfId="0" applyFont="1" applyAlignment="1">
      <alignment horizontal="center" vertical="center"/>
    </xf>
    <xf numFmtId="0" fontId="0" fillId="0" borderId="0" xfId="0" applyBorder="1" applyAlignment="1">
      <alignment vertical="center"/>
    </xf>
    <xf numFmtId="0" fontId="7" fillId="0" borderId="0" xfId="0" applyFont="1" applyAlignment="1">
      <alignment horizontal="center" vertical="center"/>
    </xf>
    <xf numFmtId="0" fontId="7" fillId="0" borderId="0" xfId="0" applyFont="1" applyBorder="1" applyAlignment="1">
      <alignment horizontal="center" vertical="center"/>
    </xf>
    <xf numFmtId="0" fontId="7" fillId="0" borderId="12" xfId="0" applyFont="1" applyBorder="1" applyAlignment="1">
      <alignment horizontal="center" vertical="center"/>
    </xf>
    <xf numFmtId="0" fontId="7" fillId="0" borderId="13" xfId="0" applyFont="1" applyBorder="1" applyAlignment="1">
      <alignment horizontal="center" vertical="center"/>
    </xf>
    <xf numFmtId="0" fontId="7" fillId="0" borderId="14" xfId="0" applyFont="1" applyBorder="1" applyAlignment="1">
      <alignment horizontal="center" vertical="center" wrapText="1" shrinkToFit="1"/>
    </xf>
    <xf numFmtId="0" fontId="23" fillId="0" borderId="0" xfId="0" applyFont="1" applyBorder="1" applyAlignment="1">
      <alignment vertical="center"/>
    </xf>
    <xf numFmtId="0" fontId="23" fillId="0" borderId="0" xfId="0" applyFont="1" applyAlignment="1">
      <alignment horizontal="center" vertical="center"/>
    </xf>
    <xf numFmtId="0" fontId="7" fillId="0" borderId="0" xfId="0" applyFont="1" applyAlignment="1">
      <alignment vertical="center"/>
    </xf>
    <xf numFmtId="165" fontId="24" fillId="0" borderId="0" xfId="2" applyNumberFormat="1" applyFont="1" applyAlignment="1">
      <alignment vertical="center"/>
    </xf>
    <xf numFmtId="165" fontId="24" fillId="0" borderId="0" xfId="2" applyNumberFormat="1" applyFont="1" applyBorder="1" applyAlignment="1">
      <alignment vertical="center"/>
    </xf>
    <xf numFmtId="165" fontId="1" fillId="0" borderId="0" xfId="2" applyNumberFormat="1" applyAlignment="1">
      <alignment vertical="center"/>
    </xf>
    <xf numFmtId="165" fontId="1" fillId="0" borderId="0" xfId="2" applyNumberFormat="1" applyBorder="1" applyAlignment="1">
      <alignment vertical="center"/>
    </xf>
    <xf numFmtId="165" fontId="1" fillId="0" borderId="2" xfId="2" applyNumberFormat="1" applyBorder="1" applyAlignment="1">
      <alignment vertical="center"/>
    </xf>
    <xf numFmtId="165" fontId="0" fillId="0" borderId="0" xfId="0" applyNumberFormat="1" applyAlignment="1">
      <alignment vertical="center"/>
    </xf>
    <xf numFmtId="0" fontId="7" fillId="0" borderId="15" xfId="0" applyFont="1" applyBorder="1" applyAlignment="1">
      <alignment horizontal="center" vertical="center" wrapText="1" shrinkToFit="1"/>
    </xf>
    <xf numFmtId="0" fontId="7" fillId="0" borderId="3" xfId="0" applyFont="1" applyBorder="1" applyAlignment="1">
      <alignment horizontal="right" vertical="center"/>
    </xf>
    <xf numFmtId="0" fontId="23" fillId="0" borderId="3" xfId="0" applyFont="1" applyBorder="1" applyAlignment="1">
      <alignment horizontal="center" vertical="center"/>
    </xf>
    <xf numFmtId="165" fontId="24" fillId="0" borderId="3" xfId="2" applyNumberFormat="1" applyFont="1" applyBorder="1" applyAlignment="1">
      <alignment vertical="center"/>
    </xf>
    <xf numFmtId="0" fontId="0" fillId="0" borderId="3" xfId="0" applyBorder="1" applyAlignment="1">
      <alignment vertical="center"/>
    </xf>
    <xf numFmtId="165" fontId="1" fillId="0" borderId="3" xfId="2" applyNumberFormat="1" applyBorder="1" applyAlignment="1">
      <alignment vertical="center"/>
    </xf>
    <xf numFmtId="165" fontId="1" fillId="0" borderId="16" xfId="2" applyNumberFormat="1" applyBorder="1" applyAlignment="1">
      <alignment vertical="center"/>
    </xf>
    <xf numFmtId="0" fontId="23" fillId="0" borderId="0" xfId="0" applyFont="1" applyBorder="1" applyAlignment="1">
      <alignment horizontal="center" vertical="center"/>
    </xf>
    <xf numFmtId="0" fontId="7" fillId="0" borderId="17" xfId="0" applyFont="1" applyBorder="1" applyAlignment="1">
      <alignment horizontal="center" vertical="center"/>
    </xf>
    <xf numFmtId="0" fontId="23" fillId="0" borderId="18" xfId="0" applyFont="1" applyBorder="1" applyAlignment="1">
      <alignment horizontal="center" vertical="center"/>
    </xf>
    <xf numFmtId="0" fontId="0" fillId="0" borderId="18" xfId="0" applyBorder="1" applyAlignment="1">
      <alignment vertical="center"/>
    </xf>
    <xf numFmtId="165" fontId="24" fillId="0" borderId="18" xfId="2" applyNumberFormat="1" applyFont="1" applyBorder="1" applyAlignment="1">
      <alignment vertical="center"/>
    </xf>
    <xf numFmtId="165" fontId="1" fillId="0" borderId="18" xfId="2" applyNumberFormat="1" applyBorder="1" applyAlignment="1">
      <alignment vertical="center"/>
    </xf>
    <xf numFmtId="165" fontId="1" fillId="0" borderId="19" xfId="2" applyNumberFormat="1" applyBorder="1" applyAlignment="1">
      <alignment vertical="center"/>
    </xf>
    <xf numFmtId="0" fontId="17" fillId="3" borderId="0" xfId="0" applyFont="1" applyFill="1"/>
    <xf numFmtId="49" fontId="25" fillId="3" borderId="1" xfId="0" applyNumberFormat="1" applyFont="1" applyFill="1" applyBorder="1" applyAlignment="1">
      <alignment horizontal="center"/>
    </xf>
    <xf numFmtId="0" fontId="25" fillId="3" borderId="0" xfId="0" applyFont="1" applyFill="1" applyAlignment="1">
      <alignment horizontal="center"/>
    </xf>
    <xf numFmtId="169" fontId="0" fillId="3" borderId="1" xfId="0" applyNumberFormat="1" applyFill="1" applyBorder="1" applyAlignment="1">
      <alignment horizontal="center"/>
    </xf>
    <xf numFmtId="167" fontId="0" fillId="3" borderId="1" xfId="1" applyNumberFormat="1" applyFont="1" applyFill="1" applyBorder="1" applyAlignment="1">
      <alignment horizontal="center"/>
    </xf>
    <xf numFmtId="167" fontId="18" fillId="3" borderId="1" xfId="1" applyNumberFormat="1" applyFont="1" applyFill="1" applyBorder="1" applyAlignment="1">
      <alignment horizontal="right"/>
    </xf>
    <xf numFmtId="44" fontId="0" fillId="0" borderId="0" xfId="2" applyFont="1"/>
    <xf numFmtId="44" fontId="0" fillId="0" borderId="0" xfId="0" applyNumberFormat="1"/>
    <xf numFmtId="44" fontId="0" fillId="0" borderId="0" xfId="4" applyFont="1"/>
    <xf numFmtId="44" fontId="1" fillId="3" borderId="1" xfId="2" applyFill="1" applyBorder="1" applyAlignment="1">
      <alignment horizontal="center"/>
    </xf>
    <xf numFmtId="0" fontId="21" fillId="3" borderId="0" xfId="0" applyFont="1" applyFill="1" applyAlignment="1">
      <alignment horizontal="center"/>
    </xf>
    <xf numFmtId="0" fontId="6" fillId="3" borderId="20" xfId="3" applyFont="1" applyFill="1" applyBorder="1" applyAlignment="1" applyProtection="1">
      <alignment horizontal="left" vertical="top" wrapText="1"/>
    </xf>
    <xf numFmtId="0" fontId="6" fillId="3" borderId="0" xfId="3" applyFont="1" applyFill="1" applyBorder="1" applyAlignment="1" applyProtection="1">
      <alignment horizontal="left" vertical="top" wrapText="1"/>
    </xf>
    <xf numFmtId="49" fontId="25" fillId="3" borderId="1" xfId="0" applyNumberFormat="1" applyFont="1" applyFill="1" applyBorder="1" applyAlignment="1">
      <alignment horizontal="center" vertical="top" wrapText="1"/>
    </xf>
    <xf numFmtId="49" fontId="0" fillId="3" borderId="1" xfId="0" applyNumberFormat="1" applyFill="1" applyBorder="1" applyAlignment="1">
      <alignment horizontal="center" vertical="top" wrapText="1"/>
    </xf>
    <xf numFmtId="0" fontId="3" fillId="3" borderId="0" xfId="3" applyFont="1" applyFill="1" applyAlignment="1" applyProtection="1">
      <alignment horizontal="center"/>
    </xf>
    <xf numFmtId="0" fontId="3" fillId="3" borderId="0" xfId="0" applyFont="1" applyFill="1" applyAlignment="1">
      <alignment horizontal="center"/>
    </xf>
    <xf numFmtId="0" fontId="4" fillId="3" borderId="0" xfId="0" applyFont="1" applyFill="1" applyAlignment="1">
      <alignment horizontal="center"/>
    </xf>
    <xf numFmtId="169" fontId="0" fillId="3" borderId="0" xfId="0" applyNumberFormat="1" applyFill="1" applyAlignment="1">
      <alignment horizontal="left"/>
    </xf>
    <xf numFmtId="0" fontId="25" fillId="3" borderId="21" xfId="0" applyFont="1" applyFill="1" applyBorder="1" applyAlignment="1">
      <alignment vertical="top" wrapText="1"/>
    </xf>
    <xf numFmtId="49" fontId="25" fillId="3" borderId="21" xfId="0" applyNumberFormat="1" applyFont="1" applyFill="1" applyBorder="1" applyAlignment="1">
      <alignment vertical="top" wrapText="1"/>
    </xf>
    <xf numFmtId="0" fontId="22" fillId="0" borderId="0" xfId="0" applyFont="1" applyAlignment="1">
      <alignment horizontal="left" vertical="center"/>
    </xf>
    <xf numFmtId="0" fontId="25" fillId="0" borderId="0" xfId="0" applyFont="1" applyAlignment="1">
      <alignment horizontal="left" vertical="center"/>
    </xf>
    <xf numFmtId="14" fontId="0" fillId="3" borderId="0" xfId="0" applyNumberFormat="1" applyFill="1" applyAlignment="1">
      <alignment horizontal="left"/>
    </xf>
    <xf numFmtId="0" fontId="17" fillId="3" borderId="21" xfId="0" applyFont="1" applyFill="1" applyBorder="1" applyAlignment="1">
      <alignment vertical="top" wrapText="1"/>
    </xf>
    <xf numFmtId="0" fontId="7" fillId="3" borderId="20" xfId="3" applyFont="1" applyFill="1" applyBorder="1" applyAlignment="1" applyProtection="1">
      <alignment horizontal="left" vertical="top" wrapText="1"/>
    </xf>
    <xf numFmtId="0" fontId="7" fillId="3" borderId="0" xfId="3" applyFont="1" applyFill="1" applyBorder="1" applyAlignment="1" applyProtection="1">
      <alignment horizontal="left" vertical="top" wrapText="1"/>
    </xf>
    <xf numFmtId="44" fontId="0" fillId="2" borderId="0" xfId="2" applyFont="1" applyFill="1"/>
  </cellXfs>
  <cellStyles count="5">
    <cellStyle name="Comma" xfId="1" builtinId="3"/>
    <cellStyle name="Currency" xfId="2" builtinId="4"/>
    <cellStyle name="Currency 2" xfId="4"/>
    <cellStyle name="Hyperlink" xfId="3" builtinId="8"/>
    <cellStyle name="Normal" xfId="0" builtinId="0"/>
  </cellStyles>
  <dxfs count="31">
    <dxf>
      <fill>
        <patternFill>
          <bgColor indexed="31"/>
        </patternFill>
      </fill>
    </dxf>
    <dxf>
      <fill>
        <patternFill>
          <bgColor indexed="31"/>
        </patternFill>
      </fill>
    </dxf>
    <dxf>
      <font>
        <b/>
        <i val="0"/>
        <strike/>
        <condense val="0"/>
        <extend val="0"/>
        <color indexed="10"/>
      </font>
    </dxf>
    <dxf>
      <font>
        <b/>
        <i val="0"/>
        <strike/>
        <condense val="0"/>
        <extend val="0"/>
        <color indexed="10"/>
      </font>
    </dxf>
    <dxf>
      <fill>
        <patternFill>
          <bgColor indexed="31"/>
        </patternFill>
      </fill>
    </dxf>
    <dxf>
      <fill>
        <patternFill>
          <bgColor indexed="31"/>
        </patternFill>
      </fill>
    </dxf>
    <dxf>
      <fill>
        <patternFill>
          <bgColor indexed="31"/>
        </patternFill>
      </fill>
    </dxf>
    <dxf>
      <fill>
        <patternFill>
          <bgColor indexed="31"/>
        </patternFill>
      </fill>
    </dxf>
    <dxf>
      <font>
        <b/>
        <i val="0"/>
        <strike/>
        <condense val="0"/>
        <extend val="0"/>
        <color indexed="10"/>
      </font>
    </dxf>
    <dxf>
      <font>
        <b/>
        <i val="0"/>
        <strike/>
        <condense val="0"/>
        <extend val="0"/>
        <color indexed="10"/>
      </font>
    </dxf>
    <dxf>
      <fill>
        <patternFill>
          <bgColor indexed="31"/>
        </patternFill>
      </fill>
    </dxf>
    <dxf>
      <fill>
        <patternFill>
          <bgColor indexed="31"/>
        </patternFill>
      </fill>
    </dxf>
    <dxf>
      <font>
        <b val="0"/>
        <i val="0"/>
        <condense val="0"/>
        <extend val="0"/>
        <color indexed="31"/>
      </font>
      <fill>
        <patternFill>
          <bgColor indexed="31"/>
        </patternFill>
      </fill>
    </dxf>
    <dxf>
      <font>
        <b val="0"/>
        <i val="0"/>
        <condense val="0"/>
        <extend val="0"/>
        <color indexed="9"/>
      </font>
      <fill>
        <patternFill>
          <bgColor indexed="31"/>
        </patternFill>
      </fill>
    </dxf>
    <dxf>
      <fill>
        <patternFill>
          <bgColor indexed="31"/>
        </patternFill>
      </fill>
    </dxf>
    <dxf>
      <font>
        <condense val="0"/>
        <extend val="0"/>
        <color auto="1"/>
      </font>
      <fill>
        <patternFill>
          <bgColor indexed="31"/>
        </patternFill>
      </fill>
    </dxf>
    <dxf>
      <fill>
        <patternFill>
          <bgColor indexed="31"/>
        </patternFill>
      </fill>
    </dxf>
    <dxf>
      <fill>
        <patternFill>
          <bgColor indexed="31"/>
        </patternFill>
      </fill>
    </dxf>
    <dxf>
      <fill>
        <patternFill>
          <bgColor indexed="31"/>
        </patternFill>
      </fill>
    </dxf>
    <dxf>
      <font>
        <b/>
        <i val="0"/>
        <strike/>
        <condense val="0"/>
        <extend val="0"/>
        <color indexed="10"/>
      </font>
    </dxf>
    <dxf>
      <font>
        <b/>
        <i val="0"/>
        <strike/>
        <condense val="0"/>
        <extend val="0"/>
        <color indexed="10"/>
      </font>
    </dxf>
    <dxf>
      <fill>
        <patternFill>
          <bgColor indexed="31"/>
        </patternFill>
      </fill>
    </dxf>
    <dxf>
      <fill>
        <patternFill>
          <bgColor indexed="31"/>
        </patternFill>
      </fill>
    </dxf>
    <dxf>
      <fill>
        <patternFill>
          <bgColor indexed="31"/>
        </patternFill>
      </fill>
    </dxf>
    <dxf>
      <fill>
        <patternFill>
          <bgColor indexed="31"/>
        </patternFill>
      </fill>
    </dxf>
    <dxf>
      <fill>
        <patternFill>
          <bgColor indexed="31"/>
        </patternFill>
      </fill>
    </dxf>
    <dxf>
      <fill>
        <patternFill>
          <bgColor indexed="31"/>
        </patternFill>
      </fill>
    </dxf>
    <dxf>
      <font>
        <b/>
        <i val="0"/>
        <strike/>
        <condense val="0"/>
        <extend val="0"/>
        <color indexed="10"/>
      </font>
    </dxf>
    <dxf>
      <font>
        <b/>
        <i val="0"/>
        <strike/>
        <condense val="0"/>
        <extend val="0"/>
        <color indexed="10"/>
      </font>
    </dxf>
    <dxf>
      <fill>
        <patternFill>
          <bgColor indexed="31"/>
        </patternFill>
      </fill>
    </dxf>
    <dxf>
      <fill>
        <patternFill>
          <bgColor indexed="3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s>
</file>

<file path=xl/ctrlProps/ctrlProp1.xml><?xml version="1.0" encoding="utf-8"?>
<formControlPr xmlns="http://schemas.microsoft.com/office/spreadsheetml/2009/9/main" objectType="Drop" dropStyle="combo" dx="16" fmlaLink="B14" fmlaRange="'form picklists'!$A$2:$A$6" noThreeD="1" sel="5" val="0"/>
</file>

<file path=xl/ctrlProps/ctrlProp2.xml><?xml version="1.0" encoding="utf-8"?>
<formControlPr xmlns="http://schemas.microsoft.com/office/spreadsheetml/2009/9/main" objectType="Drop" dropStyle="combo" dx="16" fmlaRange="'form picklists'!$E$2:$E$8" noThreeD="1" sel="3" val="0"/>
</file>

<file path=xl/ctrlProps/ctrlProp3.xml><?xml version="1.0" encoding="utf-8"?>
<formControlPr xmlns="http://schemas.microsoft.com/office/spreadsheetml/2009/9/main" objectType="Drop" dropStyle="combo" dx="16" fmlaLink="E14" fmlaRange="'form picklists'!$C$2:$C$8" noThreeD="1" sel="7" val="0"/>
</file>

<file path=xl/ctrlProps/ctrlProp4.xml><?xml version="1.0" encoding="utf-8"?>
<formControlPr xmlns="http://schemas.microsoft.com/office/spreadsheetml/2009/9/main" objectType="Drop" dropStyle="combo" dx="16" fmlaRange="'form picklists'!$G$2:$G$260" noThreeD="1" sel="182" val="175"/>
</file>

<file path=xl/ctrlProps/ctrlProp5.xml><?xml version="1.0" encoding="utf-8"?>
<formControlPr xmlns="http://schemas.microsoft.com/office/spreadsheetml/2009/9/main" objectType="Drop" dropStyle="combo" dx="16" fmlaRange="'form picklists'!$G$2:$G$260" noThreeD="1" val="0"/>
</file>

<file path=xl/ctrlProps/ctrlProp6.xml><?xml version="1.0" encoding="utf-8"?>
<formControlPr xmlns="http://schemas.microsoft.com/office/spreadsheetml/2009/9/main" objectType="Drop" dropStyle="combo" dx="16" fmlaRange="'form picklists'!$G$2:$G$260" noThreeD="1" val="0"/>
</file>

<file path=xl/ctrlProps/ctrlProp7.xml><?xml version="1.0" encoding="utf-8"?>
<formControlPr xmlns="http://schemas.microsoft.com/office/spreadsheetml/2009/9/main" objectType="Drop" dropStyle="combo" dx="16" fmlaRange="'form picklists'!$G$2:$G$260" noThreeD="1" val="0"/>
</file>

<file path=xl/ctrlProps/ctrlProp8.xml><?xml version="1.0" encoding="utf-8"?>
<formControlPr xmlns="http://schemas.microsoft.com/office/spreadsheetml/2009/9/main" objectType="Drop" dropStyle="combo" dx="16" fmlaRange="'form picklists'!$G$2:$G$260" noThreeD="1" sel="0" val="0"/>
</file>

<file path=xl/ctrlProps/ctrlProp9.xml><?xml version="1.0" encoding="utf-8"?>
<formControlPr xmlns="http://schemas.microsoft.com/office/spreadsheetml/2009/9/main" objectType="Drop" dropStyle="combo" dx="16" fmlaRange="'form picklists'!$K$2:$K$4" noThreeD="1" sel="2" val="0"/>
</file>

<file path=xl/ctrlProps/ctrlProp10.xml><?xml version="1.0" encoding="utf-8"?>
<formControlPr xmlns="http://schemas.microsoft.com/office/spreadsheetml/2009/9/main" objectType="Drop" dropStyle="combo" dx="16" fmlaRange="'form picklists'!$M$2:$M$4" noThreeD="1" sel="3" val="0"/>
</file>

<file path=xl/ctrlProps/ctrlProp11.xml><?xml version="1.0" encoding="utf-8"?>
<formControlPr xmlns="http://schemas.microsoft.com/office/spreadsheetml/2009/9/main" objectType="Drop" dropStyle="combo" dx="16" fmlaLink="B14" fmlaRange="'form picklists'!$A$2:$A$6" noThreeD="1" sel="5" val="0"/>
</file>

<file path=xl/ctrlProps/ctrlProp12.xml><?xml version="1.0" encoding="utf-8"?>
<formControlPr xmlns="http://schemas.microsoft.com/office/spreadsheetml/2009/9/main" objectType="Drop" dropStyle="combo" dx="16" fmlaRange="'form picklists'!$E$2:$E$8" noThreeD="1" sel="3" val="0"/>
</file>

<file path=xl/ctrlProps/ctrlProp13.xml><?xml version="1.0" encoding="utf-8"?>
<formControlPr xmlns="http://schemas.microsoft.com/office/spreadsheetml/2009/9/main" objectType="Drop" dropStyle="combo" dx="16" fmlaLink="E14" fmlaRange="'form picklists'!$C$2:$C$8" noThreeD="1" sel="7" val="0"/>
</file>

<file path=xl/ctrlProps/ctrlProp14.xml><?xml version="1.0" encoding="utf-8"?>
<formControlPr xmlns="http://schemas.microsoft.com/office/spreadsheetml/2009/9/main" objectType="Drop" dropStyle="combo" dx="16" fmlaRange="'form picklists'!$G$2:$G$260" noThreeD="1" sel="182" val="175"/>
</file>

<file path=xl/ctrlProps/ctrlProp15.xml><?xml version="1.0" encoding="utf-8"?>
<formControlPr xmlns="http://schemas.microsoft.com/office/spreadsheetml/2009/9/main" objectType="Drop" dropStyle="combo" dx="16" fmlaRange="'form picklists'!$G$2:$G$260" noThreeD="1" sel="0" val="0"/>
</file>

<file path=xl/ctrlProps/ctrlProp16.xml><?xml version="1.0" encoding="utf-8"?>
<formControlPr xmlns="http://schemas.microsoft.com/office/spreadsheetml/2009/9/main" objectType="Drop" dropStyle="combo" dx="16" fmlaRange="'form picklists'!$G$2:$G$260" noThreeD="1" sel="0" val="0"/>
</file>

<file path=xl/ctrlProps/ctrlProp17.xml><?xml version="1.0" encoding="utf-8"?>
<formControlPr xmlns="http://schemas.microsoft.com/office/spreadsheetml/2009/9/main" objectType="Drop" dropStyle="combo" dx="16" fmlaRange="'form picklists'!$G$2:$G$260" noThreeD="1" sel="0" val="0"/>
</file>

<file path=xl/ctrlProps/ctrlProp18.xml><?xml version="1.0" encoding="utf-8"?>
<formControlPr xmlns="http://schemas.microsoft.com/office/spreadsheetml/2009/9/main" objectType="Drop" dropStyle="combo" dx="16" fmlaRange="'form picklists'!$G$2:$G$260" noThreeD="1" sel="0" val="0"/>
</file>

<file path=xl/ctrlProps/ctrlProp19.xml><?xml version="1.0" encoding="utf-8"?>
<formControlPr xmlns="http://schemas.microsoft.com/office/spreadsheetml/2009/9/main" objectType="Drop" dropStyle="combo" dx="16" fmlaRange="'form picklists'!$K$2:$K$4" noThreeD="1" sel="0" val="0"/>
</file>

<file path=xl/ctrlProps/ctrlProp20.xml><?xml version="1.0" encoding="utf-8"?>
<formControlPr xmlns="http://schemas.microsoft.com/office/spreadsheetml/2009/9/main" objectType="Drop" dropStyle="combo" dx="16" fmlaLink="B14" fmlaRange="'form picklists'!$A$2:$A$6" noThreeD="1" val="0"/>
</file>

<file path=xl/ctrlProps/ctrlProp21.xml><?xml version="1.0" encoding="utf-8"?>
<formControlPr xmlns="http://schemas.microsoft.com/office/spreadsheetml/2009/9/main" objectType="Drop" dropStyle="combo" dx="16" fmlaRange="'form picklists'!$E$2:$E$8" noThreeD="1" val="0"/>
</file>

<file path=xl/ctrlProps/ctrlProp22.xml><?xml version="1.0" encoding="utf-8"?>
<formControlPr xmlns="http://schemas.microsoft.com/office/spreadsheetml/2009/9/main" objectType="Drop" dropStyle="combo" dx="16" fmlaLink="E14" fmlaRange="'form picklists'!$C$2:$C$8" noThreeD="1" val="0"/>
</file>

<file path=xl/ctrlProps/ctrlProp23.xml><?xml version="1.0" encoding="utf-8"?>
<formControlPr xmlns="http://schemas.microsoft.com/office/spreadsheetml/2009/9/main" objectType="Drop" dropStyle="combo" dx="16" fmlaRange="'form picklists'!$G$2:$G$260" noThreeD="1" val="0"/>
</file>

<file path=xl/ctrlProps/ctrlProp24.xml><?xml version="1.0" encoding="utf-8"?>
<formControlPr xmlns="http://schemas.microsoft.com/office/spreadsheetml/2009/9/main" objectType="Drop" dropStyle="combo" dx="16" fmlaRange="'form picklists'!$G$2:$G$216" noThreeD="1" sel="0" val="0"/>
</file>

<file path=xl/ctrlProps/ctrlProp25.xml><?xml version="1.0" encoding="utf-8"?>
<formControlPr xmlns="http://schemas.microsoft.com/office/spreadsheetml/2009/9/main" objectType="Drop" dropStyle="combo" dx="16" fmlaRange="'form picklists'!$G$2:$G$216" noThreeD="1" sel="0" val="0"/>
</file>

<file path=xl/ctrlProps/ctrlProp26.xml><?xml version="1.0" encoding="utf-8"?>
<formControlPr xmlns="http://schemas.microsoft.com/office/spreadsheetml/2009/9/main" objectType="Drop" dropStyle="combo" dx="16" fmlaRange="'form picklists'!$G$2:$G$216" noThreeD="1" sel="0" val="0"/>
</file>

<file path=xl/ctrlProps/ctrlProp27.xml><?xml version="1.0" encoding="utf-8"?>
<formControlPr xmlns="http://schemas.microsoft.com/office/spreadsheetml/2009/9/main" objectType="Drop" dropStyle="combo" dx="16" fmlaRange="'form picklists'!$G$2:$G$216" noThreeD="1" sel="0" val="0"/>
</file>

<file path=xl/ctrlProps/ctrlProp28.xml><?xml version="1.0" encoding="utf-8"?>
<formControlPr xmlns="http://schemas.microsoft.com/office/spreadsheetml/2009/9/main" objectType="Drop" dropStyle="combo" dx="16" fmlaRange="'form picklists'!$G$2:$G$260" noThreeD="1" val="0"/>
</file>

<file path=xl/ctrlProps/ctrlProp29.xml><?xml version="1.0" encoding="utf-8"?>
<formControlPr xmlns="http://schemas.microsoft.com/office/spreadsheetml/2009/9/main" objectType="Drop" dropStyle="combo" dx="16" fmlaRange="'form picklists'!$G$2:$G$260" noThreeD="1" val="0"/>
</file>

<file path=xl/ctrlProps/ctrlProp30.xml><?xml version="1.0" encoding="utf-8"?>
<formControlPr xmlns="http://schemas.microsoft.com/office/spreadsheetml/2009/9/main" objectType="Drop" dropStyle="combo" dx="16" fmlaRange="'form picklists'!$G$2:$G$260" noThreeD="1" val="0"/>
</file>

<file path=xl/ctrlProps/ctrlProp31.xml><?xml version="1.0" encoding="utf-8"?>
<formControlPr xmlns="http://schemas.microsoft.com/office/spreadsheetml/2009/9/main" objectType="Drop" dropStyle="combo" dx="16" fmlaRange="'form picklists'!$G$2:$G$260" noThreeD="1" val="0"/>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19050</xdr:colOff>
      <xdr:row>0</xdr:row>
      <xdr:rowOff>38100</xdr:rowOff>
    </xdr:from>
    <xdr:to>
      <xdr:col>1</xdr:col>
      <xdr:colOff>1419225</xdr:colOff>
      <xdr:row>1</xdr:row>
      <xdr:rowOff>723900</xdr:rowOff>
    </xdr:to>
    <xdr:pic>
      <xdr:nvPicPr>
        <xdr:cNvPr id="3119" name="Picture 2"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19050" y="38100"/>
          <a:ext cx="2009775" cy="790575"/>
        </a:xfrm>
        <a:prstGeom prst="rect">
          <a:avLst/>
        </a:prstGeom>
        <a:noFill/>
        <a:ln w="9525">
          <a:noFill/>
          <a:miter lim="800000"/>
          <a:headEnd/>
          <a:tailEnd/>
        </a:ln>
      </xdr:spPr>
    </xdr:pic>
    <xdr:clientData/>
  </xdr:twoCellAnchor>
  <xdr:twoCellAnchor>
    <xdr:from>
      <xdr:col>0</xdr:col>
      <xdr:colOff>19050</xdr:colOff>
      <xdr:row>87</xdr:row>
      <xdr:rowOff>38100</xdr:rowOff>
    </xdr:from>
    <xdr:to>
      <xdr:col>1</xdr:col>
      <xdr:colOff>1419225</xdr:colOff>
      <xdr:row>88</xdr:row>
      <xdr:rowOff>723900</xdr:rowOff>
    </xdr:to>
    <xdr:pic>
      <xdr:nvPicPr>
        <xdr:cNvPr id="3120" name="Picture 4"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19050" y="21583650"/>
          <a:ext cx="2009775" cy="79057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1476375</xdr:colOff>
      <xdr:row>4</xdr:row>
      <xdr:rowOff>66675</xdr:rowOff>
    </xdr:to>
    <xdr:pic>
      <xdr:nvPicPr>
        <xdr:cNvPr id="2087" name="Picture 2"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476375" cy="790575"/>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editAs="oneCell">
        <xdr:from>
          <xdr:col>1</xdr:col>
          <xdr:colOff>28575</xdr:colOff>
          <xdr:row>13</xdr:row>
          <xdr:rowOff>28575</xdr:rowOff>
        </xdr:from>
        <xdr:to>
          <xdr:col>2</xdr:col>
          <xdr:colOff>38100</xdr:colOff>
          <xdr:row>13</xdr:row>
          <xdr:rowOff>228600</xdr:rowOff>
        </xdr:to>
        <xdr:sp macro="" textlink="">
          <xdr:nvSpPr>
            <xdr:cNvPr id="2053" name="Drop Down 5" hidden="1">
              <a:extLst>
                <a:ext uri="{63B3BB69-23CF-44E3-9099-C40C66FF867C}">
                  <a14:compatExt spid="_x0000_s205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15</xdr:row>
          <xdr:rowOff>28575</xdr:rowOff>
        </xdr:from>
        <xdr:to>
          <xdr:col>2</xdr:col>
          <xdr:colOff>38100</xdr:colOff>
          <xdr:row>15</xdr:row>
          <xdr:rowOff>228600</xdr:rowOff>
        </xdr:to>
        <xdr:sp macro="" textlink="">
          <xdr:nvSpPr>
            <xdr:cNvPr id="2055" name="Drop Down 7" hidden="1">
              <a:extLst>
                <a:ext uri="{63B3BB69-23CF-44E3-9099-C40C66FF867C}">
                  <a14:compatExt spid="_x0000_s205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13</xdr:row>
          <xdr:rowOff>28575</xdr:rowOff>
        </xdr:from>
        <xdr:to>
          <xdr:col>4</xdr:col>
          <xdr:colOff>1304925</xdr:colOff>
          <xdr:row>13</xdr:row>
          <xdr:rowOff>228600</xdr:rowOff>
        </xdr:to>
        <xdr:sp macro="" textlink="">
          <xdr:nvSpPr>
            <xdr:cNvPr id="2056" name="Drop Down 8" hidden="1">
              <a:extLst>
                <a:ext uri="{63B3BB69-23CF-44E3-9099-C40C66FF867C}">
                  <a14:compatExt spid="_x0000_s205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20</xdr:row>
          <xdr:rowOff>28575</xdr:rowOff>
        </xdr:from>
        <xdr:to>
          <xdr:col>2</xdr:col>
          <xdr:colOff>38100</xdr:colOff>
          <xdr:row>20</xdr:row>
          <xdr:rowOff>228600</xdr:rowOff>
        </xdr:to>
        <xdr:sp macro="" textlink="">
          <xdr:nvSpPr>
            <xdr:cNvPr id="2058" name="Drop Down 10" hidden="1">
              <a:extLst>
                <a:ext uri="{63B3BB69-23CF-44E3-9099-C40C66FF867C}">
                  <a14:compatExt spid="_x0000_s205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21</xdr:row>
          <xdr:rowOff>28575</xdr:rowOff>
        </xdr:from>
        <xdr:to>
          <xdr:col>2</xdr:col>
          <xdr:colOff>38100</xdr:colOff>
          <xdr:row>21</xdr:row>
          <xdr:rowOff>228600</xdr:rowOff>
        </xdr:to>
        <xdr:sp macro="" textlink="">
          <xdr:nvSpPr>
            <xdr:cNvPr id="2060" name="Drop Down 12" hidden="1">
              <a:extLst>
                <a:ext uri="{63B3BB69-23CF-44E3-9099-C40C66FF867C}">
                  <a14:compatExt spid="_x0000_s206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22</xdr:row>
          <xdr:rowOff>28575</xdr:rowOff>
        </xdr:from>
        <xdr:to>
          <xdr:col>2</xdr:col>
          <xdr:colOff>38100</xdr:colOff>
          <xdr:row>22</xdr:row>
          <xdr:rowOff>228600</xdr:rowOff>
        </xdr:to>
        <xdr:sp macro="" textlink="">
          <xdr:nvSpPr>
            <xdr:cNvPr id="2061" name="Drop Down 13" hidden="1">
              <a:extLst>
                <a:ext uri="{63B3BB69-23CF-44E3-9099-C40C66FF867C}">
                  <a14:compatExt spid="_x0000_s206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23</xdr:row>
          <xdr:rowOff>28575</xdr:rowOff>
        </xdr:from>
        <xdr:to>
          <xdr:col>2</xdr:col>
          <xdr:colOff>38100</xdr:colOff>
          <xdr:row>23</xdr:row>
          <xdr:rowOff>228600</xdr:rowOff>
        </xdr:to>
        <xdr:sp macro="" textlink="">
          <xdr:nvSpPr>
            <xdr:cNvPr id="2062" name="Drop Down 14" hidden="1">
              <a:extLst>
                <a:ext uri="{63B3BB69-23CF-44E3-9099-C40C66FF867C}">
                  <a14:compatExt spid="_x0000_s206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24</xdr:row>
          <xdr:rowOff>28575</xdr:rowOff>
        </xdr:from>
        <xdr:to>
          <xdr:col>2</xdr:col>
          <xdr:colOff>38100</xdr:colOff>
          <xdr:row>24</xdr:row>
          <xdr:rowOff>228600</xdr:rowOff>
        </xdr:to>
        <xdr:sp macro="" textlink="">
          <xdr:nvSpPr>
            <xdr:cNvPr id="2063" name="Drop Down 15" hidden="1">
              <a:extLst>
                <a:ext uri="{63B3BB69-23CF-44E3-9099-C40C66FF867C}">
                  <a14:compatExt spid="_x0000_s206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28</xdr:row>
          <xdr:rowOff>28575</xdr:rowOff>
        </xdr:from>
        <xdr:to>
          <xdr:col>2</xdr:col>
          <xdr:colOff>38100</xdr:colOff>
          <xdr:row>28</xdr:row>
          <xdr:rowOff>228600</xdr:rowOff>
        </xdr:to>
        <xdr:sp macro="" textlink="">
          <xdr:nvSpPr>
            <xdr:cNvPr id="2064" name="Drop Down 16" hidden="1">
              <a:extLst>
                <a:ext uri="{63B3BB69-23CF-44E3-9099-C40C66FF867C}">
                  <a14:compatExt spid="_x0000_s2064"/>
                </a:ext>
              </a:extLst>
            </xdr:cNvPr>
            <xdr:cNvSpPr/>
          </xdr:nvSpPr>
          <xdr:spPr>
            <a:xfrm>
              <a:off x="0" y="0"/>
              <a:ext cx="0" cy="0"/>
            </a:xfrm>
            <a:prstGeom prst="rect">
              <a:avLst/>
            </a:prstGeom>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28575</xdr:colOff>
          <xdr:row>5</xdr:row>
          <xdr:rowOff>28575</xdr:rowOff>
        </xdr:from>
        <xdr:to>
          <xdr:col>1</xdr:col>
          <xdr:colOff>657225</xdr:colOff>
          <xdr:row>6</xdr:row>
          <xdr:rowOff>0</xdr:rowOff>
        </xdr:to>
        <xdr:sp macro="" textlink="">
          <xdr:nvSpPr>
            <xdr:cNvPr id="5123" name="Drop Down 3" hidden="1">
              <a:extLst>
                <a:ext uri="{63B3BB69-23CF-44E3-9099-C40C66FF867C}">
                  <a14:compatExt spid="_x0000_s5123"/>
                </a:ext>
              </a:extLst>
            </xdr:cNvPr>
            <xdr:cNvSpPr/>
          </xdr:nvSpPr>
          <xdr:spPr>
            <a:xfrm>
              <a:off x="0" y="0"/>
              <a:ext cx="0" cy="0"/>
            </a:xfrm>
            <a:prstGeom prst="rect">
              <a:avLst/>
            </a:prstGeom>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1476375</xdr:colOff>
      <xdr:row>4</xdr:row>
      <xdr:rowOff>66675</xdr:rowOff>
    </xdr:to>
    <xdr:pic>
      <xdr:nvPicPr>
        <xdr:cNvPr id="6176" name="Picture 1"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476375" cy="790575"/>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editAs="oneCell">
        <xdr:from>
          <xdr:col>1</xdr:col>
          <xdr:colOff>28575</xdr:colOff>
          <xdr:row>13</xdr:row>
          <xdr:rowOff>28575</xdr:rowOff>
        </xdr:from>
        <xdr:to>
          <xdr:col>2</xdr:col>
          <xdr:colOff>38100</xdr:colOff>
          <xdr:row>13</xdr:row>
          <xdr:rowOff>228600</xdr:rowOff>
        </xdr:to>
        <xdr:sp macro="" textlink="">
          <xdr:nvSpPr>
            <xdr:cNvPr id="6146" name="Drop Down 2" hidden="1">
              <a:extLst>
                <a:ext uri="{63B3BB69-23CF-44E3-9099-C40C66FF867C}">
                  <a14:compatExt spid="_x0000_s614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15</xdr:row>
          <xdr:rowOff>28575</xdr:rowOff>
        </xdr:from>
        <xdr:to>
          <xdr:col>2</xdr:col>
          <xdr:colOff>38100</xdr:colOff>
          <xdr:row>15</xdr:row>
          <xdr:rowOff>228600</xdr:rowOff>
        </xdr:to>
        <xdr:sp macro="" textlink="">
          <xdr:nvSpPr>
            <xdr:cNvPr id="6147" name="Drop Down 3" hidden="1">
              <a:extLst>
                <a:ext uri="{63B3BB69-23CF-44E3-9099-C40C66FF867C}">
                  <a14:compatExt spid="_x0000_s614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13</xdr:row>
          <xdr:rowOff>28575</xdr:rowOff>
        </xdr:from>
        <xdr:to>
          <xdr:col>4</xdr:col>
          <xdr:colOff>1304925</xdr:colOff>
          <xdr:row>13</xdr:row>
          <xdr:rowOff>228600</xdr:rowOff>
        </xdr:to>
        <xdr:sp macro="" textlink="">
          <xdr:nvSpPr>
            <xdr:cNvPr id="6148" name="Drop Down 4" hidden="1">
              <a:extLst>
                <a:ext uri="{63B3BB69-23CF-44E3-9099-C40C66FF867C}">
                  <a14:compatExt spid="_x0000_s614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20</xdr:row>
          <xdr:rowOff>28575</xdr:rowOff>
        </xdr:from>
        <xdr:to>
          <xdr:col>2</xdr:col>
          <xdr:colOff>38100</xdr:colOff>
          <xdr:row>20</xdr:row>
          <xdr:rowOff>228600</xdr:rowOff>
        </xdr:to>
        <xdr:sp macro="" textlink="">
          <xdr:nvSpPr>
            <xdr:cNvPr id="6149" name="Drop Down 5" hidden="1">
              <a:extLst>
                <a:ext uri="{63B3BB69-23CF-44E3-9099-C40C66FF867C}">
                  <a14:compatExt spid="_x0000_s614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21</xdr:row>
          <xdr:rowOff>28575</xdr:rowOff>
        </xdr:from>
        <xdr:to>
          <xdr:col>2</xdr:col>
          <xdr:colOff>38100</xdr:colOff>
          <xdr:row>21</xdr:row>
          <xdr:rowOff>228600</xdr:rowOff>
        </xdr:to>
        <xdr:sp macro="" textlink="">
          <xdr:nvSpPr>
            <xdr:cNvPr id="6150" name="Drop Down 6" hidden="1">
              <a:extLst>
                <a:ext uri="{63B3BB69-23CF-44E3-9099-C40C66FF867C}">
                  <a14:compatExt spid="_x0000_s615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22</xdr:row>
          <xdr:rowOff>28575</xdr:rowOff>
        </xdr:from>
        <xdr:to>
          <xdr:col>2</xdr:col>
          <xdr:colOff>38100</xdr:colOff>
          <xdr:row>22</xdr:row>
          <xdr:rowOff>228600</xdr:rowOff>
        </xdr:to>
        <xdr:sp macro="" textlink="">
          <xdr:nvSpPr>
            <xdr:cNvPr id="6151" name="Drop Down 7" hidden="1">
              <a:extLst>
                <a:ext uri="{63B3BB69-23CF-44E3-9099-C40C66FF867C}">
                  <a14:compatExt spid="_x0000_s615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23</xdr:row>
          <xdr:rowOff>28575</xdr:rowOff>
        </xdr:from>
        <xdr:to>
          <xdr:col>2</xdr:col>
          <xdr:colOff>38100</xdr:colOff>
          <xdr:row>23</xdr:row>
          <xdr:rowOff>228600</xdr:rowOff>
        </xdr:to>
        <xdr:sp macro="" textlink="">
          <xdr:nvSpPr>
            <xdr:cNvPr id="6152" name="Drop Down 8" hidden="1">
              <a:extLst>
                <a:ext uri="{63B3BB69-23CF-44E3-9099-C40C66FF867C}">
                  <a14:compatExt spid="_x0000_s615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24</xdr:row>
          <xdr:rowOff>28575</xdr:rowOff>
        </xdr:from>
        <xdr:to>
          <xdr:col>2</xdr:col>
          <xdr:colOff>38100</xdr:colOff>
          <xdr:row>24</xdr:row>
          <xdr:rowOff>228600</xdr:rowOff>
        </xdr:to>
        <xdr:sp macro="" textlink="">
          <xdr:nvSpPr>
            <xdr:cNvPr id="6153" name="Drop Down 9" hidden="1">
              <a:extLst>
                <a:ext uri="{63B3BB69-23CF-44E3-9099-C40C66FF867C}">
                  <a14:compatExt spid="_x0000_s615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28</xdr:row>
          <xdr:rowOff>28575</xdr:rowOff>
        </xdr:from>
        <xdr:to>
          <xdr:col>2</xdr:col>
          <xdr:colOff>38100</xdr:colOff>
          <xdr:row>28</xdr:row>
          <xdr:rowOff>228600</xdr:rowOff>
        </xdr:to>
        <xdr:sp macro="" textlink="">
          <xdr:nvSpPr>
            <xdr:cNvPr id="6154" name="Drop Down 10" hidden="1">
              <a:extLst>
                <a:ext uri="{63B3BB69-23CF-44E3-9099-C40C66FF867C}">
                  <a14:compatExt spid="_x0000_s6154"/>
                </a:ext>
              </a:extLst>
            </xdr:cNvPr>
            <xdr:cNvSpPr/>
          </xdr:nvSpPr>
          <xdr:spPr>
            <a:xfrm>
              <a:off x="0" y="0"/>
              <a:ext cx="0" cy="0"/>
            </a:xfrm>
            <a:prstGeom prst="rect">
              <a:avLst/>
            </a:prstGeom>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1476375</xdr:colOff>
      <xdr:row>4</xdr:row>
      <xdr:rowOff>66675</xdr:rowOff>
    </xdr:to>
    <xdr:pic>
      <xdr:nvPicPr>
        <xdr:cNvPr id="8229" name="Picture 1"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476375" cy="790575"/>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editAs="oneCell">
        <xdr:from>
          <xdr:col>1</xdr:col>
          <xdr:colOff>28575</xdr:colOff>
          <xdr:row>13</xdr:row>
          <xdr:rowOff>28575</xdr:rowOff>
        </xdr:from>
        <xdr:to>
          <xdr:col>2</xdr:col>
          <xdr:colOff>38100</xdr:colOff>
          <xdr:row>13</xdr:row>
          <xdr:rowOff>228600</xdr:rowOff>
        </xdr:to>
        <xdr:sp macro="" textlink="">
          <xdr:nvSpPr>
            <xdr:cNvPr id="8194" name="Drop Down 2" hidden="1">
              <a:extLst>
                <a:ext uri="{63B3BB69-23CF-44E3-9099-C40C66FF867C}">
                  <a14:compatExt spid="_x0000_s819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15</xdr:row>
          <xdr:rowOff>28575</xdr:rowOff>
        </xdr:from>
        <xdr:to>
          <xdr:col>2</xdr:col>
          <xdr:colOff>38100</xdr:colOff>
          <xdr:row>15</xdr:row>
          <xdr:rowOff>228600</xdr:rowOff>
        </xdr:to>
        <xdr:sp macro="" textlink="">
          <xdr:nvSpPr>
            <xdr:cNvPr id="8195" name="Drop Down 3" hidden="1">
              <a:extLst>
                <a:ext uri="{63B3BB69-23CF-44E3-9099-C40C66FF867C}">
                  <a14:compatExt spid="_x0000_s819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13</xdr:row>
          <xdr:rowOff>28575</xdr:rowOff>
        </xdr:from>
        <xdr:to>
          <xdr:col>4</xdr:col>
          <xdr:colOff>1304925</xdr:colOff>
          <xdr:row>13</xdr:row>
          <xdr:rowOff>228600</xdr:rowOff>
        </xdr:to>
        <xdr:sp macro="" textlink="">
          <xdr:nvSpPr>
            <xdr:cNvPr id="8196" name="Drop Down 4" hidden="1">
              <a:extLst>
                <a:ext uri="{63B3BB69-23CF-44E3-9099-C40C66FF867C}">
                  <a14:compatExt spid="_x0000_s819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21</xdr:row>
          <xdr:rowOff>28575</xdr:rowOff>
        </xdr:from>
        <xdr:to>
          <xdr:col>2</xdr:col>
          <xdr:colOff>38100</xdr:colOff>
          <xdr:row>21</xdr:row>
          <xdr:rowOff>228600</xdr:rowOff>
        </xdr:to>
        <xdr:sp macro="" textlink="">
          <xdr:nvSpPr>
            <xdr:cNvPr id="8197" name="Drop Down 5" hidden="1">
              <a:extLst>
                <a:ext uri="{63B3BB69-23CF-44E3-9099-C40C66FF867C}">
                  <a14:compatExt spid="_x0000_s819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22</xdr:row>
          <xdr:rowOff>28575</xdr:rowOff>
        </xdr:from>
        <xdr:to>
          <xdr:col>2</xdr:col>
          <xdr:colOff>38100</xdr:colOff>
          <xdr:row>22</xdr:row>
          <xdr:rowOff>228600</xdr:rowOff>
        </xdr:to>
        <xdr:sp macro="" textlink="">
          <xdr:nvSpPr>
            <xdr:cNvPr id="8198" name="Drop Down 6" hidden="1">
              <a:extLst>
                <a:ext uri="{63B3BB69-23CF-44E3-9099-C40C66FF867C}">
                  <a14:compatExt spid="_x0000_s819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23</xdr:row>
          <xdr:rowOff>28575</xdr:rowOff>
        </xdr:from>
        <xdr:to>
          <xdr:col>2</xdr:col>
          <xdr:colOff>38100</xdr:colOff>
          <xdr:row>23</xdr:row>
          <xdr:rowOff>228600</xdr:rowOff>
        </xdr:to>
        <xdr:sp macro="" textlink="">
          <xdr:nvSpPr>
            <xdr:cNvPr id="8199" name="Drop Down 7" hidden="1">
              <a:extLst>
                <a:ext uri="{63B3BB69-23CF-44E3-9099-C40C66FF867C}">
                  <a14:compatExt spid="_x0000_s819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24</xdr:row>
          <xdr:rowOff>28575</xdr:rowOff>
        </xdr:from>
        <xdr:to>
          <xdr:col>2</xdr:col>
          <xdr:colOff>38100</xdr:colOff>
          <xdr:row>24</xdr:row>
          <xdr:rowOff>228600</xdr:rowOff>
        </xdr:to>
        <xdr:sp macro="" textlink="">
          <xdr:nvSpPr>
            <xdr:cNvPr id="8200" name="Drop Down 8" hidden="1">
              <a:extLst>
                <a:ext uri="{63B3BB69-23CF-44E3-9099-C40C66FF867C}">
                  <a14:compatExt spid="_x0000_s820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25</xdr:row>
          <xdr:rowOff>28575</xdr:rowOff>
        </xdr:from>
        <xdr:to>
          <xdr:col>2</xdr:col>
          <xdr:colOff>38100</xdr:colOff>
          <xdr:row>25</xdr:row>
          <xdr:rowOff>228600</xdr:rowOff>
        </xdr:to>
        <xdr:sp macro="" textlink="">
          <xdr:nvSpPr>
            <xdr:cNvPr id="8201" name="Drop Down 9" hidden="1">
              <a:extLst>
                <a:ext uri="{63B3BB69-23CF-44E3-9099-C40C66FF867C}">
                  <a14:compatExt spid="_x0000_s820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22</xdr:row>
          <xdr:rowOff>28575</xdr:rowOff>
        </xdr:from>
        <xdr:to>
          <xdr:col>2</xdr:col>
          <xdr:colOff>38100</xdr:colOff>
          <xdr:row>22</xdr:row>
          <xdr:rowOff>228600</xdr:rowOff>
        </xdr:to>
        <xdr:sp macro="" textlink="">
          <xdr:nvSpPr>
            <xdr:cNvPr id="8203" name="Drop Down 11" hidden="1">
              <a:extLst>
                <a:ext uri="{63B3BB69-23CF-44E3-9099-C40C66FF867C}">
                  <a14:compatExt spid="_x0000_s820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23</xdr:row>
          <xdr:rowOff>28575</xdr:rowOff>
        </xdr:from>
        <xdr:to>
          <xdr:col>2</xdr:col>
          <xdr:colOff>38100</xdr:colOff>
          <xdr:row>23</xdr:row>
          <xdr:rowOff>228600</xdr:rowOff>
        </xdr:to>
        <xdr:sp macro="" textlink="">
          <xdr:nvSpPr>
            <xdr:cNvPr id="8204" name="Drop Down 12" hidden="1">
              <a:extLst>
                <a:ext uri="{63B3BB69-23CF-44E3-9099-C40C66FF867C}">
                  <a14:compatExt spid="_x0000_s820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24</xdr:row>
          <xdr:rowOff>28575</xdr:rowOff>
        </xdr:from>
        <xdr:to>
          <xdr:col>2</xdr:col>
          <xdr:colOff>38100</xdr:colOff>
          <xdr:row>24</xdr:row>
          <xdr:rowOff>228600</xdr:rowOff>
        </xdr:to>
        <xdr:sp macro="" textlink="">
          <xdr:nvSpPr>
            <xdr:cNvPr id="8205" name="Drop Down 13" hidden="1">
              <a:extLst>
                <a:ext uri="{63B3BB69-23CF-44E3-9099-C40C66FF867C}">
                  <a14:compatExt spid="_x0000_s820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25</xdr:row>
          <xdr:rowOff>28575</xdr:rowOff>
        </xdr:from>
        <xdr:to>
          <xdr:col>2</xdr:col>
          <xdr:colOff>38100</xdr:colOff>
          <xdr:row>25</xdr:row>
          <xdr:rowOff>228600</xdr:rowOff>
        </xdr:to>
        <xdr:sp macro="" textlink="">
          <xdr:nvSpPr>
            <xdr:cNvPr id="8206" name="Drop Down 14" hidden="1">
              <a:extLst>
                <a:ext uri="{63B3BB69-23CF-44E3-9099-C40C66FF867C}">
                  <a14:compatExt spid="_x0000_s8206"/>
                </a:ext>
              </a:extLst>
            </xdr:cNvPr>
            <xdr:cNvSpPr/>
          </xdr:nvSpPr>
          <xdr:spPr>
            <a:xfrm>
              <a:off x="0" y="0"/>
              <a:ext cx="0" cy="0"/>
            </a:xfrm>
            <a:prstGeom prst="rect">
              <a:avLst/>
            </a:prstGeom>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Documents%20and%20Settings\John%20Shaw\My%20Documents\Corix%20Utilities\CU513-%20Alaska%20Army%20Utility%20Pvtz\2007%20Financial%20Analysis%20(June)\DepreciationMacros200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Documents%20and%20Settings\jshaw\Local%20Settings\Temporary%20Internet%20Files\07.06.08.Fort_Greely%20Capital%20Report%20(Gold)dz.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Sheet"/>
      <sheetName val="Report Template"/>
      <sheetName val="Linear Assets"/>
      <sheetName val="Capital Reports"/>
    </sheetNames>
    <sheetDataSet>
      <sheetData sheetId="0">
        <row r="1">
          <cell r="A1" t="str">
            <v>HeaderRow</v>
          </cell>
          <cell r="B1">
            <v>8</v>
          </cell>
        </row>
        <row r="2">
          <cell r="A2" t="str">
            <v>ItemColumn</v>
          </cell>
          <cell r="B2" t="str">
            <v>B</v>
          </cell>
        </row>
        <row r="3">
          <cell r="A3" t="str">
            <v>OriginalYearInstalledColumn</v>
          </cell>
          <cell r="B3" t="str">
            <v>C</v>
          </cell>
        </row>
        <row r="4">
          <cell r="A4" t="str">
            <v>OriginalCostColumn</v>
          </cell>
          <cell r="B4" t="str">
            <v>AE</v>
          </cell>
        </row>
        <row r="5">
          <cell r="A5" t="str">
            <v>OriginalLifeColumn</v>
          </cell>
          <cell r="B5" t="str">
            <v>AB</v>
          </cell>
        </row>
        <row r="6">
          <cell r="A6" t="str">
            <v>LinearAssetColumn</v>
          </cell>
          <cell r="B6" t="str">
            <v>A</v>
          </cell>
        </row>
        <row r="7">
          <cell r="A7" t="str">
            <v>ReplaceYearColumn</v>
          </cell>
          <cell r="B7" t="str">
            <v>AG</v>
          </cell>
        </row>
        <row r="8">
          <cell r="A8" t="str">
            <v>ReplaceCostColumn</v>
          </cell>
          <cell r="B8" t="str">
            <v>AA</v>
          </cell>
        </row>
        <row r="9">
          <cell r="A9" t="str">
            <v>ReplaceLifeColumn</v>
          </cell>
          <cell r="B9" t="str">
            <v>AJ</v>
          </cell>
        </row>
        <row r="10">
          <cell r="A10" t="str">
            <v>MajorMaintYearColumn</v>
          </cell>
          <cell r="B10" t="str">
            <v>AL</v>
          </cell>
        </row>
        <row r="11">
          <cell r="A11" t="str">
            <v>MajorMaintCostColumn</v>
          </cell>
          <cell r="B11" t="str">
            <v>AK</v>
          </cell>
        </row>
        <row r="12">
          <cell r="A12" t="str">
            <v>MajorMaintDurationColumn</v>
          </cell>
          <cell r="B12" t="str">
            <v>AM</v>
          </cell>
        </row>
        <row r="13">
          <cell r="A13" t="str">
            <v>InflationFactor</v>
          </cell>
          <cell r="B13">
            <v>2.1000000000000001E-2</v>
          </cell>
        </row>
        <row r="14">
          <cell r="A14" t="str">
            <v>FromYear</v>
          </cell>
          <cell r="B14">
            <v>2008</v>
          </cell>
        </row>
        <row r="15">
          <cell r="A15" t="str">
            <v>ToYear</v>
          </cell>
          <cell r="B15">
            <v>2057</v>
          </cell>
        </row>
        <row r="16">
          <cell r="B16" t="str">
            <v>6/07</v>
          </cell>
        </row>
      </sheetData>
      <sheetData sheetId="1"/>
      <sheetData sheetId="2"/>
      <sheetData sheetId="3">
        <row r="15">
          <cell r="E15" t="str">
            <v>|=SUMIF(CapX!$B:$B,$B15,CapX!O:O)</v>
          </cell>
        </row>
        <row r="16">
          <cell r="E16" t="str">
            <v>|=SUMIF(Depreciation!$B:$B,$B16,Depreciation!O:O)</v>
          </cell>
        </row>
        <row r="17">
          <cell r="E17" t="str">
            <v>|=SUMIF(Expenses!$B:$B,$B17,Expenses!O:O)</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lationSheet"/>
      <sheetName val="Depreciation"/>
      <sheetName val="Expenses"/>
      <sheetName val="CapX"/>
      <sheetName val="Capital Reports"/>
      <sheetName val="Sheet1"/>
      <sheetName val="CapX (2)"/>
      <sheetName val="CapX (3)"/>
    </sheetNames>
    <sheetDataSet>
      <sheetData sheetId="0">
        <row r="2">
          <cell r="O2">
            <v>1</v>
          </cell>
          <cell r="P2">
            <v>1.0209999999999999</v>
          </cell>
          <cell r="Q2">
            <v>1.0424409999999997</v>
          </cell>
          <cell r="R2">
            <v>1.0643322609999997</v>
          </cell>
          <cell r="S2">
            <v>1.0866832384809995</v>
          </cell>
          <cell r="T2">
            <v>1.1095035864891003</v>
          </cell>
          <cell r="U2">
            <v>1.1328031618053713</v>
          </cell>
          <cell r="V2">
            <v>1.156592028203284</v>
          </cell>
          <cell r="W2">
            <v>1.1808804607955528</v>
          </cell>
          <cell r="X2">
            <v>1.2056789504722591</v>
          </cell>
          <cell r="Y2">
            <v>1.2309982084321764</v>
          </cell>
          <cell r="Z2">
            <v>1.256849170809252</v>
          </cell>
          <cell r="AA2">
            <v>1.2832430033962461</v>
          </cell>
          <cell r="AB2">
            <v>1.3101911064675671</v>
          </cell>
          <cell r="AC2">
            <v>1.3377051197033858</v>
          </cell>
          <cell r="AD2">
            <v>1.3657969272171568</v>
          </cell>
          <cell r="AE2">
            <v>1.3944786626887171</v>
          </cell>
          <cell r="AF2">
            <v>1.4237627146051801</v>
          </cell>
          <cell r="AG2">
            <v>1.4536617316118887</v>
          </cell>
          <cell r="AH2">
            <v>1.4841886279757381</v>
          </cell>
          <cell r="AI2">
            <v>1.5153565891632286</v>
          </cell>
          <cell r="AJ2">
            <v>1.5471790775356562</v>
          </cell>
          <cell r="AK2">
            <v>1.5796698381639049</v>
          </cell>
          <cell r="AL2">
            <v>1.6128429047653468</v>
          </cell>
          <cell r="AM2">
            <v>1.6467126057654189</v>
          </cell>
          <cell r="AN2">
            <v>1.6812935704864926</v>
          </cell>
          <cell r="AO2">
            <v>1.7166007354667088</v>
          </cell>
          <cell r="AP2">
            <v>1.7526493509115095</v>
          </cell>
          <cell r="AQ2">
            <v>1.7894549872806511</v>
          </cell>
          <cell r="AR2">
            <v>1.8270335420135446</v>
          </cell>
          <cell r="AS2">
            <v>1.8654012463958289</v>
          </cell>
          <cell r="AT2">
            <v>1.9045746725701411</v>
          </cell>
          <cell r="AU2">
            <v>1.944570740694114</v>
          </cell>
          <cell r="AV2">
            <v>1.9854067262486901</v>
          </cell>
          <cell r="AW2">
            <v>2.0271002674999123</v>
          </cell>
          <cell r="AX2">
            <v>2.0696693731174105</v>
          </cell>
          <cell r="AY2">
            <v>2.1131324299528758</v>
          </cell>
          <cell r="AZ2">
            <v>2.1575082109818862</v>
          </cell>
          <cell r="BA2">
            <v>2.2028158834125056</v>
          </cell>
          <cell r="BB2">
            <v>2.2490750169641678</v>
          </cell>
          <cell r="BC2">
            <v>2.2963055923204152</v>
          </cell>
          <cell r="BD2">
            <v>2.3445280097591437</v>
          </cell>
          <cell r="BE2">
            <v>2.3937630979640856</v>
          </cell>
          <cell r="BF2">
            <v>2.4440321230213313</v>
          </cell>
          <cell r="BG2">
            <v>2.4953567976047792</v>
          </cell>
          <cell r="BH2">
            <v>2.5477592903544792</v>
          </cell>
          <cell r="BI2">
            <v>2.601262235451923</v>
          </cell>
          <cell r="BJ2">
            <v>2.6558887423964133</v>
          </cell>
          <cell r="BK2">
            <v>2.7116624059867376</v>
          </cell>
          <cell r="BL2">
            <v>2.7686073165124587</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trlProp" Target="../ctrlProps/ctrlProp10.xml"/></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15.xml"/><Relationship Id="rId3" Type="http://schemas.openxmlformats.org/officeDocument/2006/relationships/vmlDrawing" Target="../drawings/vmlDrawing3.vml"/><Relationship Id="rId7" Type="http://schemas.openxmlformats.org/officeDocument/2006/relationships/ctrlProp" Target="../ctrlProps/ctrlProp14.xml"/><Relationship Id="rId12" Type="http://schemas.openxmlformats.org/officeDocument/2006/relationships/ctrlProp" Target="../ctrlProps/ctrlProp19.xml"/><Relationship Id="rId2" Type="http://schemas.openxmlformats.org/officeDocument/2006/relationships/drawing" Target="../drawings/drawing4.xml"/><Relationship Id="rId1" Type="http://schemas.openxmlformats.org/officeDocument/2006/relationships/printerSettings" Target="../printerSettings/printerSettings4.bin"/><Relationship Id="rId6" Type="http://schemas.openxmlformats.org/officeDocument/2006/relationships/ctrlProp" Target="../ctrlProps/ctrlProp13.xml"/><Relationship Id="rId11" Type="http://schemas.openxmlformats.org/officeDocument/2006/relationships/ctrlProp" Target="../ctrlProps/ctrlProp18.xml"/><Relationship Id="rId5" Type="http://schemas.openxmlformats.org/officeDocument/2006/relationships/ctrlProp" Target="../ctrlProps/ctrlProp12.xml"/><Relationship Id="rId10" Type="http://schemas.openxmlformats.org/officeDocument/2006/relationships/ctrlProp" Target="../ctrlProps/ctrlProp17.xml"/><Relationship Id="rId4" Type="http://schemas.openxmlformats.org/officeDocument/2006/relationships/ctrlProp" Target="../ctrlProps/ctrlProp11.xml"/><Relationship Id="rId9" Type="http://schemas.openxmlformats.org/officeDocument/2006/relationships/ctrlProp" Target="../ctrlProps/ctrlProp16.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24.xml"/><Relationship Id="rId13" Type="http://schemas.openxmlformats.org/officeDocument/2006/relationships/ctrlProp" Target="../ctrlProps/ctrlProp29.xml"/><Relationship Id="rId3" Type="http://schemas.openxmlformats.org/officeDocument/2006/relationships/vmlDrawing" Target="../drawings/vmlDrawing4.vml"/><Relationship Id="rId7" Type="http://schemas.openxmlformats.org/officeDocument/2006/relationships/ctrlProp" Target="../ctrlProps/ctrlProp23.xml"/><Relationship Id="rId12" Type="http://schemas.openxmlformats.org/officeDocument/2006/relationships/ctrlProp" Target="../ctrlProps/ctrlProp28.xml"/><Relationship Id="rId2" Type="http://schemas.openxmlformats.org/officeDocument/2006/relationships/drawing" Target="../drawings/drawing5.xml"/><Relationship Id="rId1" Type="http://schemas.openxmlformats.org/officeDocument/2006/relationships/printerSettings" Target="../printerSettings/printerSettings6.bin"/><Relationship Id="rId6" Type="http://schemas.openxmlformats.org/officeDocument/2006/relationships/ctrlProp" Target="../ctrlProps/ctrlProp22.xml"/><Relationship Id="rId11" Type="http://schemas.openxmlformats.org/officeDocument/2006/relationships/ctrlProp" Target="../ctrlProps/ctrlProp27.xml"/><Relationship Id="rId5" Type="http://schemas.openxmlformats.org/officeDocument/2006/relationships/ctrlProp" Target="../ctrlProps/ctrlProp21.xml"/><Relationship Id="rId15" Type="http://schemas.openxmlformats.org/officeDocument/2006/relationships/ctrlProp" Target="../ctrlProps/ctrlProp31.xml"/><Relationship Id="rId10" Type="http://schemas.openxmlformats.org/officeDocument/2006/relationships/ctrlProp" Target="../ctrlProps/ctrlProp26.xml"/><Relationship Id="rId4" Type="http://schemas.openxmlformats.org/officeDocument/2006/relationships/ctrlProp" Target="../ctrlProps/ctrlProp20.xml"/><Relationship Id="rId9" Type="http://schemas.openxmlformats.org/officeDocument/2006/relationships/ctrlProp" Target="../ctrlProps/ctrlProp25.xml"/><Relationship Id="rId14" Type="http://schemas.openxmlformats.org/officeDocument/2006/relationships/ctrlProp" Target="../ctrlProps/ctrlProp30.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51"/>
  </sheetPr>
  <dimension ref="A1:C509"/>
  <sheetViews>
    <sheetView topLeftCell="A37" zoomScaleNormal="100" workbookViewId="0">
      <selection activeCell="B69" sqref="B69"/>
    </sheetView>
  </sheetViews>
  <sheetFormatPr defaultRowHeight="12.75"/>
  <cols>
    <col min="1" max="1" width="9.140625" style="10"/>
    <col min="2" max="2" width="81.42578125" style="10" customWidth="1"/>
    <col min="3" max="3" width="11.7109375" style="10" bestFit="1" customWidth="1"/>
    <col min="4" max="16384" width="9.140625" style="18"/>
  </cols>
  <sheetData>
    <row r="1" spans="1:2" ht="8.25" customHeight="1"/>
    <row r="2" spans="1:2" ht="66" customHeight="1">
      <c r="B2" s="47" t="s">
        <v>436</v>
      </c>
    </row>
    <row r="3" spans="1:2" ht="15.75">
      <c r="A3" s="19" t="s">
        <v>6</v>
      </c>
      <c r="B3" s="11"/>
    </row>
    <row r="4" spans="1:2" ht="63.75">
      <c r="B4" s="12" t="s">
        <v>373</v>
      </c>
    </row>
    <row r="5" spans="1:2" ht="25.5">
      <c r="B5" s="12" t="s">
        <v>7</v>
      </c>
    </row>
    <row r="6" spans="1:2">
      <c r="B6" s="12" t="s">
        <v>8</v>
      </c>
    </row>
    <row r="8" spans="1:2" ht="15.75">
      <c r="A8" s="19" t="s">
        <v>9</v>
      </c>
      <c r="B8" s="11"/>
    </row>
    <row r="9" spans="1:2">
      <c r="B9" s="12" t="s">
        <v>11</v>
      </c>
    </row>
    <row r="10" spans="1:2">
      <c r="B10" s="12" t="s">
        <v>10</v>
      </c>
    </row>
    <row r="11" spans="1:2">
      <c r="B11" s="12" t="s">
        <v>12</v>
      </c>
    </row>
    <row r="12" spans="1:2" ht="76.5">
      <c r="B12" s="12" t="s">
        <v>437</v>
      </c>
    </row>
    <row r="13" spans="1:2">
      <c r="B13" s="12" t="s">
        <v>13</v>
      </c>
    </row>
    <row r="14" spans="1:2">
      <c r="B14" s="12" t="s">
        <v>438</v>
      </c>
    </row>
    <row r="15" spans="1:2" ht="25.5">
      <c r="B15" s="12" t="s">
        <v>439</v>
      </c>
    </row>
    <row r="16" spans="1:2" ht="25.5">
      <c r="B16" s="12" t="s">
        <v>341</v>
      </c>
    </row>
    <row r="17" spans="1:2">
      <c r="B17" s="12"/>
    </row>
    <row r="18" spans="1:2">
      <c r="B18" s="12" t="s">
        <v>343</v>
      </c>
    </row>
    <row r="19" spans="1:2">
      <c r="B19" s="12" t="s">
        <v>342</v>
      </c>
    </row>
    <row r="20" spans="1:2">
      <c r="B20" s="12" t="s">
        <v>440</v>
      </c>
    </row>
    <row r="21" spans="1:2">
      <c r="B21" s="12"/>
    </row>
    <row r="22" spans="1:2" ht="15.75">
      <c r="A22" s="19" t="s">
        <v>14</v>
      </c>
      <c r="B22" s="11"/>
    </row>
    <row r="23" spans="1:2" ht="15">
      <c r="B23" s="20" t="s">
        <v>344</v>
      </c>
    </row>
    <row r="25" spans="1:2">
      <c r="B25" s="11" t="s">
        <v>371</v>
      </c>
    </row>
    <row r="26" spans="1:2">
      <c r="B26" s="11"/>
    </row>
    <row r="27" spans="1:2" ht="38.25">
      <c r="B27" s="14" t="s">
        <v>372</v>
      </c>
    </row>
    <row r="29" spans="1:2" ht="15">
      <c r="B29" s="20" t="s">
        <v>409</v>
      </c>
    </row>
    <row r="31" spans="1:2" ht="38.25">
      <c r="B31" s="14" t="s">
        <v>410</v>
      </c>
    </row>
    <row r="33" spans="2:3" ht="51">
      <c r="B33" s="13" t="s">
        <v>441</v>
      </c>
    </row>
    <row r="36" spans="2:3" ht="15">
      <c r="B36" s="21" t="s">
        <v>345</v>
      </c>
    </row>
    <row r="38" spans="2:3">
      <c r="B38" s="14" t="s">
        <v>395</v>
      </c>
      <c r="C38" s="51" t="s">
        <v>417</v>
      </c>
    </row>
    <row r="39" spans="2:3">
      <c r="C39" s="50"/>
    </row>
    <row r="40" spans="2:3" ht="25.5">
      <c r="B40" s="14" t="s">
        <v>346</v>
      </c>
      <c r="C40" s="51" t="s">
        <v>417</v>
      </c>
    </row>
    <row r="41" spans="2:3">
      <c r="B41" s="13"/>
      <c r="C41" s="50"/>
    </row>
    <row r="42" spans="2:3" ht="25.5">
      <c r="B42" s="14" t="s">
        <v>361</v>
      </c>
      <c r="C42" s="51" t="s">
        <v>417</v>
      </c>
    </row>
    <row r="43" spans="2:3">
      <c r="C43" s="50"/>
    </row>
    <row r="44" spans="2:3" ht="25.5">
      <c r="B44" s="14" t="s">
        <v>347</v>
      </c>
      <c r="C44" s="51" t="s">
        <v>417</v>
      </c>
    </row>
    <row r="45" spans="2:3">
      <c r="C45" s="50"/>
    </row>
    <row r="46" spans="2:3" ht="38.25">
      <c r="B46" s="14" t="s">
        <v>348</v>
      </c>
      <c r="C46" s="51" t="s">
        <v>417</v>
      </c>
    </row>
    <row r="47" spans="2:3">
      <c r="C47" s="50"/>
    </row>
    <row r="48" spans="2:3" ht="51">
      <c r="B48" s="14" t="s">
        <v>418</v>
      </c>
      <c r="C48" s="51" t="s">
        <v>417</v>
      </c>
    </row>
    <row r="49" spans="2:3">
      <c r="C49" s="50"/>
    </row>
    <row r="50" spans="2:3" ht="25.5">
      <c r="B50" s="14" t="s">
        <v>419</v>
      </c>
      <c r="C50" s="51" t="s">
        <v>417</v>
      </c>
    </row>
    <row r="51" spans="2:3">
      <c r="B51" s="10" t="s">
        <v>355</v>
      </c>
      <c r="C51" s="50"/>
    </row>
    <row r="52" spans="2:3">
      <c r="B52" s="10" t="s">
        <v>356</v>
      </c>
      <c r="C52" s="50"/>
    </row>
    <row r="53" spans="2:3">
      <c r="B53" s="10" t="s">
        <v>357</v>
      </c>
      <c r="C53" s="50"/>
    </row>
    <row r="54" spans="2:3">
      <c r="B54" s="10" t="s">
        <v>358</v>
      </c>
      <c r="C54" s="50"/>
    </row>
    <row r="55" spans="2:3">
      <c r="B55" s="10" t="s">
        <v>359</v>
      </c>
      <c r="C55" s="50"/>
    </row>
    <row r="56" spans="2:3">
      <c r="B56" s="10" t="s">
        <v>360</v>
      </c>
      <c r="C56" s="50"/>
    </row>
    <row r="57" spans="2:3">
      <c r="B57" s="16" t="s">
        <v>420</v>
      </c>
      <c r="C57" s="50"/>
    </row>
    <row r="58" spans="2:3">
      <c r="C58" s="50"/>
    </row>
    <row r="59" spans="2:3">
      <c r="B59" s="14" t="s">
        <v>423</v>
      </c>
      <c r="C59" s="51" t="s">
        <v>417</v>
      </c>
    </row>
    <row r="60" spans="2:3">
      <c r="C60" s="50"/>
    </row>
    <row r="61" spans="2:3" ht="25.5">
      <c r="B61" s="14" t="s">
        <v>363</v>
      </c>
      <c r="C61" s="51" t="s">
        <v>417</v>
      </c>
    </row>
    <row r="62" spans="2:3">
      <c r="C62" s="50"/>
    </row>
    <row r="63" spans="2:3" ht="25.5">
      <c r="B63" s="14" t="s">
        <v>442</v>
      </c>
      <c r="C63" s="51" t="s">
        <v>417</v>
      </c>
    </row>
    <row r="64" spans="2:3">
      <c r="C64" s="50"/>
    </row>
    <row r="65" spans="2:3">
      <c r="B65" s="14" t="s">
        <v>365</v>
      </c>
      <c r="C65" s="51" t="s">
        <v>417</v>
      </c>
    </row>
    <row r="66" spans="2:3">
      <c r="B66" s="17" t="s">
        <v>366</v>
      </c>
      <c r="C66" s="50"/>
    </row>
    <row r="67" spans="2:3">
      <c r="B67" s="16" t="s">
        <v>421</v>
      </c>
      <c r="C67" s="50"/>
    </row>
    <row r="68" spans="2:3">
      <c r="C68" s="50"/>
    </row>
    <row r="69" spans="2:3" ht="25.5">
      <c r="B69" s="14" t="s">
        <v>364</v>
      </c>
      <c r="C69" s="51" t="s">
        <v>417</v>
      </c>
    </row>
    <row r="70" spans="2:3">
      <c r="B70" s="16" t="s">
        <v>422</v>
      </c>
      <c r="C70" s="50"/>
    </row>
    <row r="71" spans="2:3">
      <c r="C71" s="50"/>
    </row>
    <row r="72" spans="2:3" ht="38.25">
      <c r="B72" s="14" t="s">
        <v>424</v>
      </c>
      <c r="C72" s="51" t="s">
        <v>417</v>
      </c>
    </row>
    <row r="73" spans="2:3">
      <c r="C73" s="50"/>
    </row>
    <row r="74" spans="2:3" ht="51">
      <c r="B74" s="14" t="s">
        <v>425</v>
      </c>
      <c r="C74" s="51" t="s">
        <v>417</v>
      </c>
    </row>
    <row r="75" spans="2:3">
      <c r="B75" s="15" t="s">
        <v>368</v>
      </c>
      <c r="C75" s="50"/>
    </row>
    <row r="76" spans="2:3">
      <c r="C76" s="50"/>
    </row>
    <row r="77" spans="2:3" ht="63.75">
      <c r="B77" s="14" t="s">
        <v>426</v>
      </c>
      <c r="C77" s="51" t="s">
        <v>417</v>
      </c>
    </row>
    <row r="78" spans="2:3">
      <c r="C78" s="50"/>
    </row>
    <row r="79" spans="2:3" ht="25.5">
      <c r="B79" s="14" t="s">
        <v>369</v>
      </c>
      <c r="C79" s="51" t="s">
        <v>417</v>
      </c>
    </row>
    <row r="80" spans="2:3">
      <c r="C80" s="50"/>
    </row>
    <row r="81" spans="1:3">
      <c r="B81" s="14" t="s">
        <v>370</v>
      </c>
      <c r="C81" s="51" t="s">
        <v>417</v>
      </c>
    </row>
    <row r="86" spans="1:3">
      <c r="A86" s="18"/>
      <c r="B86" s="18"/>
      <c r="C86" s="18"/>
    </row>
    <row r="87" spans="1:3">
      <c r="A87" s="18"/>
      <c r="B87" s="18"/>
      <c r="C87" s="18"/>
    </row>
    <row r="88" spans="1:3" ht="8.25" customHeight="1"/>
    <row r="89" spans="1:3" ht="66" customHeight="1">
      <c r="B89" s="47" t="s">
        <v>524</v>
      </c>
    </row>
    <row r="90" spans="1:3" ht="15.75">
      <c r="A90" s="19" t="s">
        <v>6</v>
      </c>
      <c r="B90" s="11"/>
    </row>
    <row r="91" spans="1:3" ht="76.5">
      <c r="B91" s="12" t="s">
        <v>525</v>
      </c>
    </row>
    <row r="92" spans="1:3" ht="38.25">
      <c r="B92" s="12" t="s">
        <v>526</v>
      </c>
    </row>
    <row r="93" spans="1:3">
      <c r="B93" s="12"/>
    </row>
    <row r="95" spans="1:3" ht="15.75">
      <c r="A95" s="19" t="s">
        <v>9</v>
      </c>
      <c r="B95" s="11"/>
    </row>
    <row r="96" spans="1:3">
      <c r="B96" s="12" t="s">
        <v>527</v>
      </c>
    </row>
    <row r="97" spans="1:2">
      <c r="B97" s="12"/>
    </row>
    <row r="98" spans="1:2">
      <c r="B98" s="12" t="s">
        <v>528</v>
      </c>
    </row>
    <row r="99" spans="1:2" ht="76.5">
      <c r="B99" s="12" t="s">
        <v>437</v>
      </c>
    </row>
    <row r="100" spans="1:2">
      <c r="B100" s="12" t="s">
        <v>13</v>
      </c>
    </row>
    <row r="101" spans="1:2" ht="38.25">
      <c r="B101" s="12" t="s">
        <v>530</v>
      </c>
    </row>
    <row r="102" spans="1:2" ht="25.5">
      <c r="B102" s="12" t="s">
        <v>341</v>
      </c>
    </row>
    <row r="103" spans="1:2" ht="25.5">
      <c r="B103" s="12" t="s">
        <v>529</v>
      </c>
    </row>
    <row r="104" spans="1:2">
      <c r="B104" s="12" t="s">
        <v>531</v>
      </c>
    </row>
    <row r="105" spans="1:2">
      <c r="B105" s="12"/>
    </row>
    <row r="106" spans="1:2">
      <c r="B106" s="12" t="s">
        <v>532</v>
      </c>
    </row>
    <row r="107" spans="1:2">
      <c r="B107" s="12"/>
    </row>
    <row r="108" spans="1:2">
      <c r="B108" s="12"/>
    </row>
    <row r="109" spans="1:2" ht="15.75">
      <c r="A109" s="19" t="s">
        <v>504</v>
      </c>
      <c r="B109" s="11"/>
    </row>
    <row r="110" spans="1:2" ht="15">
      <c r="B110" s="20" t="s">
        <v>344</v>
      </c>
    </row>
    <row r="112" spans="1:2">
      <c r="B112" s="11" t="s">
        <v>505</v>
      </c>
    </row>
    <row r="113" spans="2:3">
      <c r="B113" s="11"/>
    </row>
    <row r="114" spans="2:3" ht="38.25">
      <c r="B114" s="14" t="s">
        <v>372</v>
      </c>
    </row>
    <row r="116" spans="2:3" ht="15">
      <c r="B116" s="20" t="s">
        <v>409</v>
      </c>
    </row>
    <row r="118" spans="2:3" ht="38.25">
      <c r="B118" s="14" t="s">
        <v>506</v>
      </c>
    </row>
    <row r="120" spans="2:3" ht="51">
      <c r="B120" s="13" t="s">
        <v>441</v>
      </c>
    </row>
    <row r="123" spans="2:3" ht="15">
      <c r="B123" s="21" t="s">
        <v>507</v>
      </c>
    </row>
    <row r="125" spans="2:3">
      <c r="B125" s="14" t="s">
        <v>508</v>
      </c>
      <c r="C125" s="51" t="s">
        <v>417</v>
      </c>
    </row>
    <row r="126" spans="2:3">
      <c r="C126" s="50"/>
    </row>
    <row r="127" spans="2:3" ht="25.5">
      <c r="B127" s="14" t="s">
        <v>509</v>
      </c>
      <c r="C127" s="51" t="s">
        <v>417</v>
      </c>
    </row>
    <row r="128" spans="2:3">
      <c r="B128" s="13"/>
      <c r="C128" s="50"/>
    </row>
    <row r="129" spans="2:3" ht="25.5">
      <c r="B129" s="14" t="s">
        <v>510</v>
      </c>
      <c r="C129" s="51" t="s">
        <v>417</v>
      </c>
    </row>
    <row r="130" spans="2:3">
      <c r="C130" s="50"/>
    </row>
    <row r="131" spans="2:3" ht="25.5">
      <c r="B131" s="14" t="s">
        <v>511</v>
      </c>
      <c r="C131" s="51" t="s">
        <v>417</v>
      </c>
    </row>
    <row r="132" spans="2:3">
      <c r="C132" s="50"/>
    </row>
    <row r="133" spans="2:3" ht="38.25">
      <c r="B133" s="14" t="s">
        <v>512</v>
      </c>
      <c r="C133" s="51" t="s">
        <v>417</v>
      </c>
    </row>
    <row r="134" spans="2:3">
      <c r="C134" s="50"/>
    </row>
    <row r="135" spans="2:3" ht="51">
      <c r="B135" s="14" t="s">
        <v>534</v>
      </c>
      <c r="C135" s="51" t="s">
        <v>417</v>
      </c>
    </row>
    <row r="136" spans="2:3">
      <c r="C136" s="50"/>
    </row>
    <row r="137" spans="2:3" ht="25.5">
      <c r="B137" s="14" t="s">
        <v>419</v>
      </c>
      <c r="C137" s="51" t="s">
        <v>417</v>
      </c>
    </row>
    <row r="138" spans="2:3">
      <c r="B138" s="10" t="s">
        <v>355</v>
      </c>
      <c r="C138" s="50"/>
    </row>
    <row r="139" spans="2:3">
      <c r="B139" s="10" t="s">
        <v>356</v>
      </c>
      <c r="C139" s="50"/>
    </row>
    <row r="140" spans="2:3">
      <c r="B140" s="10" t="s">
        <v>357</v>
      </c>
      <c r="C140" s="50"/>
    </row>
    <row r="141" spans="2:3">
      <c r="B141" s="10" t="s">
        <v>358</v>
      </c>
      <c r="C141" s="50"/>
    </row>
    <row r="142" spans="2:3">
      <c r="B142" s="10" t="s">
        <v>359</v>
      </c>
      <c r="C142" s="50"/>
    </row>
    <row r="143" spans="2:3">
      <c r="B143" s="10" t="s">
        <v>360</v>
      </c>
      <c r="C143" s="50"/>
    </row>
    <row r="144" spans="2:3">
      <c r="B144" s="16" t="s">
        <v>420</v>
      </c>
      <c r="C144" s="50"/>
    </row>
    <row r="145" spans="2:3">
      <c r="C145" s="50"/>
    </row>
    <row r="146" spans="2:3">
      <c r="B146" s="14" t="s">
        <v>513</v>
      </c>
      <c r="C146" s="51" t="s">
        <v>417</v>
      </c>
    </row>
    <row r="147" spans="2:3">
      <c r="C147" s="50"/>
    </row>
    <row r="148" spans="2:3" ht="25.5">
      <c r="B148" s="14" t="s">
        <v>535</v>
      </c>
      <c r="C148" s="51" t="s">
        <v>417</v>
      </c>
    </row>
    <row r="149" spans="2:3">
      <c r="C149" s="50"/>
    </row>
    <row r="150" spans="2:3" ht="25.5">
      <c r="B150" s="14" t="s">
        <v>514</v>
      </c>
      <c r="C150" s="51" t="s">
        <v>417</v>
      </c>
    </row>
    <row r="151" spans="2:3">
      <c r="C151" s="50"/>
    </row>
    <row r="152" spans="2:3" ht="25.5">
      <c r="B152" s="14" t="s">
        <v>522</v>
      </c>
      <c r="C152" s="51" t="s">
        <v>417</v>
      </c>
    </row>
    <row r="153" spans="2:3">
      <c r="B153" s="16" t="s">
        <v>517</v>
      </c>
      <c r="C153" s="50"/>
    </row>
    <row r="154" spans="2:3">
      <c r="C154" s="50"/>
    </row>
    <row r="155" spans="2:3">
      <c r="B155" s="14" t="s">
        <v>523</v>
      </c>
      <c r="C155" s="51" t="s">
        <v>417</v>
      </c>
    </row>
    <row r="156" spans="2:3">
      <c r="B156" s="16" t="s">
        <v>517</v>
      </c>
      <c r="C156" s="50"/>
    </row>
    <row r="157" spans="2:3">
      <c r="C157" s="50"/>
    </row>
    <row r="158" spans="2:3" ht="25.5">
      <c r="B158" s="14" t="s">
        <v>533</v>
      </c>
      <c r="C158" s="51" t="s">
        <v>417</v>
      </c>
    </row>
    <row r="159" spans="2:3">
      <c r="B159" s="16" t="s">
        <v>517</v>
      </c>
      <c r="C159" s="50"/>
    </row>
    <row r="160" spans="2:3">
      <c r="C160" s="50"/>
    </row>
    <row r="161" spans="2:3">
      <c r="B161" s="14" t="s">
        <v>521</v>
      </c>
      <c r="C161" s="51" t="s">
        <v>417</v>
      </c>
    </row>
    <row r="162" spans="2:3">
      <c r="B162" s="17" t="s">
        <v>366</v>
      </c>
      <c r="C162" s="50"/>
    </row>
    <row r="163" spans="2:3">
      <c r="B163" s="16" t="s">
        <v>515</v>
      </c>
      <c r="C163" s="50"/>
    </row>
    <row r="164" spans="2:3">
      <c r="C164" s="50"/>
    </row>
    <row r="165" spans="2:3" ht="25.5">
      <c r="B165" s="14" t="s">
        <v>516</v>
      </c>
      <c r="C165" s="51" t="s">
        <v>417</v>
      </c>
    </row>
    <row r="166" spans="2:3">
      <c r="B166" s="16" t="s">
        <v>517</v>
      </c>
      <c r="C166" s="50"/>
    </row>
    <row r="167" spans="2:3">
      <c r="C167" s="50"/>
    </row>
    <row r="168" spans="2:3" ht="38.25">
      <c r="B168" s="14" t="s">
        <v>518</v>
      </c>
      <c r="C168" s="51" t="s">
        <v>417</v>
      </c>
    </row>
    <row r="169" spans="2:3">
      <c r="C169" s="50"/>
    </row>
    <row r="170" spans="2:3">
      <c r="C170" s="50"/>
    </row>
    <row r="171" spans="2:3" ht="63.75">
      <c r="B171" s="14" t="s">
        <v>519</v>
      </c>
      <c r="C171" s="51" t="s">
        <v>417</v>
      </c>
    </row>
    <row r="172" spans="2:3">
      <c r="C172" s="50"/>
    </row>
    <row r="173" spans="2:3" ht="25.5">
      <c r="B173" s="14" t="s">
        <v>520</v>
      </c>
      <c r="C173" s="51" t="s">
        <v>417</v>
      </c>
    </row>
    <row r="174" spans="2:3">
      <c r="C174" s="50"/>
    </row>
    <row r="175" spans="2:3">
      <c r="B175" s="14" t="s">
        <v>370</v>
      </c>
      <c r="C175" s="51" t="s">
        <v>417</v>
      </c>
    </row>
    <row r="180" spans="1:3">
      <c r="A180" s="18"/>
      <c r="B180" s="18"/>
      <c r="C180" s="18"/>
    </row>
    <row r="181" spans="1:3" ht="15.75">
      <c r="A181" s="19" t="s">
        <v>9</v>
      </c>
      <c r="B181" s="18"/>
      <c r="C181" s="18"/>
    </row>
    <row r="182" spans="1:3">
      <c r="A182" s="18"/>
      <c r="B182" s="18" t="s">
        <v>449</v>
      </c>
      <c r="C182" s="18"/>
    </row>
    <row r="183" spans="1:3">
      <c r="A183" s="18"/>
      <c r="B183" s="18"/>
      <c r="C183" s="18"/>
    </row>
    <row r="184" spans="1:3">
      <c r="A184" s="18"/>
      <c r="B184" s="18"/>
      <c r="C184" s="18"/>
    </row>
    <row r="185" spans="1:3">
      <c r="A185" s="18"/>
      <c r="B185" s="18"/>
      <c r="C185" s="18"/>
    </row>
    <row r="186" spans="1:3">
      <c r="A186" s="18"/>
      <c r="B186" s="18"/>
      <c r="C186" s="18"/>
    </row>
    <row r="187" spans="1:3">
      <c r="A187" s="18"/>
      <c r="B187" s="18"/>
      <c r="C187" s="18"/>
    </row>
    <row r="188" spans="1:3">
      <c r="A188" s="18"/>
      <c r="B188" s="18"/>
      <c r="C188" s="18"/>
    </row>
    <row r="189" spans="1:3">
      <c r="A189" s="18"/>
      <c r="B189" s="18"/>
      <c r="C189" s="18"/>
    </row>
    <row r="190" spans="1:3">
      <c r="A190" s="18"/>
      <c r="B190" s="18"/>
      <c r="C190" s="18"/>
    </row>
    <row r="191" spans="1:3">
      <c r="A191" s="18"/>
      <c r="B191" s="18"/>
      <c r="C191" s="18"/>
    </row>
    <row r="192" spans="1:3">
      <c r="A192" s="18"/>
      <c r="B192" s="18"/>
      <c r="C192" s="18"/>
    </row>
    <row r="193" spans="1:3">
      <c r="A193" s="18"/>
      <c r="B193" s="18"/>
      <c r="C193" s="18"/>
    </row>
    <row r="194" spans="1:3">
      <c r="A194" s="18"/>
      <c r="B194" s="18"/>
      <c r="C194" s="18"/>
    </row>
    <row r="195" spans="1:3">
      <c r="A195" s="18"/>
      <c r="B195" s="18"/>
      <c r="C195" s="18"/>
    </row>
    <row r="196" spans="1:3">
      <c r="A196" s="18"/>
      <c r="B196" s="18"/>
      <c r="C196" s="18"/>
    </row>
    <row r="197" spans="1:3">
      <c r="A197" s="18"/>
      <c r="B197" s="18"/>
      <c r="C197" s="18"/>
    </row>
    <row r="198" spans="1:3">
      <c r="A198" s="18"/>
      <c r="B198" s="18"/>
      <c r="C198" s="18"/>
    </row>
    <row r="199" spans="1:3">
      <c r="A199" s="18"/>
      <c r="B199" s="18"/>
      <c r="C199" s="18"/>
    </row>
    <row r="200" spans="1:3">
      <c r="A200" s="18"/>
      <c r="B200" s="18"/>
      <c r="C200" s="18"/>
    </row>
    <row r="201" spans="1:3">
      <c r="A201" s="18"/>
      <c r="B201" s="18"/>
      <c r="C201" s="18"/>
    </row>
    <row r="202" spans="1:3">
      <c r="A202" s="18"/>
      <c r="B202" s="18"/>
      <c r="C202" s="18"/>
    </row>
    <row r="203" spans="1:3">
      <c r="A203" s="18"/>
      <c r="B203" s="18"/>
      <c r="C203" s="18"/>
    </row>
    <row r="204" spans="1:3">
      <c r="A204" s="18"/>
      <c r="B204" s="18"/>
      <c r="C204" s="18"/>
    </row>
    <row r="205" spans="1:3">
      <c r="A205" s="18"/>
      <c r="B205" s="18"/>
      <c r="C205" s="18"/>
    </row>
    <row r="206" spans="1:3">
      <c r="A206" s="18"/>
      <c r="B206" s="18"/>
      <c r="C206" s="18"/>
    </row>
    <row r="207" spans="1:3">
      <c r="A207" s="18"/>
      <c r="B207" s="18"/>
      <c r="C207" s="18"/>
    </row>
    <row r="208" spans="1:3">
      <c r="A208" s="18"/>
      <c r="B208" s="18"/>
      <c r="C208" s="18"/>
    </row>
    <row r="209" spans="1:3">
      <c r="A209" s="18"/>
      <c r="B209" s="18"/>
      <c r="C209" s="18"/>
    </row>
    <row r="210" spans="1:3">
      <c r="A210" s="18"/>
      <c r="B210" s="18"/>
      <c r="C210" s="18"/>
    </row>
    <row r="211" spans="1:3">
      <c r="A211" s="18"/>
      <c r="B211" s="18"/>
      <c r="C211" s="18"/>
    </row>
    <row r="212" spans="1:3">
      <c r="A212" s="18"/>
      <c r="B212" s="18"/>
      <c r="C212" s="18"/>
    </row>
    <row r="213" spans="1:3">
      <c r="A213" s="18"/>
      <c r="B213" s="18"/>
      <c r="C213" s="18"/>
    </row>
    <row r="214" spans="1:3">
      <c r="A214" s="18"/>
      <c r="B214" s="18"/>
      <c r="C214" s="18"/>
    </row>
    <row r="215" spans="1:3">
      <c r="A215" s="18"/>
      <c r="B215" s="18"/>
      <c r="C215" s="18"/>
    </row>
    <row r="216" spans="1:3">
      <c r="A216" s="18"/>
      <c r="B216" s="18"/>
      <c r="C216" s="18"/>
    </row>
    <row r="217" spans="1:3">
      <c r="A217" s="18"/>
      <c r="B217" s="18"/>
      <c r="C217" s="18"/>
    </row>
    <row r="218" spans="1:3">
      <c r="A218" s="18"/>
      <c r="B218" s="18"/>
      <c r="C218" s="18"/>
    </row>
    <row r="219" spans="1:3">
      <c r="A219" s="18"/>
      <c r="B219" s="18"/>
      <c r="C219" s="18"/>
    </row>
    <row r="220" spans="1:3">
      <c r="A220" s="18"/>
      <c r="B220" s="18"/>
      <c r="C220" s="18"/>
    </row>
    <row r="221" spans="1:3">
      <c r="A221" s="18"/>
      <c r="B221" s="18"/>
      <c r="C221" s="18"/>
    </row>
    <row r="222" spans="1:3">
      <c r="A222" s="18"/>
      <c r="B222" s="18"/>
      <c r="C222" s="18"/>
    </row>
    <row r="223" spans="1:3">
      <c r="A223" s="18"/>
      <c r="B223" s="18"/>
      <c r="C223" s="18"/>
    </row>
    <row r="224" spans="1:3">
      <c r="A224" s="18"/>
      <c r="B224" s="18"/>
      <c r="C224" s="18"/>
    </row>
    <row r="225" spans="1:3">
      <c r="A225" s="18"/>
      <c r="B225" s="18"/>
      <c r="C225" s="18"/>
    </row>
    <row r="226" spans="1:3">
      <c r="A226" s="18"/>
      <c r="B226" s="18"/>
      <c r="C226" s="18"/>
    </row>
    <row r="227" spans="1:3">
      <c r="A227" s="18"/>
      <c r="B227" s="18"/>
      <c r="C227" s="18"/>
    </row>
    <row r="228" spans="1:3">
      <c r="A228" s="18"/>
      <c r="B228" s="18"/>
      <c r="C228" s="18"/>
    </row>
    <row r="229" spans="1:3">
      <c r="A229" s="18"/>
      <c r="B229" s="18"/>
      <c r="C229" s="18"/>
    </row>
    <row r="230" spans="1:3">
      <c r="A230" s="18"/>
      <c r="B230" s="18"/>
      <c r="C230" s="18"/>
    </row>
    <row r="231" spans="1:3">
      <c r="A231" s="18"/>
      <c r="B231" s="18"/>
      <c r="C231" s="18"/>
    </row>
    <row r="232" spans="1:3">
      <c r="A232" s="18"/>
      <c r="B232" s="18"/>
      <c r="C232" s="18"/>
    </row>
    <row r="233" spans="1:3">
      <c r="A233" s="18"/>
      <c r="B233" s="18"/>
      <c r="C233" s="18"/>
    </row>
    <row r="234" spans="1:3">
      <c r="A234" s="18"/>
      <c r="B234" s="18"/>
      <c r="C234" s="18"/>
    </row>
    <row r="235" spans="1:3">
      <c r="A235" s="18"/>
      <c r="B235" s="18"/>
      <c r="C235" s="18"/>
    </row>
    <row r="236" spans="1:3">
      <c r="A236" s="18"/>
      <c r="B236" s="18"/>
      <c r="C236" s="18"/>
    </row>
    <row r="237" spans="1:3">
      <c r="A237" s="18"/>
      <c r="B237" s="18"/>
      <c r="C237" s="18"/>
    </row>
    <row r="238" spans="1:3">
      <c r="A238" s="18"/>
      <c r="B238" s="18"/>
      <c r="C238" s="18"/>
    </row>
    <row r="239" spans="1:3">
      <c r="A239" s="18"/>
      <c r="B239" s="18"/>
      <c r="C239" s="18"/>
    </row>
    <row r="240" spans="1:3">
      <c r="A240" s="18"/>
      <c r="B240" s="18"/>
      <c r="C240" s="18"/>
    </row>
    <row r="241" spans="1:3">
      <c r="A241" s="18"/>
      <c r="B241" s="18"/>
      <c r="C241" s="18"/>
    </row>
    <row r="242" spans="1:3">
      <c r="A242" s="18"/>
      <c r="B242" s="18"/>
      <c r="C242" s="18"/>
    </row>
    <row r="243" spans="1:3">
      <c r="A243" s="18"/>
      <c r="B243" s="18"/>
      <c r="C243" s="18"/>
    </row>
    <row r="244" spans="1:3">
      <c r="A244" s="18"/>
      <c r="B244" s="18"/>
      <c r="C244" s="18"/>
    </row>
    <row r="245" spans="1:3">
      <c r="A245" s="18"/>
      <c r="B245" s="18"/>
      <c r="C245" s="18"/>
    </row>
    <row r="246" spans="1:3">
      <c r="A246" s="18"/>
      <c r="B246" s="18"/>
      <c r="C246" s="18"/>
    </row>
    <row r="247" spans="1:3">
      <c r="A247" s="18"/>
      <c r="B247" s="18"/>
      <c r="C247" s="18"/>
    </row>
    <row r="248" spans="1:3">
      <c r="A248" s="18"/>
      <c r="B248" s="18"/>
      <c r="C248" s="18"/>
    </row>
    <row r="249" spans="1:3">
      <c r="A249" s="18"/>
      <c r="B249" s="18"/>
      <c r="C249" s="18"/>
    </row>
    <row r="250" spans="1:3">
      <c r="A250" s="18"/>
      <c r="B250" s="18"/>
      <c r="C250" s="18"/>
    </row>
    <row r="251" spans="1:3">
      <c r="A251" s="18"/>
      <c r="B251" s="18"/>
      <c r="C251" s="18"/>
    </row>
    <row r="252" spans="1:3">
      <c r="A252" s="18"/>
      <c r="B252" s="18"/>
      <c r="C252" s="18"/>
    </row>
    <row r="253" spans="1:3">
      <c r="A253" s="18"/>
      <c r="B253" s="18"/>
      <c r="C253" s="18"/>
    </row>
    <row r="254" spans="1:3">
      <c r="A254" s="18"/>
      <c r="B254" s="18"/>
      <c r="C254" s="18"/>
    </row>
    <row r="255" spans="1:3">
      <c r="A255" s="18"/>
      <c r="B255" s="18"/>
      <c r="C255" s="18"/>
    </row>
    <row r="256" spans="1:3">
      <c r="A256" s="18"/>
      <c r="B256" s="18"/>
      <c r="C256" s="18"/>
    </row>
    <row r="257" spans="1:3">
      <c r="A257" s="18"/>
      <c r="B257" s="18"/>
      <c r="C257" s="18"/>
    </row>
    <row r="258" spans="1:3">
      <c r="A258" s="18"/>
      <c r="B258" s="18"/>
      <c r="C258" s="18"/>
    </row>
    <row r="259" spans="1:3">
      <c r="A259" s="18"/>
      <c r="B259" s="18"/>
      <c r="C259" s="18"/>
    </row>
    <row r="260" spans="1:3">
      <c r="A260" s="18"/>
      <c r="B260" s="18"/>
      <c r="C260" s="18"/>
    </row>
    <row r="261" spans="1:3">
      <c r="A261" s="18"/>
      <c r="B261" s="18"/>
      <c r="C261" s="18"/>
    </row>
    <row r="262" spans="1:3">
      <c r="A262" s="18"/>
      <c r="B262" s="18"/>
      <c r="C262" s="18"/>
    </row>
    <row r="263" spans="1:3">
      <c r="A263" s="18"/>
      <c r="B263" s="18"/>
      <c r="C263" s="18"/>
    </row>
    <row r="264" spans="1:3">
      <c r="A264" s="18"/>
      <c r="B264" s="18"/>
      <c r="C264" s="18"/>
    </row>
    <row r="265" spans="1:3">
      <c r="A265" s="18"/>
      <c r="B265" s="18"/>
      <c r="C265" s="18"/>
    </row>
    <row r="266" spans="1:3">
      <c r="A266" s="18"/>
      <c r="B266" s="18"/>
      <c r="C266" s="18"/>
    </row>
    <row r="267" spans="1:3">
      <c r="A267" s="18"/>
      <c r="B267" s="18"/>
      <c r="C267" s="18"/>
    </row>
    <row r="268" spans="1:3">
      <c r="A268" s="18"/>
      <c r="B268" s="18"/>
      <c r="C268" s="18"/>
    </row>
    <row r="269" spans="1:3">
      <c r="A269" s="18"/>
      <c r="B269" s="18"/>
      <c r="C269" s="18"/>
    </row>
    <row r="270" spans="1:3">
      <c r="A270" s="18"/>
      <c r="B270" s="18"/>
      <c r="C270" s="18"/>
    </row>
    <row r="271" spans="1:3">
      <c r="A271" s="18"/>
      <c r="B271" s="18"/>
      <c r="C271" s="18"/>
    </row>
    <row r="272" spans="1:3">
      <c r="A272" s="18"/>
      <c r="B272" s="18"/>
      <c r="C272" s="18"/>
    </row>
    <row r="273" spans="1:3">
      <c r="A273" s="18"/>
      <c r="B273" s="18"/>
      <c r="C273" s="18"/>
    </row>
    <row r="274" spans="1:3">
      <c r="A274" s="18"/>
      <c r="B274" s="18"/>
      <c r="C274" s="18"/>
    </row>
    <row r="275" spans="1:3">
      <c r="A275" s="18"/>
      <c r="B275" s="18"/>
      <c r="C275" s="18"/>
    </row>
    <row r="276" spans="1:3">
      <c r="A276" s="18"/>
      <c r="B276" s="18"/>
      <c r="C276" s="18"/>
    </row>
    <row r="277" spans="1:3">
      <c r="A277" s="18"/>
      <c r="B277" s="18"/>
      <c r="C277" s="18"/>
    </row>
    <row r="278" spans="1:3">
      <c r="A278" s="18"/>
      <c r="B278" s="18"/>
      <c r="C278" s="18"/>
    </row>
    <row r="279" spans="1:3">
      <c r="A279" s="18"/>
      <c r="B279" s="18"/>
      <c r="C279" s="18"/>
    </row>
    <row r="280" spans="1:3">
      <c r="A280" s="18"/>
      <c r="B280" s="18"/>
      <c r="C280" s="18"/>
    </row>
    <row r="281" spans="1:3">
      <c r="A281" s="18"/>
      <c r="B281" s="18"/>
      <c r="C281" s="18"/>
    </row>
    <row r="282" spans="1:3">
      <c r="A282" s="18"/>
      <c r="B282" s="18"/>
      <c r="C282" s="18"/>
    </row>
    <row r="283" spans="1:3">
      <c r="A283" s="18"/>
      <c r="B283" s="18"/>
      <c r="C283" s="18"/>
    </row>
    <row r="284" spans="1:3">
      <c r="A284" s="18"/>
      <c r="B284" s="18"/>
      <c r="C284" s="18"/>
    </row>
    <row r="285" spans="1:3">
      <c r="A285" s="18"/>
      <c r="B285" s="18"/>
      <c r="C285" s="18"/>
    </row>
    <row r="286" spans="1:3">
      <c r="A286" s="18"/>
      <c r="B286" s="18"/>
      <c r="C286" s="18"/>
    </row>
    <row r="287" spans="1:3">
      <c r="A287" s="18"/>
      <c r="B287" s="18"/>
      <c r="C287" s="18"/>
    </row>
    <row r="288" spans="1:3">
      <c r="A288" s="18"/>
      <c r="B288" s="18"/>
      <c r="C288" s="18"/>
    </row>
    <row r="289" spans="1:3">
      <c r="A289" s="18"/>
      <c r="B289" s="18"/>
      <c r="C289" s="18"/>
    </row>
    <row r="290" spans="1:3">
      <c r="A290" s="18"/>
      <c r="B290" s="18"/>
      <c r="C290" s="18"/>
    </row>
    <row r="291" spans="1:3">
      <c r="A291" s="18"/>
      <c r="B291" s="18"/>
      <c r="C291" s="18"/>
    </row>
    <row r="292" spans="1:3">
      <c r="A292" s="18"/>
      <c r="B292" s="18"/>
      <c r="C292" s="18"/>
    </row>
    <row r="293" spans="1:3">
      <c r="A293" s="18"/>
      <c r="B293" s="18"/>
      <c r="C293" s="18"/>
    </row>
    <row r="294" spans="1:3">
      <c r="A294" s="18"/>
      <c r="B294" s="18"/>
      <c r="C294" s="18"/>
    </row>
    <row r="295" spans="1:3">
      <c r="A295" s="18"/>
      <c r="B295" s="18"/>
      <c r="C295" s="18"/>
    </row>
    <row r="296" spans="1:3">
      <c r="A296" s="18"/>
      <c r="B296" s="18"/>
      <c r="C296" s="18"/>
    </row>
    <row r="297" spans="1:3">
      <c r="A297" s="18"/>
      <c r="B297" s="18"/>
      <c r="C297" s="18"/>
    </row>
    <row r="298" spans="1:3">
      <c r="A298" s="18"/>
      <c r="B298" s="18"/>
      <c r="C298" s="18"/>
    </row>
    <row r="299" spans="1:3">
      <c r="A299" s="18"/>
      <c r="B299" s="18"/>
      <c r="C299" s="18"/>
    </row>
    <row r="300" spans="1:3">
      <c r="A300" s="18"/>
      <c r="B300" s="18"/>
      <c r="C300" s="18"/>
    </row>
    <row r="301" spans="1:3">
      <c r="A301" s="18"/>
      <c r="B301" s="18"/>
      <c r="C301" s="18"/>
    </row>
    <row r="302" spans="1:3">
      <c r="A302" s="18"/>
      <c r="B302" s="18"/>
      <c r="C302" s="18"/>
    </row>
    <row r="303" spans="1:3">
      <c r="A303" s="18"/>
      <c r="B303" s="18"/>
      <c r="C303" s="18"/>
    </row>
    <row r="304" spans="1:3">
      <c r="A304" s="18"/>
      <c r="B304" s="18"/>
      <c r="C304" s="18"/>
    </row>
    <row r="305" spans="1:3">
      <c r="A305" s="18"/>
      <c r="B305" s="18"/>
      <c r="C305" s="18"/>
    </row>
    <row r="306" spans="1:3">
      <c r="A306" s="18"/>
      <c r="B306" s="18"/>
      <c r="C306" s="18"/>
    </row>
    <row r="307" spans="1:3">
      <c r="A307" s="18"/>
      <c r="B307" s="18"/>
      <c r="C307" s="18"/>
    </row>
    <row r="308" spans="1:3">
      <c r="A308" s="18"/>
      <c r="B308" s="18"/>
      <c r="C308" s="18"/>
    </row>
    <row r="309" spans="1:3">
      <c r="A309" s="18"/>
      <c r="B309" s="18"/>
      <c r="C309" s="18"/>
    </row>
    <row r="310" spans="1:3">
      <c r="A310" s="18"/>
      <c r="B310" s="18"/>
      <c r="C310" s="18"/>
    </row>
    <row r="311" spans="1:3">
      <c r="A311" s="18"/>
      <c r="B311" s="18"/>
      <c r="C311" s="18"/>
    </row>
    <row r="312" spans="1:3">
      <c r="A312" s="18"/>
      <c r="B312" s="18"/>
      <c r="C312" s="18"/>
    </row>
    <row r="313" spans="1:3">
      <c r="A313" s="18"/>
      <c r="B313" s="18"/>
      <c r="C313" s="18"/>
    </row>
    <row r="314" spans="1:3">
      <c r="A314" s="18"/>
      <c r="B314" s="18"/>
      <c r="C314" s="18"/>
    </row>
    <row r="315" spans="1:3">
      <c r="A315" s="18"/>
      <c r="B315" s="18"/>
      <c r="C315" s="18"/>
    </row>
    <row r="316" spans="1:3">
      <c r="A316" s="18"/>
      <c r="B316" s="18"/>
      <c r="C316" s="18"/>
    </row>
    <row r="317" spans="1:3">
      <c r="A317" s="18"/>
      <c r="B317" s="18"/>
      <c r="C317" s="18"/>
    </row>
    <row r="318" spans="1:3">
      <c r="A318" s="18"/>
      <c r="B318" s="18"/>
      <c r="C318" s="18"/>
    </row>
    <row r="319" spans="1:3">
      <c r="A319" s="18"/>
      <c r="B319" s="18"/>
      <c r="C319" s="18"/>
    </row>
    <row r="320" spans="1:3">
      <c r="A320" s="18"/>
      <c r="B320" s="18"/>
      <c r="C320" s="18"/>
    </row>
    <row r="321" spans="1:3">
      <c r="A321" s="18"/>
      <c r="B321" s="18"/>
      <c r="C321" s="18"/>
    </row>
    <row r="322" spans="1:3">
      <c r="A322" s="18"/>
      <c r="B322" s="18"/>
      <c r="C322" s="18"/>
    </row>
    <row r="323" spans="1:3">
      <c r="A323" s="18"/>
      <c r="B323" s="18"/>
      <c r="C323" s="18"/>
    </row>
    <row r="324" spans="1:3">
      <c r="A324" s="18"/>
      <c r="B324" s="18"/>
      <c r="C324" s="18"/>
    </row>
    <row r="325" spans="1:3">
      <c r="A325" s="18"/>
      <c r="B325" s="18"/>
      <c r="C325" s="18"/>
    </row>
    <row r="326" spans="1:3">
      <c r="A326" s="18"/>
      <c r="B326" s="18"/>
      <c r="C326" s="18"/>
    </row>
    <row r="327" spans="1:3">
      <c r="A327" s="18"/>
      <c r="B327" s="18"/>
      <c r="C327" s="18"/>
    </row>
    <row r="328" spans="1:3">
      <c r="A328" s="18"/>
      <c r="B328" s="18"/>
      <c r="C328" s="18"/>
    </row>
    <row r="329" spans="1:3">
      <c r="A329" s="18"/>
      <c r="B329" s="18"/>
      <c r="C329" s="18"/>
    </row>
    <row r="330" spans="1:3">
      <c r="A330" s="18"/>
      <c r="B330" s="18"/>
      <c r="C330" s="18"/>
    </row>
    <row r="331" spans="1:3">
      <c r="A331" s="18"/>
      <c r="B331" s="18"/>
      <c r="C331" s="18"/>
    </row>
    <row r="332" spans="1:3">
      <c r="A332" s="18"/>
      <c r="B332" s="18"/>
      <c r="C332" s="18"/>
    </row>
    <row r="333" spans="1:3">
      <c r="A333" s="18"/>
      <c r="B333" s="18"/>
      <c r="C333" s="18"/>
    </row>
    <row r="334" spans="1:3">
      <c r="A334" s="18"/>
      <c r="B334" s="18"/>
      <c r="C334" s="18"/>
    </row>
    <row r="335" spans="1:3">
      <c r="A335" s="18"/>
      <c r="B335" s="18"/>
      <c r="C335" s="18"/>
    </row>
    <row r="336" spans="1:3">
      <c r="A336" s="18"/>
      <c r="B336" s="18"/>
      <c r="C336" s="18"/>
    </row>
    <row r="337" spans="1:3">
      <c r="A337" s="18"/>
      <c r="B337" s="18"/>
      <c r="C337" s="18"/>
    </row>
    <row r="338" spans="1:3">
      <c r="A338" s="18"/>
      <c r="B338" s="18"/>
      <c r="C338" s="18"/>
    </row>
    <row r="339" spans="1:3">
      <c r="A339" s="18"/>
      <c r="B339" s="18"/>
      <c r="C339" s="18"/>
    </row>
    <row r="340" spans="1:3">
      <c r="A340" s="18"/>
      <c r="B340" s="18"/>
      <c r="C340" s="18"/>
    </row>
    <row r="341" spans="1:3">
      <c r="A341" s="18"/>
      <c r="B341" s="18"/>
      <c r="C341" s="18"/>
    </row>
    <row r="342" spans="1:3">
      <c r="A342" s="18"/>
      <c r="B342" s="18"/>
      <c r="C342" s="18"/>
    </row>
    <row r="343" spans="1:3">
      <c r="A343" s="18"/>
      <c r="B343" s="18"/>
      <c r="C343" s="18"/>
    </row>
    <row r="344" spans="1:3">
      <c r="A344" s="18"/>
      <c r="B344" s="18"/>
      <c r="C344" s="18"/>
    </row>
    <row r="345" spans="1:3">
      <c r="A345" s="18"/>
      <c r="B345" s="18"/>
      <c r="C345" s="18"/>
    </row>
    <row r="346" spans="1:3">
      <c r="A346" s="18"/>
      <c r="B346" s="18"/>
      <c r="C346" s="18"/>
    </row>
    <row r="347" spans="1:3">
      <c r="A347" s="18"/>
      <c r="B347" s="18"/>
      <c r="C347" s="18"/>
    </row>
    <row r="348" spans="1:3">
      <c r="A348" s="18"/>
      <c r="B348" s="18"/>
      <c r="C348" s="18"/>
    </row>
    <row r="349" spans="1:3">
      <c r="A349" s="18"/>
      <c r="B349" s="18"/>
      <c r="C349" s="18"/>
    </row>
    <row r="350" spans="1:3">
      <c r="A350" s="18"/>
      <c r="B350" s="18"/>
      <c r="C350" s="18"/>
    </row>
    <row r="351" spans="1:3">
      <c r="A351" s="18"/>
      <c r="B351" s="18"/>
      <c r="C351" s="18"/>
    </row>
    <row r="352" spans="1:3">
      <c r="A352" s="18"/>
      <c r="B352" s="18"/>
      <c r="C352" s="18"/>
    </row>
    <row r="353" spans="1:3">
      <c r="A353" s="18"/>
      <c r="B353" s="18"/>
      <c r="C353" s="18"/>
    </row>
    <row r="354" spans="1:3">
      <c r="A354" s="18"/>
      <c r="B354" s="18"/>
      <c r="C354" s="18"/>
    </row>
    <row r="355" spans="1:3">
      <c r="A355" s="18"/>
      <c r="B355" s="18"/>
      <c r="C355" s="18"/>
    </row>
    <row r="356" spans="1:3">
      <c r="A356" s="18"/>
      <c r="B356" s="18"/>
      <c r="C356" s="18"/>
    </row>
    <row r="357" spans="1:3">
      <c r="A357" s="18"/>
      <c r="B357" s="18"/>
      <c r="C357" s="18"/>
    </row>
    <row r="358" spans="1:3">
      <c r="A358" s="18"/>
      <c r="B358" s="18"/>
      <c r="C358" s="18"/>
    </row>
    <row r="359" spans="1:3">
      <c r="A359" s="18"/>
      <c r="B359" s="18"/>
      <c r="C359" s="18"/>
    </row>
    <row r="360" spans="1:3">
      <c r="A360" s="18"/>
      <c r="B360" s="18"/>
      <c r="C360" s="18"/>
    </row>
    <row r="361" spans="1:3">
      <c r="A361" s="18"/>
      <c r="B361" s="18"/>
      <c r="C361" s="18"/>
    </row>
    <row r="362" spans="1:3">
      <c r="A362" s="18"/>
      <c r="B362" s="18"/>
      <c r="C362" s="18"/>
    </row>
    <row r="363" spans="1:3">
      <c r="A363" s="18"/>
      <c r="B363" s="18"/>
      <c r="C363" s="18"/>
    </row>
    <row r="364" spans="1:3">
      <c r="A364" s="18"/>
      <c r="B364" s="18"/>
      <c r="C364" s="18"/>
    </row>
    <row r="365" spans="1:3">
      <c r="A365" s="18"/>
      <c r="B365" s="18"/>
      <c r="C365" s="18"/>
    </row>
    <row r="366" spans="1:3">
      <c r="A366" s="18"/>
      <c r="B366" s="18"/>
      <c r="C366" s="18"/>
    </row>
    <row r="367" spans="1:3">
      <c r="A367" s="18"/>
      <c r="B367" s="18"/>
      <c r="C367" s="18"/>
    </row>
    <row r="368" spans="1:3">
      <c r="A368" s="18"/>
      <c r="B368" s="18"/>
      <c r="C368" s="18"/>
    </row>
    <row r="369" spans="1:3">
      <c r="A369" s="18"/>
      <c r="B369" s="18"/>
      <c r="C369" s="18"/>
    </row>
    <row r="370" spans="1:3">
      <c r="A370" s="18"/>
      <c r="B370" s="18"/>
      <c r="C370" s="18"/>
    </row>
    <row r="371" spans="1:3">
      <c r="A371" s="18"/>
      <c r="B371" s="18"/>
      <c r="C371" s="18"/>
    </row>
    <row r="372" spans="1:3">
      <c r="A372" s="18"/>
      <c r="B372" s="18"/>
      <c r="C372" s="18"/>
    </row>
    <row r="373" spans="1:3">
      <c r="A373" s="18"/>
      <c r="B373" s="18"/>
      <c r="C373" s="18"/>
    </row>
    <row r="374" spans="1:3">
      <c r="A374" s="18"/>
      <c r="B374" s="18"/>
      <c r="C374" s="18"/>
    </row>
    <row r="375" spans="1:3">
      <c r="A375" s="18"/>
      <c r="B375" s="18"/>
      <c r="C375" s="18"/>
    </row>
    <row r="376" spans="1:3">
      <c r="A376" s="18"/>
      <c r="B376" s="18"/>
      <c r="C376" s="18"/>
    </row>
    <row r="377" spans="1:3">
      <c r="A377" s="18"/>
      <c r="B377" s="18"/>
      <c r="C377" s="18"/>
    </row>
    <row r="378" spans="1:3">
      <c r="A378" s="18"/>
      <c r="B378" s="18"/>
      <c r="C378" s="18"/>
    </row>
    <row r="379" spans="1:3">
      <c r="A379" s="18"/>
      <c r="B379" s="18"/>
      <c r="C379" s="18"/>
    </row>
    <row r="380" spans="1:3">
      <c r="A380" s="18"/>
      <c r="B380" s="18"/>
      <c r="C380" s="18"/>
    </row>
    <row r="381" spans="1:3">
      <c r="A381" s="18"/>
      <c r="B381" s="18"/>
      <c r="C381" s="18"/>
    </row>
    <row r="382" spans="1:3">
      <c r="A382" s="18"/>
      <c r="B382" s="18"/>
      <c r="C382" s="18"/>
    </row>
    <row r="383" spans="1:3">
      <c r="A383" s="18"/>
      <c r="B383" s="18"/>
      <c r="C383" s="18"/>
    </row>
    <row r="384" spans="1:3">
      <c r="A384" s="18"/>
      <c r="B384" s="18"/>
      <c r="C384" s="18"/>
    </row>
    <row r="385" spans="1:3">
      <c r="A385" s="18"/>
      <c r="B385" s="18"/>
      <c r="C385" s="18"/>
    </row>
    <row r="386" spans="1:3">
      <c r="A386" s="18"/>
      <c r="B386" s="18"/>
      <c r="C386" s="18"/>
    </row>
    <row r="387" spans="1:3">
      <c r="A387" s="18"/>
      <c r="B387" s="18"/>
      <c r="C387" s="18"/>
    </row>
    <row r="388" spans="1:3">
      <c r="A388" s="18"/>
      <c r="B388" s="18"/>
      <c r="C388" s="18"/>
    </row>
    <row r="389" spans="1:3">
      <c r="A389" s="18"/>
      <c r="B389" s="18"/>
      <c r="C389" s="18"/>
    </row>
    <row r="390" spans="1:3">
      <c r="A390" s="18"/>
      <c r="B390" s="18"/>
      <c r="C390" s="18"/>
    </row>
    <row r="391" spans="1:3">
      <c r="A391" s="18"/>
      <c r="B391" s="18"/>
      <c r="C391" s="18"/>
    </row>
    <row r="392" spans="1:3">
      <c r="A392" s="18"/>
      <c r="B392" s="18"/>
      <c r="C392" s="18"/>
    </row>
    <row r="393" spans="1:3">
      <c r="A393" s="18"/>
      <c r="B393" s="18"/>
      <c r="C393" s="18"/>
    </row>
    <row r="394" spans="1:3">
      <c r="A394" s="18"/>
      <c r="B394" s="18"/>
      <c r="C394" s="18"/>
    </row>
    <row r="395" spans="1:3">
      <c r="A395" s="18"/>
      <c r="B395" s="18"/>
      <c r="C395" s="18"/>
    </row>
    <row r="396" spans="1:3">
      <c r="A396" s="18"/>
      <c r="B396" s="18"/>
      <c r="C396" s="18"/>
    </row>
    <row r="397" spans="1:3">
      <c r="A397" s="18"/>
      <c r="B397" s="18"/>
      <c r="C397" s="18"/>
    </row>
    <row r="398" spans="1:3">
      <c r="A398" s="18"/>
      <c r="B398" s="18"/>
      <c r="C398" s="18"/>
    </row>
    <row r="399" spans="1:3">
      <c r="A399" s="18"/>
      <c r="B399" s="18"/>
      <c r="C399" s="18"/>
    </row>
    <row r="400" spans="1:3">
      <c r="A400" s="18"/>
      <c r="B400" s="18"/>
      <c r="C400" s="18"/>
    </row>
    <row r="401" spans="1:3">
      <c r="A401" s="18"/>
      <c r="B401" s="18"/>
      <c r="C401" s="18"/>
    </row>
    <row r="402" spans="1:3">
      <c r="A402" s="18"/>
      <c r="B402" s="18"/>
      <c r="C402" s="18"/>
    </row>
    <row r="403" spans="1:3">
      <c r="A403" s="18"/>
      <c r="B403" s="18"/>
      <c r="C403" s="18"/>
    </row>
    <row r="404" spans="1:3">
      <c r="A404" s="18"/>
      <c r="B404" s="18"/>
      <c r="C404" s="18"/>
    </row>
    <row r="405" spans="1:3">
      <c r="A405" s="18"/>
      <c r="B405" s="18"/>
      <c r="C405" s="18"/>
    </row>
    <row r="406" spans="1:3">
      <c r="A406" s="18"/>
      <c r="B406" s="18"/>
      <c r="C406" s="18"/>
    </row>
    <row r="407" spans="1:3">
      <c r="A407" s="18"/>
      <c r="B407" s="18"/>
      <c r="C407" s="18"/>
    </row>
    <row r="408" spans="1:3">
      <c r="A408" s="18"/>
      <c r="B408" s="18"/>
      <c r="C408" s="18"/>
    </row>
    <row r="409" spans="1:3">
      <c r="A409" s="18"/>
      <c r="B409" s="18"/>
      <c r="C409" s="18"/>
    </row>
    <row r="410" spans="1:3">
      <c r="A410" s="18"/>
      <c r="B410" s="18"/>
      <c r="C410" s="18"/>
    </row>
    <row r="411" spans="1:3">
      <c r="A411" s="18"/>
      <c r="B411" s="18"/>
      <c r="C411" s="18"/>
    </row>
    <row r="412" spans="1:3">
      <c r="A412" s="18"/>
      <c r="B412" s="18"/>
      <c r="C412" s="18"/>
    </row>
    <row r="413" spans="1:3">
      <c r="A413" s="18"/>
      <c r="B413" s="18"/>
      <c r="C413" s="18"/>
    </row>
    <row r="414" spans="1:3">
      <c r="A414" s="18"/>
      <c r="B414" s="18"/>
      <c r="C414" s="18"/>
    </row>
    <row r="415" spans="1:3">
      <c r="A415" s="18"/>
      <c r="B415" s="18"/>
      <c r="C415" s="18"/>
    </row>
    <row r="416" spans="1:3">
      <c r="A416" s="18"/>
      <c r="B416" s="18"/>
      <c r="C416" s="18"/>
    </row>
    <row r="417" spans="1:3">
      <c r="A417" s="18"/>
      <c r="B417" s="18"/>
      <c r="C417" s="18"/>
    </row>
    <row r="418" spans="1:3">
      <c r="A418" s="18"/>
      <c r="B418" s="18"/>
      <c r="C418" s="18"/>
    </row>
    <row r="419" spans="1:3">
      <c r="A419" s="18"/>
      <c r="B419" s="18"/>
      <c r="C419" s="18"/>
    </row>
    <row r="420" spans="1:3">
      <c r="A420" s="18"/>
      <c r="B420" s="18"/>
      <c r="C420" s="18"/>
    </row>
    <row r="421" spans="1:3">
      <c r="A421" s="18"/>
      <c r="B421" s="18"/>
      <c r="C421" s="18"/>
    </row>
    <row r="422" spans="1:3">
      <c r="A422" s="18"/>
      <c r="B422" s="18"/>
      <c r="C422" s="18"/>
    </row>
    <row r="423" spans="1:3">
      <c r="A423" s="18"/>
      <c r="B423" s="18"/>
      <c r="C423" s="18"/>
    </row>
    <row r="424" spans="1:3">
      <c r="A424" s="18"/>
      <c r="B424" s="18"/>
      <c r="C424" s="18"/>
    </row>
    <row r="425" spans="1:3">
      <c r="A425" s="18"/>
      <c r="B425" s="18"/>
      <c r="C425" s="18"/>
    </row>
    <row r="426" spans="1:3">
      <c r="A426" s="18"/>
      <c r="B426" s="18"/>
      <c r="C426" s="18"/>
    </row>
    <row r="427" spans="1:3">
      <c r="A427" s="18"/>
      <c r="B427" s="18"/>
      <c r="C427" s="18"/>
    </row>
    <row r="428" spans="1:3">
      <c r="A428" s="18"/>
      <c r="B428" s="18"/>
      <c r="C428" s="18"/>
    </row>
    <row r="429" spans="1:3">
      <c r="A429" s="18"/>
      <c r="B429" s="18"/>
      <c r="C429" s="18"/>
    </row>
    <row r="430" spans="1:3">
      <c r="A430" s="18"/>
      <c r="B430" s="18"/>
      <c r="C430" s="18"/>
    </row>
    <row r="431" spans="1:3">
      <c r="A431" s="18"/>
      <c r="B431" s="18"/>
      <c r="C431" s="18"/>
    </row>
    <row r="432" spans="1:3">
      <c r="A432" s="18"/>
      <c r="B432" s="18"/>
      <c r="C432" s="18"/>
    </row>
    <row r="433" spans="1:3">
      <c r="A433" s="18"/>
      <c r="B433" s="18"/>
      <c r="C433" s="18"/>
    </row>
    <row r="434" spans="1:3">
      <c r="A434" s="18"/>
      <c r="B434" s="18"/>
      <c r="C434" s="18"/>
    </row>
    <row r="435" spans="1:3">
      <c r="A435" s="18"/>
      <c r="B435" s="18"/>
      <c r="C435" s="18"/>
    </row>
    <row r="436" spans="1:3">
      <c r="A436" s="18"/>
      <c r="B436" s="18"/>
      <c r="C436" s="18"/>
    </row>
    <row r="437" spans="1:3">
      <c r="A437" s="18"/>
      <c r="B437" s="18"/>
      <c r="C437" s="18"/>
    </row>
    <row r="438" spans="1:3">
      <c r="A438" s="18"/>
      <c r="B438" s="18"/>
      <c r="C438" s="18"/>
    </row>
    <row r="439" spans="1:3">
      <c r="A439" s="18"/>
      <c r="B439" s="18"/>
      <c r="C439" s="18"/>
    </row>
    <row r="440" spans="1:3">
      <c r="A440" s="18"/>
      <c r="B440" s="18"/>
      <c r="C440" s="18"/>
    </row>
    <row r="441" spans="1:3">
      <c r="A441" s="18"/>
      <c r="B441" s="18"/>
      <c r="C441" s="18"/>
    </row>
    <row r="442" spans="1:3">
      <c r="A442" s="18"/>
      <c r="B442" s="18"/>
      <c r="C442" s="18"/>
    </row>
    <row r="443" spans="1:3">
      <c r="A443" s="18"/>
      <c r="B443" s="18"/>
      <c r="C443" s="18"/>
    </row>
    <row r="444" spans="1:3">
      <c r="A444" s="18"/>
      <c r="B444" s="18"/>
      <c r="C444" s="18"/>
    </row>
    <row r="445" spans="1:3">
      <c r="A445" s="18"/>
      <c r="B445" s="18"/>
      <c r="C445" s="18"/>
    </row>
    <row r="446" spans="1:3">
      <c r="A446" s="18"/>
      <c r="B446" s="18"/>
      <c r="C446" s="18"/>
    </row>
    <row r="447" spans="1:3">
      <c r="A447" s="18"/>
      <c r="B447" s="18"/>
      <c r="C447" s="18"/>
    </row>
    <row r="448" spans="1:3">
      <c r="A448" s="18"/>
      <c r="B448" s="18"/>
      <c r="C448" s="18"/>
    </row>
    <row r="449" spans="1:3">
      <c r="A449" s="18"/>
      <c r="B449" s="18"/>
      <c r="C449" s="18"/>
    </row>
    <row r="450" spans="1:3">
      <c r="A450" s="18"/>
      <c r="B450" s="18"/>
      <c r="C450" s="18"/>
    </row>
    <row r="451" spans="1:3">
      <c r="A451" s="18"/>
      <c r="B451" s="18"/>
      <c r="C451" s="18"/>
    </row>
    <row r="452" spans="1:3">
      <c r="A452" s="18"/>
      <c r="B452" s="18"/>
      <c r="C452" s="18"/>
    </row>
    <row r="453" spans="1:3">
      <c r="A453" s="18"/>
      <c r="B453" s="18"/>
      <c r="C453" s="18"/>
    </row>
    <row r="454" spans="1:3">
      <c r="A454" s="18"/>
      <c r="B454" s="18"/>
      <c r="C454" s="18"/>
    </row>
    <row r="455" spans="1:3">
      <c r="A455" s="18"/>
      <c r="B455" s="18"/>
      <c r="C455" s="18"/>
    </row>
    <row r="456" spans="1:3">
      <c r="A456" s="18"/>
      <c r="B456" s="18"/>
      <c r="C456" s="18"/>
    </row>
    <row r="457" spans="1:3">
      <c r="A457" s="18"/>
      <c r="B457" s="18"/>
      <c r="C457" s="18"/>
    </row>
    <row r="458" spans="1:3">
      <c r="A458" s="18"/>
      <c r="B458" s="18"/>
      <c r="C458" s="18"/>
    </row>
    <row r="459" spans="1:3">
      <c r="A459" s="18"/>
      <c r="B459" s="18"/>
      <c r="C459" s="18"/>
    </row>
    <row r="460" spans="1:3">
      <c r="A460" s="18"/>
      <c r="B460" s="18"/>
      <c r="C460" s="18"/>
    </row>
    <row r="461" spans="1:3">
      <c r="A461" s="18"/>
      <c r="B461" s="18"/>
      <c r="C461" s="18"/>
    </row>
    <row r="462" spans="1:3">
      <c r="A462" s="18"/>
      <c r="B462" s="18"/>
      <c r="C462" s="18"/>
    </row>
    <row r="463" spans="1:3">
      <c r="A463" s="18"/>
      <c r="B463" s="18"/>
      <c r="C463" s="18"/>
    </row>
    <row r="464" spans="1:3">
      <c r="A464" s="18"/>
      <c r="B464" s="18"/>
      <c r="C464" s="18"/>
    </row>
    <row r="465" spans="1:3">
      <c r="A465" s="18"/>
      <c r="B465" s="18"/>
      <c r="C465" s="18"/>
    </row>
    <row r="466" spans="1:3">
      <c r="A466" s="18"/>
      <c r="B466" s="18"/>
      <c r="C466" s="18"/>
    </row>
    <row r="467" spans="1:3">
      <c r="A467" s="18"/>
      <c r="B467" s="18"/>
      <c r="C467" s="18"/>
    </row>
    <row r="468" spans="1:3">
      <c r="A468" s="18"/>
      <c r="B468" s="18"/>
      <c r="C468" s="18"/>
    </row>
    <row r="469" spans="1:3">
      <c r="A469" s="18"/>
      <c r="B469" s="18"/>
      <c r="C469" s="18"/>
    </row>
    <row r="470" spans="1:3">
      <c r="A470" s="18"/>
      <c r="B470" s="18"/>
      <c r="C470" s="18"/>
    </row>
    <row r="471" spans="1:3">
      <c r="A471" s="18"/>
      <c r="B471" s="18"/>
      <c r="C471" s="18"/>
    </row>
    <row r="472" spans="1:3">
      <c r="A472" s="18"/>
      <c r="B472" s="18"/>
      <c r="C472" s="18"/>
    </row>
    <row r="473" spans="1:3">
      <c r="A473" s="18"/>
      <c r="B473" s="18"/>
      <c r="C473" s="18"/>
    </row>
    <row r="474" spans="1:3">
      <c r="A474" s="18"/>
      <c r="B474" s="18"/>
      <c r="C474" s="18"/>
    </row>
    <row r="475" spans="1:3">
      <c r="A475" s="18"/>
      <c r="B475" s="18"/>
      <c r="C475" s="18"/>
    </row>
    <row r="476" spans="1:3">
      <c r="A476" s="18"/>
      <c r="B476" s="18"/>
      <c r="C476" s="18"/>
    </row>
    <row r="477" spans="1:3">
      <c r="A477" s="18"/>
      <c r="B477" s="18"/>
      <c r="C477" s="18"/>
    </row>
    <row r="478" spans="1:3">
      <c r="A478" s="18"/>
      <c r="B478" s="18"/>
      <c r="C478" s="18"/>
    </row>
    <row r="479" spans="1:3">
      <c r="A479" s="18"/>
      <c r="B479" s="18"/>
      <c r="C479" s="18"/>
    </row>
    <row r="480" spans="1:3">
      <c r="A480" s="18"/>
      <c r="B480" s="18"/>
      <c r="C480" s="18"/>
    </row>
    <row r="481" spans="1:3">
      <c r="A481" s="18"/>
      <c r="B481" s="18"/>
      <c r="C481" s="18"/>
    </row>
    <row r="482" spans="1:3">
      <c r="A482" s="18"/>
      <c r="B482" s="18"/>
      <c r="C482" s="18"/>
    </row>
    <row r="483" spans="1:3">
      <c r="A483" s="18"/>
      <c r="B483" s="18"/>
      <c r="C483" s="18"/>
    </row>
    <row r="484" spans="1:3">
      <c r="A484" s="18"/>
      <c r="B484" s="18"/>
      <c r="C484" s="18"/>
    </row>
    <row r="485" spans="1:3">
      <c r="A485" s="18"/>
      <c r="B485" s="18"/>
      <c r="C485" s="18"/>
    </row>
    <row r="486" spans="1:3">
      <c r="A486" s="18"/>
      <c r="B486" s="18"/>
      <c r="C486" s="18"/>
    </row>
    <row r="487" spans="1:3">
      <c r="A487" s="18"/>
      <c r="B487" s="18"/>
      <c r="C487" s="18"/>
    </row>
    <row r="488" spans="1:3">
      <c r="A488" s="18"/>
      <c r="B488" s="18"/>
      <c r="C488" s="18"/>
    </row>
    <row r="489" spans="1:3">
      <c r="A489" s="18"/>
      <c r="B489" s="18"/>
      <c r="C489" s="18"/>
    </row>
    <row r="490" spans="1:3">
      <c r="A490" s="18"/>
      <c r="B490" s="18"/>
      <c r="C490" s="18"/>
    </row>
    <row r="491" spans="1:3">
      <c r="A491" s="18"/>
      <c r="B491" s="18"/>
      <c r="C491" s="18"/>
    </row>
    <row r="492" spans="1:3">
      <c r="A492" s="18"/>
      <c r="B492" s="18"/>
      <c r="C492" s="18"/>
    </row>
    <row r="493" spans="1:3">
      <c r="A493" s="18"/>
      <c r="B493" s="18"/>
      <c r="C493" s="18"/>
    </row>
    <row r="494" spans="1:3">
      <c r="A494" s="18"/>
      <c r="B494" s="18"/>
      <c r="C494" s="18"/>
    </row>
    <row r="495" spans="1:3">
      <c r="A495" s="18"/>
      <c r="B495" s="18"/>
      <c r="C495" s="18"/>
    </row>
    <row r="496" spans="1:3">
      <c r="A496" s="18"/>
      <c r="B496" s="18"/>
      <c r="C496" s="18"/>
    </row>
    <row r="497" spans="1:3">
      <c r="A497" s="18"/>
      <c r="B497" s="18"/>
      <c r="C497" s="18"/>
    </row>
    <row r="498" spans="1:3">
      <c r="A498" s="18"/>
      <c r="B498" s="18"/>
      <c r="C498" s="18"/>
    </row>
    <row r="499" spans="1:3">
      <c r="A499" s="18"/>
      <c r="B499" s="18"/>
      <c r="C499" s="18"/>
    </row>
    <row r="500" spans="1:3">
      <c r="A500" s="18"/>
      <c r="B500" s="18"/>
      <c r="C500" s="18"/>
    </row>
    <row r="501" spans="1:3">
      <c r="A501" s="18"/>
      <c r="B501" s="18"/>
      <c r="C501" s="18"/>
    </row>
    <row r="502" spans="1:3">
      <c r="A502" s="18"/>
      <c r="B502" s="18"/>
      <c r="C502" s="18"/>
    </row>
    <row r="503" spans="1:3">
      <c r="A503" s="18"/>
      <c r="B503" s="18"/>
      <c r="C503" s="18"/>
    </row>
    <row r="504" spans="1:3">
      <c r="A504" s="18"/>
      <c r="B504" s="18"/>
      <c r="C504" s="18"/>
    </row>
    <row r="505" spans="1:3">
      <c r="A505" s="18"/>
      <c r="B505" s="18"/>
      <c r="C505" s="18"/>
    </row>
    <row r="506" spans="1:3">
      <c r="A506" s="18"/>
      <c r="B506" s="18"/>
      <c r="C506" s="18"/>
    </row>
    <row r="507" spans="1:3">
      <c r="A507" s="18"/>
      <c r="B507" s="18"/>
      <c r="C507" s="18"/>
    </row>
    <row r="508" spans="1:3">
      <c r="A508" s="18"/>
      <c r="B508" s="18"/>
      <c r="C508" s="18"/>
    </row>
    <row r="509" spans="1:3">
      <c r="A509" s="18"/>
      <c r="B509" s="18"/>
      <c r="C509" s="18"/>
    </row>
  </sheetData>
  <phoneticPr fontId="2" type="noConversion"/>
  <hyperlinks>
    <hyperlink ref="B66" location="Subclasses!A1" display="A listing of all subclasses is available in the Subclasses tab."/>
    <hyperlink ref="B75" location="CashFlow!A1" display="Cash Flow tab"/>
    <hyperlink ref="C40" location="'Job Initiation Form'!A1" tooltip="Return to field in JI Form" display="return to field"/>
    <hyperlink ref="C38" location="'Job Initiation Form'!A1" tooltip="Return to field in JI Form" display="return to field"/>
    <hyperlink ref="C42" location="'Job Initiation Form'!A1" tooltip="Return to field in JI Form" display="return to field"/>
    <hyperlink ref="C44" location="'Job Initiation Form'!A1" tooltip="Return to field in JI Form" display="return to field"/>
    <hyperlink ref="C46" location="'Job Initiation Form'!A1" tooltip="Return to field in JI Form" display="return to field"/>
    <hyperlink ref="C48" location="'Job Initiation Form'!A1" tooltip="Return to field in JI Form" display="return to field"/>
    <hyperlink ref="C50" location="'Job Initiation Form'!A1" tooltip="Return to field in JI Form" display="return to field"/>
    <hyperlink ref="C59" location="'Job Initiation Form'!A1" tooltip="Return to field in JI Form" display="return to field"/>
    <hyperlink ref="C61" location="'Job Initiation Form'!A1" tooltip="Return to field in JI Form" display="return to field"/>
    <hyperlink ref="C63" location="'Job Initiation Form'!A1" tooltip="Return to field in JI Form" display="return to field"/>
    <hyperlink ref="C65" location="'Job Initiation Form'!A1" tooltip="Return to field in JI Form" display="return to field"/>
    <hyperlink ref="C69" location="'Job Initiation Form'!A1" tooltip="Return to field in JI Form" display="return to field"/>
    <hyperlink ref="C72" location="'Job Initiation Form'!A1" tooltip="Return to field in JI Form" display="return to field"/>
    <hyperlink ref="C74" location="'Job Initiation Form'!A1" tooltip="Return to field in JI Form" display="return to field"/>
    <hyperlink ref="C77" location="'Job Initiation Form'!A1" tooltip="Return to field in JI Form" display="return to field"/>
    <hyperlink ref="C79" location="'Job Initiation Form'!A1" tooltip="Return to field in JI Form" display="return to field"/>
    <hyperlink ref="C81" location="'Job Initiation Form'!A1" tooltip="Return to field in JI Form" display="return to field"/>
    <hyperlink ref="B162" location="Subclasses!A1" display="A listing of all subclasses is available in the Subclasses tab."/>
    <hyperlink ref="C127" location="'Job Completion Form'!A10" tooltip="Return to field in JI Form" display="return to field"/>
    <hyperlink ref="C125" location="'Job Completion Form'!A9" tooltip="Return to field in JI Form" display="return to field"/>
    <hyperlink ref="C129" location="'Job Completion Form'!A12" tooltip="Return to field in JI Form" display="return to field"/>
    <hyperlink ref="C131" location="'Job Completion Form'!A14" tooltip="Return to field in JI Form" display="return to field"/>
    <hyperlink ref="C133" location="'Job Completion Form'!D14" tooltip="Return to field in JI Form" display="return to field"/>
    <hyperlink ref="C135" location="'Job Completion Form'!A16" tooltip="Return to field in JI Form" display="return to field"/>
    <hyperlink ref="C137" location="'Job Completion Form'!A17" tooltip="Return to field in JI Form" display="return to field"/>
    <hyperlink ref="C146" location="'Job Completion Form'!E16" tooltip="Return to field in JI Form" display="return to field"/>
    <hyperlink ref="C148" location="'Job Completion Form'!A19" tooltip="Return to field in JI Form" display="return to field"/>
    <hyperlink ref="C150" location="'Job Completion Form'!E19" tooltip="Return to field in JI Form" display="return to field"/>
    <hyperlink ref="C161" location="'Job Completion Form'!B22" tooltip="Return to field in JI Form" display="return to field"/>
    <hyperlink ref="C165" location="'Job Completion Form'!E22" tooltip="Return to field in JI Form" display="return to field"/>
    <hyperlink ref="C168" location="'Job Completion Form'!B28" tooltip="Return to field in JI Form" display="return to field"/>
    <hyperlink ref="C171" location="'Job Completion Form'!D30" tooltip="Return to field in JI Form" display="return to field"/>
    <hyperlink ref="C173" location="'Job Completion Form'!D32" tooltip="Return to field in JI Form" display="return to field"/>
    <hyperlink ref="C175" location="'Job Completion Form'!B34" tooltip="Return to field in JI Form" display="return to field"/>
    <hyperlink ref="C152" location="'Job Completion Form'!A22" tooltip="Return to field in JI Form" display="return to field"/>
    <hyperlink ref="C155" location="'Job Completion Form'!C22" tooltip="Return to field in JI Form" display="return to field"/>
    <hyperlink ref="C158" location="'Job Completion Form'!D22" tooltip="Return to field in JI Form" display="return to field"/>
  </hyperlinks>
  <pageMargins left="0.75" right="0.75" top="1" bottom="1" header="0.5" footer="0.5"/>
  <pageSetup scale="87" orientation="portrait" r:id="rId1"/>
  <headerFooter alignWithMargins="0">
    <oddFooter>&amp;L&amp;8&amp;Z&amp;F&amp;R&amp;8&amp;Z&amp;F&amp;F</oddFooter>
  </headerFooter>
  <rowBreaks count="2" manualBreakCount="2">
    <brk id="21" max="16383" man="1"/>
    <brk id="35" max="1" man="1"/>
  </rowBreaks>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enableFormatConditionsCalculation="0">
    <tabColor indexed="50"/>
  </sheetPr>
  <dimension ref="A1:BQ602"/>
  <sheetViews>
    <sheetView workbookViewId="0">
      <selection activeCell="B19" sqref="B19"/>
    </sheetView>
  </sheetViews>
  <sheetFormatPr defaultRowHeight="12.75"/>
  <cols>
    <col min="1" max="1" width="24.140625" style="10" customWidth="1"/>
    <col min="2" max="2" width="19" style="10" customWidth="1"/>
    <col min="3" max="3" width="9.140625" style="10"/>
    <col min="4" max="4" width="22.42578125" style="10" customWidth="1"/>
    <col min="5" max="5" width="21.5703125" style="10" customWidth="1"/>
    <col min="6" max="6" width="13.28515625" style="10" customWidth="1"/>
    <col min="7" max="16384" width="9.140625" style="10"/>
  </cols>
  <sheetData>
    <row r="1" spans="1:69">
      <c r="A1" s="99"/>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row>
    <row r="2" spans="1:69" ht="15.75">
      <c r="D2" s="22"/>
      <c r="E2" s="23"/>
      <c r="F2" s="45"/>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row>
    <row r="3" spans="1:69">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row>
    <row r="4" spans="1:69" ht="15.75">
      <c r="D4" s="22"/>
      <c r="E4" s="23"/>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row>
    <row r="5" spans="1:69" ht="20.25">
      <c r="B5" s="114" t="s">
        <v>0</v>
      </c>
      <c r="C5" s="114"/>
      <c r="D5" s="114"/>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row>
    <row r="6" spans="1:69" ht="20.25">
      <c r="B6" s="115" t="s">
        <v>1</v>
      </c>
      <c r="C6" s="115"/>
      <c r="D6" s="115"/>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row>
    <row r="7" spans="1:69" ht="15">
      <c r="B7" s="116" t="s">
        <v>2</v>
      </c>
      <c r="C7" s="116"/>
      <c r="D7" s="116"/>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row>
    <row r="8" spans="1:69">
      <c r="A8" s="52" t="s">
        <v>448</v>
      </c>
      <c r="B8" s="117">
        <v>40040</v>
      </c>
      <c r="C8" s="117"/>
      <c r="D8" s="117"/>
      <c r="E8" s="23"/>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row>
    <row r="9" spans="1:69" ht="15">
      <c r="D9" s="24"/>
      <c r="F9" s="45"/>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row>
    <row r="10" spans="1:69" ht="12.75" customHeight="1">
      <c r="A10" s="42" t="s">
        <v>404</v>
      </c>
      <c r="B10" s="119" t="s">
        <v>630</v>
      </c>
      <c r="C10" s="119"/>
      <c r="D10" s="119"/>
      <c r="E10" s="119"/>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row>
    <row r="11" spans="1:69">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row>
    <row r="12" spans="1:69" ht="79.5" customHeight="1">
      <c r="A12" s="43" t="s">
        <v>3</v>
      </c>
      <c r="B12" s="118" t="s">
        <v>629</v>
      </c>
      <c r="C12" s="118"/>
      <c r="D12" s="118"/>
      <c r="E12" s="118"/>
      <c r="F12" s="46"/>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row>
    <row r="13" spans="1:69">
      <c r="B13" s="10" t="s">
        <v>626</v>
      </c>
      <c r="D13" s="41"/>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row>
    <row r="14" spans="1:69" ht="21" customHeight="1">
      <c r="A14" s="42" t="s">
        <v>375</v>
      </c>
      <c r="B14" s="10">
        <v>5</v>
      </c>
      <c r="D14" s="42" t="s">
        <v>4</v>
      </c>
      <c r="E14" s="101">
        <v>7</v>
      </c>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row>
    <row r="15" spans="1:69">
      <c r="D15" s="41" t="s">
        <v>374</v>
      </c>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row>
    <row r="16" spans="1:69" ht="19.5" customHeight="1">
      <c r="A16" s="42" t="s">
        <v>403</v>
      </c>
      <c r="D16" s="42" t="s">
        <v>5</v>
      </c>
      <c r="E16" s="100" t="s">
        <v>628</v>
      </c>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row>
    <row r="17" spans="1:69" ht="19.5" customHeight="1">
      <c r="A17" s="42" t="s">
        <v>362</v>
      </c>
      <c r="B17" s="100" t="s">
        <v>631</v>
      </c>
      <c r="D17" s="41"/>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row>
    <row r="18" spans="1:69">
      <c r="D18" s="41"/>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row>
    <row r="19" spans="1:69" ht="19.5" customHeight="1">
      <c r="A19" s="42" t="s">
        <v>376</v>
      </c>
      <c r="B19" s="102">
        <v>40056</v>
      </c>
      <c r="D19" s="42" t="s">
        <v>389</v>
      </c>
      <c r="E19" s="102">
        <v>40117</v>
      </c>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row>
    <row r="20" spans="1:69">
      <c r="D20" s="41"/>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row>
    <row r="21" spans="1:69" ht="19.5" customHeight="1">
      <c r="A21" s="42" t="s">
        <v>503</v>
      </c>
      <c r="D21" s="42" t="s">
        <v>367</v>
      </c>
      <c r="E21" s="28">
        <v>50000</v>
      </c>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row>
    <row r="22" spans="1:69" ht="19.5" customHeight="1">
      <c r="A22" s="25"/>
      <c r="D22" s="41"/>
      <c r="E22" s="2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row>
    <row r="23" spans="1:69" ht="19.5" customHeight="1">
      <c r="A23" s="25"/>
      <c r="D23" s="41"/>
      <c r="E23" s="2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row>
    <row r="24" spans="1:69" ht="19.5" customHeight="1">
      <c r="A24" s="25"/>
      <c r="E24" s="2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row>
    <row r="25" spans="1:69" ht="19.5" customHeight="1">
      <c r="A25" s="25"/>
      <c r="E25" s="2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row>
    <row r="26" spans="1:69" ht="16.5" thickBot="1">
      <c r="A26" s="25"/>
      <c r="D26" s="11" t="s">
        <v>390</v>
      </c>
      <c r="E26" s="29">
        <f>SUM(E21:E25)</f>
        <v>50000</v>
      </c>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row>
    <row r="27" spans="1:69" ht="13.5" thickTop="1">
      <c r="A27" s="42" t="s">
        <v>405</v>
      </c>
      <c r="B27" s="103">
        <v>50000</v>
      </c>
      <c r="D27" s="30" t="s">
        <v>391</v>
      </c>
      <c r="E27" s="104">
        <v>50000</v>
      </c>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row>
    <row r="28" spans="1:69" ht="13.5" thickBot="1">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row>
    <row r="29" spans="1:69" ht="19.5" customHeight="1" thickBot="1">
      <c r="A29" s="44" t="s">
        <v>406</v>
      </c>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row>
    <row r="30" spans="1:69" ht="31.5" customHeight="1">
      <c r="A30" s="110" t="s">
        <v>402</v>
      </c>
      <c r="B30" s="111"/>
      <c r="C30" s="112" t="s">
        <v>632</v>
      </c>
      <c r="D30" s="113"/>
      <c r="E30" s="113"/>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row>
    <row r="31" spans="1:69" ht="13.5" thickBot="1">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row>
    <row r="32" spans="1:69" ht="13.5" thickBot="1">
      <c r="A32" s="44" t="s">
        <v>407</v>
      </c>
      <c r="C32" s="112" t="s">
        <v>633</v>
      </c>
      <c r="D32" s="113"/>
      <c r="E32" s="113"/>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row>
    <row r="33" spans="1:69" ht="13.5" thickBot="1">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row>
    <row r="34" spans="1:69" ht="13.5" thickBot="1">
      <c r="A34" s="44" t="s">
        <v>408</v>
      </c>
      <c r="B34" s="100" t="s">
        <v>628</v>
      </c>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row>
    <row r="35" spans="1:69">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row>
    <row r="36" spans="1:69" ht="16.5">
      <c r="A36" s="109" t="s">
        <v>627</v>
      </c>
      <c r="B36" s="109"/>
      <c r="C36" s="109"/>
      <c r="D36" s="109"/>
      <c r="E36" s="109"/>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row>
    <row r="37" spans="1:69">
      <c r="A37" s="38" t="s">
        <v>401</v>
      </c>
      <c r="B37" s="39"/>
      <c r="C37" s="39"/>
      <c r="D37" s="38" t="s">
        <v>396</v>
      </c>
      <c r="E37" s="40"/>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row>
    <row r="38" spans="1:69" ht="19.5" customHeight="1">
      <c r="A38" s="33" t="s">
        <v>397</v>
      </c>
      <c r="B38" s="32"/>
      <c r="C38" s="32"/>
      <c r="D38" s="33" t="s">
        <v>400</v>
      </c>
      <c r="E38" s="34"/>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row>
    <row r="39" spans="1:69" ht="19.5" customHeight="1">
      <c r="A39" s="35" t="s">
        <v>398</v>
      </c>
      <c r="B39" s="36"/>
      <c r="C39" s="36"/>
      <c r="D39" s="35" t="s">
        <v>399</v>
      </c>
      <c r="E39" s="37"/>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row>
    <row r="40" spans="1:69">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row>
    <row r="41" spans="1:69">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row>
    <row r="42" spans="1:69">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row>
    <row r="43" spans="1:69">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row>
    <row r="44" spans="1:69">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row>
    <row r="45" spans="1:69">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row>
    <row r="46" spans="1:69">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row>
    <row r="47" spans="1:69">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row>
    <row r="48" spans="1:69">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row>
    <row r="49" spans="1:6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row>
    <row r="50" spans="1:69">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row>
    <row r="51" spans="1:69">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row>
    <row r="52" spans="1:69">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row>
    <row r="53" spans="1:69">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row>
    <row r="54" spans="1:69">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row>
    <row r="55" spans="1:69">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row>
    <row r="56" spans="1:69">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row>
    <row r="57" spans="1:69">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row>
    <row r="58" spans="1:69">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row>
    <row r="59" spans="1:6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row>
    <row r="60" spans="1:69">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row>
    <row r="61" spans="1:69">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row>
    <row r="62" spans="1:69">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row>
    <row r="63" spans="1:69">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row>
    <row r="64" spans="1:69">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row>
    <row r="65" spans="1:69">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row>
    <row r="66" spans="1:69">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row>
    <row r="67" spans="1:69">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row>
    <row r="68" spans="1:69">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row>
    <row r="69" spans="1: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row>
    <row r="70" spans="1:69">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row>
    <row r="71" spans="1:69">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row>
    <row r="72" spans="1:69">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row>
    <row r="73" spans="1:69">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row>
    <row r="74" spans="1:69">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row>
    <row r="75" spans="1:69">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row>
    <row r="76" spans="1:69">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row>
    <row r="77" spans="1:69">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row>
    <row r="78" spans="1:69">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row>
    <row r="79" spans="1:6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row>
    <row r="80" spans="1:69">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row>
    <row r="81" spans="1:69">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row>
    <row r="82" spans="1:69">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row>
    <row r="83" spans="1:69">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row>
    <row r="84" spans="1:69">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row>
    <row r="85" spans="1:69">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row>
    <row r="86" spans="1:69">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row>
    <row r="87" spans="1:69">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row>
    <row r="88" spans="1:69">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row>
    <row r="89" spans="1:6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row>
    <row r="90" spans="1:69">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row>
    <row r="91" spans="1:69">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row>
    <row r="92" spans="1:69">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row>
    <row r="93" spans="1:69">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row>
    <row r="94" spans="1:69">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row>
    <row r="95" spans="1:69">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row>
    <row r="96" spans="1:69">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row>
    <row r="97" spans="1:69">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row>
    <row r="98" spans="1:69">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row>
    <row r="99" spans="1:6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row>
    <row r="100" spans="1:69">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row>
    <row r="101" spans="1:69">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row>
    <row r="102" spans="1:69">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row>
    <row r="103" spans="1:69">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row>
    <row r="104" spans="1:69">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row>
    <row r="105" spans="1:69">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row>
    <row r="106" spans="1:69">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row>
    <row r="107" spans="1:69">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row>
    <row r="108" spans="1:69">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row>
    <row r="109" spans="1:6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row>
    <row r="110" spans="1:69">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row>
    <row r="111" spans="1:69">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row>
    <row r="112" spans="1:69">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row>
    <row r="113" spans="1:55">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row>
    <row r="114" spans="1:55">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row>
    <row r="115" spans="1:5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row>
    <row r="116" spans="1:55">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row>
    <row r="117" spans="1:55">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row>
    <row r="118" spans="1:55">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row>
    <row r="119" spans="1:55">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row>
    <row r="120" spans="1:55">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row>
    <row r="121" spans="1:55">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row>
    <row r="122" spans="1:55">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row>
    <row r="123" spans="1:55">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row>
    <row r="124" spans="1:55">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row>
    <row r="125" spans="1:5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row>
    <row r="126" spans="1:55">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row>
    <row r="127" spans="1:55">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row>
    <row r="128" spans="1:55">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row>
    <row r="129" spans="1:55">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row>
    <row r="130" spans="1:55">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row>
    <row r="131" spans="1:55">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row>
    <row r="132" spans="1:55">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row>
    <row r="133" spans="1:55">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row>
    <row r="134" spans="1:55">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row>
    <row r="135" spans="1:5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row>
    <row r="136" spans="1:55">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row>
    <row r="137" spans="1:55">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row>
    <row r="138" spans="1:55">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row>
    <row r="139" spans="1:55">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row>
    <row r="140" spans="1:55">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row>
    <row r="141" spans="1:55">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row>
    <row r="142" spans="1:55">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row>
    <row r="143" spans="1:55">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row>
    <row r="144" spans="1:55">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row>
    <row r="145" spans="1:5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row>
    <row r="146" spans="1:55">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row>
    <row r="147" spans="1:55">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row>
    <row r="148" spans="1:55">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row>
    <row r="149" spans="1:55">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row>
    <row r="150" spans="1:55">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row>
    <row r="151" spans="1:55">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row>
    <row r="152" spans="1:55">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row>
    <row r="153" spans="1:55">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row>
    <row r="154" spans="1:55">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row>
    <row r="155" spans="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row>
    <row r="156" spans="1:55">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row>
    <row r="157" spans="1:55">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row>
    <row r="158" spans="1:55">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row>
    <row r="159" spans="1:55">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row>
    <row r="160" spans="1:55">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row>
    <row r="161" spans="1:55">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row>
    <row r="162" spans="1:55">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row>
    <row r="163" spans="1:55">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row>
    <row r="164" spans="1:55">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row>
    <row r="165" spans="1:5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row>
    <row r="166" spans="1:55">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row>
    <row r="167" spans="1:55">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row>
    <row r="168" spans="1:55">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row>
    <row r="169" spans="1:55">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row>
    <row r="170" spans="1:55">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row>
    <row r="171" spans="1:55">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row>
    <row r="172" spans="1:55">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row>
    <row r="173" spans="1:55">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row>
    <row r="174" spans="1:55">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row>
    <row r="175" spans="1:5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row>
    <row r="176" spans="1:55">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row>
    <row r="177" spans="1:55">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row>
    <row r="178" spans="1:55">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row>
    <row r="179" spans="1:55">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row>
    <row r="180" spans="1:55">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row>
    <row r="181" spans="1:55">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row>
    <row r="182" spans="1:55">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row>
    <row r="183" spans="1:55">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row>
    <row r="184" spans="1:55">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row>
    <row r="185" spans="1:5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row>
    <row r="186" spans="1:55">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row>
    <row r="187" spans="1:55">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row>
    <row r="188" spans="1:55">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row>
    <row r="189" spans="1:55">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row>
    <row r="190" spans="1:55">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row>
    <row r="191" spans="1:55">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row>
    <row r="192" spans="1:55">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row>
    <row r="193" spans="1:55">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row>
    <row r="194" spans="1:55">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row>
    <row r="195" spans="1:5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row>
    <row r="196" spans="1:55">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row>
    <row r="197" spans="1:55">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row>
    <row r="198" spans="1:55">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row>
    <row r="199" spans="1:55">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row>
    <row r="200" spans="1:55">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row>
    <row r="201" spans="1:55">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row>
    <row r="202" spans="1:55">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row>
    <row r="203" spans="1:55">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row>
    <row r="204" spans="1:55">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row>
    <row r="205" spans="1:5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row>
    <row r="206" spans="1:55">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row>
    <row r="207" spans="1:55">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row>
    <row r="208" spans="1:55">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row>
    <row r="209" spans="1:55">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row>
    <row r="210" spans="1:55">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row>
    <row r="211" spans="1:55">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row>
    <row r="212" spans="1:55">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row>
    <row r="213" spans="1:55">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row>
    <row r="214" spans="1:55">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row>
    <row r="215" spans="1:5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row>
    <row r="216" spans="1:55">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row>
    <row r="217" spans="1:55">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row>
    <row r="218" spans="1:55">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row>
    <row r="219" spans="1:55">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row>
    <row r="220" spans="1:55">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row>
    <row r="221" spans="1:55">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row>
    <row r="222" spans="1:55">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row>
    <row r="223" spans="1:55">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row>
    <row r="224" spans="1:55">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row>
    <row r="225" spans="1:5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row>
    <row r="226" spans="1:55">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row>
    <row r="227" spans="1:55">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row>
    <row r="228" spans="1:55">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row>
    <row r="229" spans="1:55">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row>
    <row r="230" spans="1:55">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row>
    <row r="231" spans="1:55">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row>
    <row r="232" spans="1:55">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row>
    <row r="233" spans="1:55">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row>
    <row r="234" spans="1:55">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row>
    <row r="235" spans="1:5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row>
    <row r="236" spans="1:55">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row>
    <row r="237" spans="1:55">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row>
    <row r="238" spans="1:55">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row>
    <row r="239" spans="1:55">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row>
    <row r="240" spans="1:55">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row>
    <row r="241" spans="1:55">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row>
    <row r="242" spans="1:55">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row>
    <row r="243" spans="1:55">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row>
    <row r="244" spans="1:55">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row>
    <row r="245" spans="1:5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row>
    <row r="246" spans="1:55">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row>
    <row r="247" spans="1:55">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row>
    <row r="248" spans="1:55">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row>
    <row r="249" spans="1:55">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row>
    <row r="250" spans="1:55">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row>
    <row r="251" spans="1:55">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row>
    <row r="252" spans="1:55">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row>
    <row r="253" spans="1:55">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row>
    <row r="254" spans="1:55">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row>
    <row r="255" spans="1: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row>
    <row r="256" spans="1:55">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row>
    <row r="257" spans="1:55">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row>
    <row r="258" spans="1:55">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row>
    <row r="259" spans="1:55">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row>
    <row r="260" spans="1:55">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row>
    <row r="261" spans="1:55">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row>
    <row r="262" spans="1:55">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row>
    <row r="263" spans="1:55">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row>
    <row r="264" spans="1:55">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row>
    <row r="265" spans="1:5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row>
    <row r="266" spans="1:55">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row>
    <row r="267" spans="1:55">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row>
    <row r="268" spans="1:55">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row>
    <row r="269" spans="1:55">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row>
    <row r="270" spans="1:55">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row>
    <row r="271" spans="1:55">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row>
    <row r="272" spans="1:55">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row>
    <row r="273" spans="1:55">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row>
    <row r="274" spans="1:55">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row>
    <row r="275" spans="1:5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row>
    <row r="276" spans="1:55">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row>
    <row r="277" spans="1:55">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row>
    <row r="278" spans="1:55">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row>
    <row r="279" spans="1:55">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row>
    <row r="280" spans="1:55">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row>
    <row r="281" spans="1:55">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row>
    <row r="282" spans="1:55">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row>
    <row r="283" spans="1:55">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row>
    <row r="284" spans="1:55">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row>
    <row r="285" spans="1:5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row>
    <row r="286" spans="1:55">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row>
    <row r="287" spans="1:55">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row>
    <row r="288" spans="1:55">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row>
    <row r="289" spans="1:55">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row>
    <row r="290" spans="1:55">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row>
    <row r="291" spans="1:55">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row>
    <row r="292" spans="1:55">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row>
    <row r="293" spans="1:55">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row>
    <row r="294" spans="1:55">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row>
    <row r="295" spans="1:5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row>
    <row r="296" spans="1:55">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row>
    <row r="297" spans="1:55">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row>
    <row r="298" spans="1:55">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row>
    <row r="299" spans="1:55">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row>
    <row r="300" spans="1:55">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row>
    <row r="301" spans="1:55">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row>
    <row r="302" spans="1:55">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row>
    <row r="303" spans="1:55">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row>
    <row r="304" spans="1:55">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row>
    <row r="305" spans="1:5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row>
    <row r="306" spans="1:55">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row>
    <row r="307" spans="1:55">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row>
    <row r="308" spans="1:55">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row>
    <row r="309" spans="1:55">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row>
    <row r="310" spans="1:55">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row>
    <row r="311" spans="1:55">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row>
    <row r="312" spans="1:55">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row>
    <row r="313" spans="1:55">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row>
    <row r="314" spans="1:55">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row>
    <row r="315" spans="1:5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row>
    <row r="316" spans="1:55">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row>
    <row r="317" spans="1:55">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row>
    <row r="318" spans="1:55">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row>
    <row r="319" spans="1:55">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row>
    <row r="320" spans="1:55">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row>
    <row r="321" spans="1:55">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row>
    <row r="322" spans="1:55">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row>
    <row r="323" spans="1:55">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row>
    <row r="324" spans="1:55">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row>
    <row r="325" spans="1:5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row>
    <row r="326" spans="1:55">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row>
    <row r="327" spans="1:55">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row>
    <row r="328" spans="1:55">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row>
    <row r="329" spans="1:55">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row>
    <row r="330" spans="1:55">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row>
    <row r="331" spans="1:55">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row>
    <row r="332" spans="1:55">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row>
    <row r="333" spans="1:55">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row>
    <row r="334" spans="1:55">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row>
    <row r="335" spans="1:5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row>
    <row r="336" spans="1:55">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row>
    <row r="337" spans="1:55">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row>
    <row r="338" spans="1:55">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row>
    <row r="339" spans="1:55">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row>
    <row r="340" spans="1:55">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row>
    <row r="341" spans="1:55">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row>
    <row r="342" spans="1:55">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row>
    <row r="343" spans="1:55">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row>
    <row r="344" spans="1:55">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row>
    <row r="345" spans="1:5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row>
    <row r="346" spans="1:55">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row>
    <row r="347" spans="1:55">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row>
    <row r="348" spans="1:55">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row>
    <row r="349" spans="1:55">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row>
    <row r="350" spans="1:55">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row>
    <row r="351" spans="1:55">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row>
    <row r="352" spans="1:55">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row>
    <row r="353" spans="1:55">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row>
    <row r="354" spans="1:55">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row>
    <row r="355" spans="1: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row>
    <row r="356" spans="1:55">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row>
    <row r="357" spans="1:55">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row>
    <row r="358" spans="1:55">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row>
    <row r="359" spans="1:55">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row>
    <row r="360" spans="1:55">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row>
    <row r="361" spans="1:55">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row>
    <row r="362" spans="1:55">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row>
    <row r="363" spans="1:55">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row>
    <row r="364" spans="1:55">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row>
    <row r="365" spans="1:5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row>
    <row r="366" spans="1:55">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row>
    <row r="367" spans="1:55">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row>
    <row r="368" spans="1:55">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row>
    <row r="369" spans="1:55">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row>
    <row r="370" spans="1:55">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row>
    <row r="371" spans="1:55">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row>
    <row r="372" spans="1:55">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row>
    <row r="373" spans="1:55">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row>
    <row r="374" spans="1:55">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row>
    <row r="375" spans="1:5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row>
    <row r="376" spans="1:55">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row>
    <row r="377" spans="1:55">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row>
    <row r="378" spans="1:55">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row>
    <row r="379" spans="1:55">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row>
    <row r="380" spans="1:55">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row>
    <row r="381" spans="1:55">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row>
    <row r="382" spans="1:55">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row>
    <row r="383" spans="1:55">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row>
    <row r="384" spans="1:55">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row>
    <row r="385" spans="1:5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row>
    <row r="386" spans="1:55">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row>
    <row r="387" spans="1:55">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row>
    <row r="388" spans="1:55">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row>
    <row r="389" spans="1:55">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row>
    <row r="390" spans="1:55">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row>
    <row r="391" spans="1:55">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row>
    <row r="392" spans="1:55">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row>
    <row r="393" spans="1:55">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row>
    <row r="394" spans="1:55">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row>
    <row r="395" spans="1:5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row>
    <row r="396" spans="1:55">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row>
    <row r="397" spans="1:55">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row>
    <row r="398" spans="1:55">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row>
    <row r="399" spans="1:55">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row>
    <row r="400" spans="1:55">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row>
    <row r="401" spans="1:55">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row>
    <row r="402" spans="1:55">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row>
    <row r="403" spans="1:55">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row>
    <row r="404" spans="1:55">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row>
    <row r="405" spans="1:5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row>
    <row r="406" spans="1:55">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row>
    <row r="407" spans="1:55">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row>
    <row r="408" spans="1:55">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row>
    <row r="409" spans="1:55">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row>
    <row r="410" spans="1:55">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row>
    <row r="411" spans="1:55">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row>
    <row r="412" spans="1:55">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row>
    <row r="413" spans="1:55">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row>
    <row r="414" spans="1:55">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row>
    <row r="415" spans="1:5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row>
    <row r="416" spans="1:55">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row>
    <row r="417" spans="1:55">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row>
    <row r="418" spans="1:55">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row>
    <row r="419" spans="1:55">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row>
    <row r="420" spans="1:55">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row>
    <row r="421" spans="1:55">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row>
    <row r="422" spans="1:55">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row>
    <row r="423" spans="1:55">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row>
    <row r="424" spans="1:55">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row>
    <row r="425" spans="1:5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row>
    <row r="426" spans="1:55">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row>
    <row r="427" spans="1:55">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row>
    <row r="428" spans="1:55">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row>
    <row r="429" spans="1:55">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row>
    <row r="430" spans="1:55">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row>
    <row r="431" spans="1:55">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row>
    <row r="432" spans="1:55">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row>
    <row r="433" spans="1:55">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row>
    <row r="434" spans="1:55">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row>
    <row r="435" spans="1:5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row>
    <row r="436" spans="1:55">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row>
    <row r="437" spans="1:55">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row>
    <row r="438" spans="1:55">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row>
    <row r="439" spans="1:55">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row>
    <row r="440" spans="1:55">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row>
    <row r="441" spans="1:55">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row>
    <row r="442" spans="1:55">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row>
    <row r="443" spans="1:55">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row>
    <row r="444" spans="1:55">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row>
    <row r="445" spans="1:5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row>
    <row r="446" spans="1:55">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row>
    <row r="447" spans="1:55">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row>
    <row r="448" spans="1:55">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row>
    <row r="449" spans="1:55">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row>
    <row r="450" spans="1:55">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row>
    <row r="451" spans="1:55">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row>
    <row r="452" spans="1:55">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row>
    <row r="453" spans="1:55">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row>
    <row r="454" spans="1:55">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row>
    <row r="455" spans="1: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row>
    <row r="456" spans="1:55">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row>
    <row r="457" spans="1:55">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row>
    <row r="458" spans="1:55">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row>
    <row r="459" spans="1:55">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row>
    <row r="460" spans="1:55">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row>
    <row r="461" spans="1:55">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row>
    <row r="462" spans="1:55">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row>
    <row r="463" spans="1:55">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row>
    <row r="464" spans="1:55">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row>
    <row r="465" spans="1:5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row>
    <row r="466" spans="1:55">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row>
    <row r="467" spans="1:55">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row>
    <row r="468" spans="1:55">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row>
    <row r="469" spans="1:55">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row>
    <row r="470" spans="1:55">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row>
    <row r="471" spans="1:55">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row>
    <row r="472" spans="1:55">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row>
    <row r="473" spans="1:55">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row>
    <row r="474" spans="1:55">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row>
    <row r="475" spans="1:5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row>
    <row r="476" spans="1:55">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row>
    <row r="477" spans="1:55">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row>
    <row r="478" spans="1:55">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row>
    <row r="479" spans="1:55">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row>
    <row r="480" spans="1:55">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row>
    <row r="481" spans="1:55">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row>
    <row r="482" spans="1:55">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row>
    <row r="483" spans="1:55">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row>
    <row r="484" spans="1:55">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row>
    <row r="485" spans="1:5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row>
    <row r="486" spans="1:55">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row>
    <row r="487" spans="1:55">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row>
    <row r="488" spans="1:55">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row>
    <row r="489" spans="1:55">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row>
    <row r="490" spans="1:55">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row>
    <row r="491" spans="1:55">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row>
    <row r="492" spans="1:55">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row>
    <row r="493" spans="1:55">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row>
    <row r="494" spans="1:55">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row>
    <row r="495" spans="1:5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row>
    <row r="496" spans="1:55">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row>
    <row r="497" spans="1:55">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row>
    <row r="498" spans="1:55">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row>
    <row r="499" spans="1:55">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row>
    <row r="500" spans="1:55">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row>
    <row r="501" spans="1:55">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row>
    <row r="502" spans="1:55">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row>
    <row r="503" spans="1:55">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row>
    <row r="504" spans="1:55">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row>
    <row r="505" spans="1:5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row>
    <row r="506" spans="1:55">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row>
    <row r="507" spans="1:55">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row>
    <row r="508" spans="1:55">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row>
    <row r="509" spans="1:55">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row>
    <row r="510" spans="1:55">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row>
    <row r="511" spans="1:55">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row>
    <row r="512" spans="1:55">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row>
    <row r="513" spans="1:55">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row>
    <row r="514" spans="1:55">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row>
    <row r="515" spans="1:5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row>
    <row r="516" spans="1:55">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row>
    <row r="517" spans="1:55">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row>
    <row r="518" spans="1:55">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row>
    <row r="519" spans="1:55">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row>
    <row r="520" spans="1:55">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row>
    <row r="521" spans="1:55">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row>
    <row r="522" spans="1:55">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row>
    <row r="523" spans="1:55">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row>
    <row r="524" spans="1:55">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row>
    <row r="525" spans="1:5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row>
    <row r="526" spans="1:55">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row>
    <row r="527" spans="1:55">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row>
    <row r="528" spans="1:55">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row>
    <row r="529" spans="1:55">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row>
    <row r="530" spans="1:55">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row>
    <row r="531" spans="1:55">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row>
    <row r="532" spans="1:55">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row>
    <row r="533" spans="1:55">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row>
    <row r="534" spans="1:55">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row>
    <row r="535" spans="1:5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row>
    <row r="536" spans="1:55">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row>
    <row r="537" spans="1:55">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row>
    <row r="538" spans="1:55">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row>
    <row r="539" spans="1:55">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row>
    <row r="540" spans="1:55">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row>
    <row r="541" spans="1:55">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row>
    <row r="542" spans="1:55">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row>
    <row r="543" spans="1:55">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row>
    <row r="544" spans="1:55">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row>
    <row r="545" spans="1:5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row>
    <row r="546" spans="1:55">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row>
    <row r="547" spans="1:55">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row>
    <row r="548" spans="1:55">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row>
    <row r="549" spans="1:55">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row>
    <row r="550" spans="1:55">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row>
    <row r="551" spans="1:55">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row>
    <row r="552" spans="1:55">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row>
    <row r="553" spans="1:55">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row>
    <row r="554" spans="1:55">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row>
    <row r="555" spans="1: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row>
    <row r="556" spans="1:55">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row>
    <row r="557" spans="1:55">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row>
    <row r="558" spans="1:55">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row>
    <row r="559" spans="1:55">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row>
    <row r="560" spans="1:55">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row>
    <row r="561" spans="1:55">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row>
    <row r="562" spans="1:55">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row>
    <row r="563" spans="1:55">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row>
    <row r="564" spans="1:55">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row>
    <row r="565" spans="1:5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row>
    <row r="566" spans="1:55">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row>
    <row r="567" spans="1:55">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row>
    <row r="568" spans="1:55">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row>
    <row r="569" spans="1:55">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row>
    <row r="570" spans="1:55">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row>
    <row r="571" spans="1:55">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row>
    <row r="572" spans="1:55">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row>
    <row r="573" spans="1:55">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row>
    <row r="574" spans="1:55">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row>
    <row r="575" spans="1:5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row>
    <row r="576" spans="1:55">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row>
    <row r="577" spans="1:55">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row>
    <row r="578" spans="1:55">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row>
    <row r="579" spans="1:55">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row>
    <row r="580" spans="1:55">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row>
    <row r="581" spans="1:55">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row>
    <row r="582" spans="1:55">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row>
    <row r="583" spans="1:55">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row>
    <row r="584" spans="1:55">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row>
    <row r="585" spans="1:5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row>
    <row r="586" spans="1:55">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row>
    <row r="587" spans="1:55">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row>
    <row r="588" spans="1:55">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row>
    <row r="589" spans="1:55">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row>
    <row r="590" spans="1:55">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row>
    <row r="591" spans="1:55">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row>
    <row r="592" spans="1:55">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row>
    <row r="593" spans="1:55">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row>
    <row r="594" spans="1:55">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row>
    <row r="595" spans="1:5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row>
    <row r="596" spans="1:55">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row>
    <row r="597" spans="1:55">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row>
    <row r="598" spans="1:55">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row>
    <row r="599" spans="1:55">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row>
    <row r="600" spans="1:55">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row>
    <row r="601" spans="1:55">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row>
    <row r="602" spans="1:55">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row>
  </sheetData>
  <mergeCells count="10">
    <mergeCell ref="A36:E36"/>
    <mergeCell ref="A30:B30"/>
    <mergeCell ref="C30:E30"/>
    <mergeCell ref="C32:E32"/>
    <mergeCell ref="B5:D5"/>
    <mergeCell ref="B6:D6"/>
    <mergeCell ref="B7:D7"/>
    <mergeCell ref="B8:D8"/>
    <mergeCell ref="B12:E12"/>
    <mergeCell ref="B10:E10"/>
  </mergeCells>
  <phoneticPr fontId="2" type="noConversion"/>
  <conditionalFormatting sqref="B10:E10 B12:E12">
    <cfRule type="cellIs" dxfId="30" priority="10" stopIfTrue="1" operator="equal">
      <formula>$Z1</formula>
    </cfRule>
  </conditionalFormatting>
  <conditionalFormatting sqref="E16 B17 E21:E25 B27 C30:E30 C32:E32 B34">
    <cfRule type="cellIs" dxfId="29" priority="11" stopIfTrue="1" operator="equal">
      <formula>$Z$1</formula>
    </cfRule>
  </conditionalFormatting>
  <conditionalFormatting sqref="B19 E19">
    <cfRule type="cellIs" dxfId="28" priority="12" stopIfTrue="1" operator="greaterThan">
      <formula>43831</formula>
    </cfRule>
    <cfRule type="cellIs" dxfId="27" priority="13" stopIfTrue="1" operator="lessThan">
      <formula>39448</formula>
    </cfRule>
    <cfRule type="cellIs" dxfId="26" priority="14" stopIfTrue="1" operator="equal">
      <formula>39448</formula>
    </cfRule>
  </conditionalFormatting>
  <conditionalFormatting sqref="B8:D8">
    <cfRule type="cellIs" dxfId="25" priority="15" stopIfTrue="1" operator="equal">
      <formula>$Y$20999</formula>
    </cfRule>
  </conditionalFormatting>
  <conditionalFormatting sqref="B12:E12">
    <cfRule type="cellIs" dxfId="24" priority="9" stopIfTrue="1" operator="equal">
      <formula>$Z3</formula>
    </cfRule>
  </conditionalFormatting>
  <conditionalFormatting sqref="B10:E10">
    <cfRule type="cellIs" dxfId="23" priority="8" stopIfTrue="1" operator="equal">
      <formula>$Z1</formula>
    </cfRule>
  </conditionalFormatting>
  <conditionalFormatting sqref="B10:E10">
    <cfRule type="cellIs" dxfId="22" priority="7" stopIfTrue="1" operator="equal">
      <formula>$Z1</formula>
    </cfRule>
  </conditionalFormatting>
  <conditionalFormatting sqref="B17">
    <cfRule type="cellIs" dxfId="21" priority="6" stopIfTrue="1" operator="equal">
      <formula>$Z$1</formula>
    </cfRule>
  </conditionalFormatting>
  <conditionalFormatting sqref="B19 E19">
    <cfRule type="cellIs" dxfId="20" priority="3" stopIfTrue="1" operator="greaterThan">
      <formula>43831</formula>
    </cfRule>
    <cfRule type="cellIs" dxfId="19" priority="4" stopIfTrue="1" operator="lessThan">
      <formula>39448</formula>
    </cfRule>
    <cfRule type="cellIs" dxfId="18" priority="5" stopIfTrue="1" operator="equal">
      <formula>39448</formula>
    </cfRule>
  </conditionalFormatting>
  <conditionalFormatting sqref="C30:E30 C32:E32">
    <cfRule type="cellIs" dxfId="17" priority="2" stopIfTrue="1" operator="equal">
      <formula>$Z$1</formula>
    </cfRule>
  </conditionalFormatting>
  <conditionalFormatting sqref="B8:D8">
    <cfRule type="cellIs" dxfId="16" priority="1" stopIfTrue="1" operator="equal">
      <formula>$Y$20999</formula>
    </cfRule>
  </conditionalFormatting>
  <hyperlinks>
    <hyperlink ref="A17" location="Instructions!B50" tooltip="Based on the selection in the &quot;Requested By&quot; field, enter the cooresponding information" display="Requested by Description:"/>
    <hyperlink ref="A16" location="Instructions!B48" tooltip="Using the drop down menu, select the applicable option (1. Original Contract, 2. Contract Mod, 3. COR MOD, 4. Other MOD, 5. Corporate, 6. An Individual).  Only one selection is permitted per JI Form." display="Requested by:"/>
    <hyperlink ref="A14" location="Instructions!B44" tooltip="Using the drop down menu, select the applicable Division (Corporate, Fort Wainwright, Fort Richardson or Fort Greely).  Only one selection is permitted per JI Form." display="Division:"/>
    <hyperlink ref="D14" location="Instructions!B46" tooltip="Using the drop down menu, select the applicable Utility (Corporate, Natural Gas, Water, Waste Water, Electric Distribution, Central Heating Plant).  Only one selection is permitted per JI Form." display="Utility:"/>
    <hyperlink ref="D16" location="Instructions!B59" tooltip="Enter the name of the Project Manager for this job. " display="Project Manager:"/>
    <hyperlink ref="A10" location="Instructions!B40" tooltip=" This field will carry forward as the name or title of the job.  " display="Job Description (Short):"/>
    <hyperlink ref="A12" location="Instructions!B42" tooltip="Explain what the project is setting out to achieve.  Be as specific as you can.  Target: One paragraph." display="Job Description (Long):"/>
    <hyperlink ref="A19" location="Instructions!B61" tooltip="Enter the start date of the project.  This is the date that we will begin spending money (manpower, supplies, contracts, etc.)." display="Start Date:"/>
    <hyperlink ref="A21" location="Instructions!B65" tooltip="Enter one or more retirement units if known.  Data in this field should coorespond with those in the field titled, &quot;Subclass Cost Estimate&quot;." display="Subclasses:"/>
    <hyperlink ref="D21" location="Instructions!B69" tooltip="Enter the cost estimate of each of the retirement units if known.  The total of all subclass estimates should be the same as the full cost estimate for the Job." display="Subclass Cost Estimate"/>
    <hyperlink ref="A27" location="Instructions!B72" tooltip="Enter the cost estimate of the entire job.  The total of all subclass estimates should be the same as the full cost estimate for the Job.  Updates should be provided to Accounting as better information becomes available." display="Cost Estimate:"/>
    <hyperlink ref="A29" location="Instructions!B74" tooltip="Provide a current Cash Flow estimate within the CashFlow tab, or attach to the completed JI Form for approval.  Cash Flow should be broken out by year/quarter or year/month.  Updates should be provided to Accounting as better information becomes available" display="Cash Flow Estimate:"/>
    <hyperlink ref="A30:B30" location="Instructions!B77" tooltip="List the associated capital items that will be removed from service (demolished, retired, scrapped, sold, etc.) due to the completion of this job. Please include description, age, size, quantity, manufacturer, location, etc." display="Description of retirements:"/>
    <hyperlink ref="A32" location="Instructions!B79" tooltip="List any additional comments, pictures, maps, etc. for reference in the Job file." display="Additional comments:"/>
    <hyperlink ref="A34" location="Instructions!B81" tooltip="Enter your name " display="Your name:"/>
    <hyperlink ref="B5:D5" location="'JI Form'!A1" tooltip="This field will be completed by Accounting" display="Job #:____________"/>
    <hyperlink ref="D19" location="Instructions!B63" tooltip="Enter the expected end of construction date. " display="Est Completion Date:"/>
  </hyperlinks>
  <printOptions horizontalCentered="1"/>
  <pageMargins left="0.66" right="0.32" top="0.6" bottom="0.71" header="0.42" footer="0.39"/>
  <pageSetup orientation="portrait" r:id="rId1"/>
  <headerFooter alignWithMargins="0">
    <oddFooter>&amp;L&amp;8&amp;Z&amp;F&amp;R&amp;8&amp;D&amp;T</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2053" r:id="rId4" name="Drop Down 5">
              <controlPr defaultSize="0" autoLine="0" autoPict="0">
                <anchor moveWithCells="1">
                  <from>
                    <xdr:col>1</xdr:col>
                    <xdr:colOff>28575</xdr:colOff>
                    <xdr:row>13</xdr:row>
                    <xdr:rowOff>28575</xdr:rowOff>
                  </from>
                  <to>
                    <xdr:col>2</xdr:col>
                    <xdr:colOff>38100</xdr:colOff>
                    <xdr:row>13</xdr:row>
                    <xdr:rowOff>228600</xdr:rowOff>
                  </to>
                </anchor>
              </controlPr>
            </control>
          </mc:Choice>
        </mc:AlternateContent>
        <mc:AlternateContent xmlns:mc="http://schemas.openxmlformats.org/markup-compatibility/2006">
          <mc:Choice Requires="x14">
            <control shapeId="2055" r:id="rId5" name="Drop Down 7">
              <controlPr defaultSize="0" autoLine="0" autoPict="0">
                <anchor moveWithCells="1">
                  <from>
                    <xdr:col>1</xdr:col>
                    <xdr:colOff>28575</xdr:colOff>
                    <xdr:row>15</xdr:row>
                    <xdr:rowOff>28575</xdr:rowOff>
                  </from>
                  <to>
                    <xdr:col>2</xdr:col>
                    <xdr:colOff>38100</xdr:colOff>
                    <xdr:row>15</xdr:row>
                    <xdr:rowOff>228600</xdr:rowOff>
                  </to>
                </anchor>
              </controlPr>
            </control>
          </mc:Choice>
        </mc:AlternateContent>
        <mc:AlternateContent xmlns:mc="http://schemas.openxmlformats.org/markup-compatibility/2006">
          <mc:Choice Requires="x14">
            <control shapeId="2056" r:id="rId6" name="Drop Down 8">
              <controlPr defaultSize="0" autoLine="0" autoPict="0">
                <anchor moveWithCells="1">
                  <from>
                    <xdr:col>4</xdr:col>
                    <xdr:colOff>28575</xdr:colOff>
                    <xdr:row>13</xdr:row>
                    <xdr:rowOff>28575</xdr:rowOff>
                  </from>
                  <to>
                    <xdr:col>4</xdr:col>
                    <xdr:colOff>1304925</xdr:colOff>
                    <xdr:row>13</xdr:row>
                    <xdr:rowOff>228600</xdr:rowOff>
                  </to>
                </anchor>
              </controlPr>
            </control>
          </mc:Choice>
        </mc:AlternateContent>
        <mc:AlternateContent xmlns:mc="http://schemas.openxmlformats.org/markup-compatibility/2006">
          <mc:Choice Requires="x14">
            <control shapeId="2058" r:id="rId7" name="Drop Down 10">
              <controlPr defaultSize="0" autoLine="0" autoPict="0">
                <anchor moveWithCells="1">
                  <from>
                    <xdr:col>1</xdr:col>
                    <xdr:colOff>28575</xdr:colOff>
                    <xdr:row>20</xdr:row>
                    <xdr:rowOff>28575</xdr:rowOff>
                  </from>
                  <to>
                    <xdr:col>2</xdr:col>
                    <xdr:colOff>38100</xdr:colOff>
                    <xdr:row>20</xdr:row>
                    <xdr:rowOff>228600</xdr:rowOff>
                  </to>
                </anchor>
              </controlPr>
            </control>
          </mc:Choice>
        </mc:AlternateContent>
        <mc:AlternateContent xmlns:mc="http://schemas.openxmlformats.org/markup-compatibility/2006">
          <mc:Choice Requires="x14">
            <control shapeId="2060" r:id="rId8" name="Drop Down 12">
              <controlPr defaultSize="0" autoLine="0" autoPict="0">
                <anchor moveWithCells="1">
                  <from>
                    <xdr:col>1</xdr:col>
                    <xdr:colOff>28575</xdr:colOff>
                    <xdr:row>21</xdr:row>
                    <xdr:rowOff>28575</xdr:rowOff>
                  </from>
                  <to>
                    <xdr:col>2</xdr:col>
                    <xdr:colOff>38100</xdr:colOff>
                    <xdr:row>21</xdr:row>
                    <xdr:rowOff>228600</xdr:rowOff>
                  </to>
                </anchor>
              </controlPr>
            </control>
          </mc:Choice>
        </mc:AlternateContent>
        <mc:AlternateContent xmlns:mc="http://schemas.openxmlformats.org/markup-compatibility/2006">
          <mc:Choice Requires="x14">
            <control shapeId="2061" r:id="rId9" name="Drop Down 13">
              <controlPr defaultSize="0" autoLine="0" autoPict="0">
                <anchor moveWithCells="1">
                  <from>
                    <xdr:col>1</xdr:col>
                    <xdr:colOff>28575</xdr:colOff>
                    <xdr:row>22</xdr:row>
                    <xdr:rowOff>28575</xdr:rowOff>
                  </from>
                  <to>
                    <xdr:col>2</xdr:col>
                    <xdr:colOff>38100</xdr:colOff>
                    <xdr:row>22</xdr:row>
                    <xdr:rowOff>228600</xdr:rowOff>
                  </to>
                </anchor>
              </controlPr>
            </control>
          </mc:Choice>
        </mc:AlternateContent>
        <mc:AlternateContent xmlns:mc="http://schemas.openxmlformats.org/markup-compatibility/2006">
          <mc:Choice Requires="x14">
            <control shapeId="2062" r:id="rId10" name="Drop Down 14">
              <controlPr defaultSize="0" autoLine="0" autoPict="0">
                <anchor moveWithCells="1">
                  <from>
                    <xdr:col>1</xdr:col>
                    <xdr:colOff>28575</xdr:colOff>
                    <xdr:row>23</xdr:row>
                    <xdr:rowOff>28575</xdr:rowOff>
                  </from>
                  <to>
                    <xdr:col>2</xdr:col>
                    <xdr:colOff>38100</xdr:colOff>
                    <xdr:row>23</xdr:row>
                    <xdr:rowOff>228600</xdr:rowOff>
                  </to>
                </anchor>
              </controlPr>
            </control>
          </mc:Choice>
        </mc:AlternateContent>
        <mc:AlternateContent xmlns:mc="http://schemas.openxmlformats.org/markup-compatibility/2006">
          <mc:Choice Requires="x14">
            <control shapeId="2063" r:id="rId11" name="Drop Down 15">
              <controlPr defaultSize="0" autoLine="0" autoPict="0">
                <anchor moveWithCells="1">
                  <from>
                    <xdr:col>1</xdr:col>
                    <xdr:colOff>28575</xdr:colOff>
                    <xdr:row>24</xdr:row>
                    <xdr:rowOff>28575</xdr:rowOff>
                  </from>
                  <to>
                    <xdr:col>2</xdr:col>
                    <xdr:colOff>38100</xdr:colOff>
                    <xdr:row>24</xdr:row>
                    <xdr:rowOff>228600</xdr:rowOff>
                  </to>
                </anchor>
              </controlPr>
            </control>
          </mc:Choice>
        </mc:AlternateContent>
        <mc:AlternateContent xmlns:mc="http://schemas.openxmlformats.org/markup-compatibility/2006">
          <mc:Choice Requires="x14">
            <control shapeId="2064" r:id="rId12" name="Drop Down 16">
              <controlPr defaultSize="0" autoLine="0" autoPict="0">
                <anchor moveWithCells="1">
                  <from>
                    <xdr:col>1</xdr:col>
                    <xdr:colOff>28575</xdr:colOff>
                    <xdr:row>28</xdr:row>
                    <xdr:rowOff>28575</xdr:rowOff>
                  </from>
                  <to>
                    <xdr:col>2</xdr:col>
                    <xdr:colOff>38100</xdr:colOff>
                    <xdr:row>28</xdr:row>
                    <xdr:rowOff>228600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enableFormatConditionsCalculation="0">
    <tabColor indexed="50"/>
    <pageSetUpPr fitToPage="1"/>
  </sheetPr>
  <dimension ref="A1:N36"/>
  <sheetViews>
    <sheetView topLeftCell="A4" zoomScaleNormal="100" zoomScaleSheetLayoutView="100" workbookViewId="0">
      <selection activeCell="M31" sqref="M31"/>
    </sheetView>
  </sheetViews>
  <sheetFormatPr defaultRowHeight="12.75"/>
  <cols>
    <col min="1" max="1" width="17.85546875" bestFit="1" customWidth="1"/>
    <col min="2" max="6" width="11.7109375" customWidth="1"/>
    <col min="7" max="7" width="13.28515625" customWidth="1"/>
    <col min="8" max="11" width="11.7109375" customWidth="1"/>
    <col min="12" max="12" width="12.28515625" bestFit="1" customWidth="1"/>
    <col min="13" max="14" width="11.7109375" customWidth="1"/>
  </cols>
  <sheetData>
    <row r="1" spans="1:14" s="67" customFormat="1" ht="20.25">
      <c r="A1" s="120" t="s">
        <v>411</v>
      </c>
      <c r="B1" s="120"/>
      <c r="C1" s="66"/>
      <c r="D1" s="66"/>
      <c r="E1" s="66"/>
      <c r="F1" s="66"/>
      <c r="G1" s="66"/>
      <c r="H1" s="66"/>
    </row>
    <row r="2" spans="1:14" s="67" customFormat="1" ht="18" customHeight="1">
      <c r="A2" s="120" t="s">
        <v>428</v>
      </c>
      <c r="B2" s="120"/>
      <c r="C2" s="121" t="str">
        <f>LEFT('Job Initiation Form'!B10,50)</f>
        <v>New WDS Utility Service for FTW 336A- Aircraft Par</v>
      </c>
      <c r="D2" s="121"/>
      <c r="E2" s="121"/>
      <c r="F2" s="121"/>
      <c r="G2" s="121"/>
      <c r="H2" s="121"/>
      <c r="I2" s="121"/>
      <c r="J2" s="121"/>
      <c r="K2" s="121"/>
    </row>
    <row r="3" spans="1:14" s="67" customFormat="1" ht="20.25">
      <c r="A3" s="68" t="s">
        <v>413</v>
      </c>
      <c r="B3" s="69"/>
      <c r="C3" s="121">
        <f>'Job Initiation Form'!E38</f>
        <v>0</v>
      </c>
      <c r="D3" s="121"/>
      <c r="E3" s="121"/>
      <c r="F3" s="121"/>
      <c r="G3" s="121"/>
      <c r="H3" s="121"/>
      <c r="I3" s="121"/>
      <c r="J3" s="121"/>
      <c r="K3" s="121"/>
    </row>
    <row r="4" spans="1:14" s="64" customFormat="1" ht="18" customHeight="1">
      <c r="A4" s="63" t="s">
        <v>429</v>
      </c>
      <c r="B4" s="64" t="str">
        <f>VLOOKUP('Job Initiation Form'!B14,'form picklists'!O3:P7,2)</f>
        <v>Fort Wainwright</v>
      </c>
    </row>
    <row r="5" spans="1:14" s="64" customFormat="1" ht="18" customHeight="1">
      <c r="A5" s="63" t="s">
        <v>4</v>
      </c>
      <c r="B5" s="64" t="str">
        <f>VLOOKUP('Job Initiation Form'!E14,'form picklists'!Q3:R9,2)</f>
        <v>Water</v>
      </c>
    </row>
    <row r="6" spans="1:14" s="64" customFormat="1" ht="18" customHeight="1">
      <c r="A6" s="63" t="s">
        <v>430</v>
      </c>
    </row>
    <row r="7" spans="1:14" s="64" customFormat="1" ht="18" customHeight="1">
      <c r="A7" s="63" t="s">
        <v>434</v>
      </c>
      <c r="B7" s="65">
        <f>'Job Initiation Form'!B19</f>
        <v>40056</v>
      </c>
      <c r="C7" s="63"/>
    </row>
    <row r="8" spans="1:14" s="64" customFormat="1" ht="18" customHeight="1">
      <c r="A8" s="63" t="s">
        <v>435</v>
      </c>
      <c r="B8" s="64">
        <f>DAYS360('Job Initiation Form'!B19,'Job Initiation Form'!E19,FALSE)/30</f>
        <v>2</v>
      </c>
      <c r="C8" s="63"/>
      <c r="D8" s="63"/>
    </row>
    <row r="10" spans="1:14" s="67" customFormat="1" ht="13.5" thickBot="1">
      <c r="A10" s="70"/>
      <c r="B10" s="71">
        <f>YEAR(B7)</f>
        <v>2009</v>
      </c>
      <c r="C10" s="71" t="str">
        <f>IF(B12=12,$B$10+1," ")</f>
        <v xml:space="preserve"> </v>
      </c>
      <c r="D10" s="71" t="str">
        <f>IF(C12=12,$B$10+1," ")</f>
        <v xml:space="preserve"> </v>
      </c>
      <c r="E10" s="71" t="str">
        <f t="shared" ref="E10:M10" si="0">IF(D12=12,$B$10+1,IF(D12="Q4",A10+1," "))</f>
        <v xml:space="preserve"> </v>
      </c>
      <c r="F10" s="71" t="str">
        <f t="shared" si="0"/>
        <v xml:space="preserve"> </v>
      </c>
      <c r="G10" s="71">
        <f t="shared" si="0"/>
        <v>2010</v>
      </c>
      <c r="H10" s="71" t="str">
        <f t="shared" si="0"/>
        <v xml:space="preserve"> </v>
      </c>
      <c r="I10" s="71" t="str">
        <f t="shared" si="0"/>
        <v xml:space="preserve"> </v>
      </c>
      <c r="J10" s="71" t="str">
        <f t="shared" si="0"/>
        <v xml:space="preserve"> </v>
      </c>
      <c r="K10" s="71">
        <f t="shared" si="0"/>
        <v>2011</v>
      </c>
      <c r="L10" s="71" t="str">
        <f t="shared" si="0"/>
        <v xml:space="preserve"> </v>
      </c>
      <c r="M10" s="71" t="str">
        <f t="shared" si="0"/>
        <v xml:space="preserve"> </v>
      </c>
    </row>
    <row r="11" spans="1:14" s="67" customFormat="1" ht="15.75" customHeight="1" thickBot="1">
      <c r="A11" s="72"/>
      <c r="B11" s="73" t="str">
        <f>LOOKUP(B$12,{0,1,2,3,4,5,6,7,8,9,10,11,12,13,"Q1","Q2","Q3","Q4"},{" ","Q1"," "," ","Q2"," "," ","Q3"," "," ","Q4"," "," ","Q1","Q1","Q2","Q3","Q4"})</f>
        <v xml:space="preserve"> </v>
      </c>
      <c r="C11" s="74" t="str">
        <f>LOOKUP(C$12,{0,1,2,3,4,5,6,7,8,9,10,11,12,13,"Q1","Q2","Q3","Q4"},{" ","Q1"," "," ","Q2"," "," ","Q3"," "," ","Q4"," "," ","Q1","Q1","Q2","Q3","Q4"})</f>
        <v xml:space="preserve"> </v>
      </c>
      <c r="D11" s="74" t="str">
        <f>LOOKUP(D$12,{0,1,2,3,4,5,6,7,8,9,10,11,12,13,"Q1","Q2","Q3","Q4"},{" ","Q1"," "," ","Q2"," "," ","Q3"," "," ","Q4"," "," ","Q1","Q1","Q2","Q3","Q4"})</f>
        <v>Q4</v>
      </c>
      <c r="E11" s="73" t="str">
        <f>LOOKUP(E$12,{0,1,2,3,4,5,6,7,8,9,10,11,12,13,"Q1","Q2","Q3","Q4"},{" ","Q1"," "," ","Q2"," "," ","Q3"," "," ","Q4"," "," ","Q1","Q1","Q2","Q3","Q4"})</f>
        <v xml:space="preserve"> </v>
      </c>
      <c r="F11" s="74" t="str">
        <f>LOOKUP(F$12,{0,1,2,3,4,5,6,7,8,9,10,11,12,13,"Q1","Q2","Q3","Q4"},{" ","Q1"," "," ","Q2"," "," ","Q3"," "," ","Q4"," "," ","Q1","Q1","Q2","Q3","Q4"})</f>
        <v xml:space="preserve"> </v>
      </c>
      <c r="G11" s="93" t="str">
        <f>LOOKUP(G$12,{0,1,2,3,4,5,6,7,8,9,10,11,12,13,"Q1","Q2","Q3","Q4"},{" ","Q1"," "," ","Q2"," "," ","Q3"," "," ","Q4"," "," ","Q1","Q1","Q2","Q3","Q4"})</f>
        <v>Q1</v>
      </c>
      <c r="H11" s="73" t="str">
        <f>LOOKUP(H$12,{0,1,2,3,4,5,6,7,8,9,10,11,12,13,"Q1","Q2","Q3","Q4"},{" ","Q1"," "," ","Q2"," "," ","Q3"," "," ","Q4"," "," ","Q1","Q1","Q2","Q3","Q4"})</f>
        <v>Q2</v>
      </c>
      <c r="I11" s="74" t="str">
        <f>LOOKUP(I$12,{0,1,2,3,4,5,6,7,8,9,10,11,12,13,"Q1","Q2","Q3","Q4"},{" ","Q1"," "," ","Q2"," "," ","Q3"," "," ","Q4"," "," ","Q1","Q1","Q2","Q3","Q4"})</f>
        <v>Q3</v>
      </c>
      <c r="J11" s="93" t="str">
        <f>LOOKUP(J$12,{0,1,2,3,4,5,6,7,8,9,10,11,12,13,"Q1","Q2","Q3","Q4"},{" ","Q1"," "," ","Q2"," "," ","Q3"," "," ","Q4"," "," ","Q1","Q1","Q2","Q3","Q4"})</f>
        <v>Q4</v>
      </c>
      <c r="K11" s="73" t="str">
        <f>LOOKUP(K$12,{0,1,2,3,4,5,6,7,8,9,10,11,12,13,"Q1","Q2","Q3","Q4"},{" ","Q1"," "," ","Q2"," "," ","Q3"," "," ","Q4"," "," ","Q1","Q1","Q2","Q3","Q4"})</f>
        <v>Q1</v>
      </c>
      <c r="L11" s="74" t="str">
        <f>LOOKUP(L$12,{0,1,2,3,4,5,6,7,8,9,10,11,12,13,"Q1","Q2","Q3","Q4"},{" ","Q1"," "," ","Q2"," "," ","Q3"," "," ","Q4"," "," ","Q1","Q1","Q2","Q3","Q4"})</f>
        <v>Q2</v>
      </c>
      <c r="M11" s="93" t="str">
        <f>LOOKUP(M$12,{0,1,2,3,4,5,6,7,8,9,10,11,12,13,"Q1","Q2","Q3","Q4"},{" ","Q1"," "," ","Q2"," "," ","Q3"," "," ","Q4"," "," ","Q1","Q1","Q2","Q3","Q4"})</f>
        <v>Q3</v>
      </c>
      <c r="N11" s="75" t="s">
        <v>624</v>
      </c>
    </row>
    <row r="12" spans="1:14" s="67" customFormat="1">
      <c r="A12" s="76"/>
      <c r="B12" s="77">
        <f>MONTH(B7)</f>
        <v>8</v>
      </c>
      <c r="C12" s="77">
        <f>LOOKUP(B$12,{0,1,2,3,4,5,6,7,8,9,10,11,12,"Q1","Q2","Q3","Q4"},{"ERROR",2,3,4,5,6,7,8,9,10,11,12,"Q1","Q2","Q3","Q4","Q1"})</f>
        <v>9</v>
      </c>
      <c r="D12" s="77">
        <f>LOOKUP(C$12,{0,1,2,3,4,5,6,7,8,9,10,11,12,"Q1","Q2","Q3","Q4"},{"ERROR",2,3,4,5,6,7,8,9,10,11,12,"Q1","Q2","Q3","Q4","Q1"})</f>
        <v>10</v>
      </c>
      <c r="E12" s="87">
        <f>LOOKUP(D$12,{0,1,2,3,4,5,6,7,8,9,10,11,12,"Q1","Q2","Q3","Q4"},{"ERROR",2,3,4,5,6,7,8,9,10,11,12,"Q1","Q2","Q3","Q4","Q1"})</f>
        <v>11</v>
      </c>
      <c r="F12" s="92">
        <f>LOOKUP(E$12,{0,1,2,3,4,5,6,7,8,9,10,11,12,"Q1","Q2","Q3","Q4"},{"ERROR",2,3,4,5,6,7,8,9,10,11,12,"Q1","Q2","Q3","Q4","Q1"})</f>
        <v>12</v>
      </c>
      <c r="G12" s="94" t="str">
        <f>LOOKUP(F$12,{0,1,2,3,4,5,6,7,8,9,10,11,12,"Q1","Q2","Q3","Q4"},{"ERROR",2,3,4,5,6,7,8,9,10,11,12,"Q1","Q2","Q3","Q4","Q1"})</f>
        <v>Q1</v>
      </c>
      <c r="H12" s="87" t="str">
        <f>LOOKUP(G$12,{0,1,2,3,4,5,6,7,8,9,10,11,12,"Q1","Q2","Q3","Q4"},{"ERROR",2,3,4,5,6,7,8,9,10,11,12,"Q1","Q2","Q3","Q4","Q1"})</f>
        <v>Q2</v>
      </c>
      <c r="I12" s="92" t="str">
        <f>LOOKUP(H$12,{0,1,2,3,4,5,6,7,8,9,10,11,12,"Q1","Q2","Q3","Q4"},{"ERROR",2,3,4,5,6,7,8,9,10,11,12,"Q1","Q2","Q3","Q4","Q1"})</f>
        <v>Q3</v>
      </c>
      <c r="J12" s="94" t="str">
        <f>LOOKUP(I$12,{0,1,2,3,4,5,6,7,8,9,10,11,12,"Q1","Q2","Q3","Q4"},{"ERROR",2,3,4,5,6,7,8,9,10,11,12,"Q1","Q2","Q3","Q4","Q1"})</f>
        <v>Q4</v>
      </c>
      <c r="K12" s="87" t="str">
        <f>LOOKUP(J$12,{0,1,2,3,4,5,6,7,8,9,10,11,12,"Q1","Q2","Q3","Q4"},{"ERROR",2,3,4,5,6,7,8,9,10,11,12,"Q1","Q2","Q3","Q4","Q1"})</f>
        <v>Q1</v>
      </c>
      <c r="L12" s="92" t="str">
        <f>LOOKUP(K$12,{0,1,2,3,4,5,6,7,8,9,10,11,12,"Q1","Q2","Q3","Q4"},{"ERROR",2,3,4,5,6,7,8,9,10,11,12,"Q1","Q2","Q3","Q4","Q1"})</f>
        <v>Q2</v>
      </c>
      <c r="M12" s="94" t="str">
        <f>LOOKUP(L$12,{0,1,2,3,4,5,6,7,8,9,10,11,12,"Q1","Q2","Q3","Q4"},{"ERROR",2,3,4,5,6,7,8,9,10,11,12,"Q1","Q2","Q3","Q4","Q1"})</f>
        <v>Q3</v>
      </c>
      <c r="N12" s="78"/>
    </row>
    <row r="13" spans="1:14" s="67" customFormat="1">
      <c r="A13" s="70"/>
      <c r="E13" s="89"/>
      <c r="F13" s="80"/>
      <c r="G13" s="95"/>
      <c r="H13" s="89"/>
      <c r="I13" s="70"/>
      <c r="J13" s="95"/>
      <c r="K13" s="89"/>
      <c r="L13" s="70"/>
      <c r="M13" s="95"/>
    </row>
    <row r="14" spans="1:14" s="67" customFormat="1">
      <c r="A14" s="80"/>
      <c r="B14" s="79">
        <v>0</v>
      </c>
      <c r="C14" s="79"/>
      <c r="D14" s="79"/>
      <c r="E14" s="88"/>
      <c r="F14" s="88"/>
      <c r="G14" s="88">
        <v>117107.86749999999</v>
      </c>
      <c r="H14" s="88">
        <v>117107.86749999999</v>
      </c>
      <c r="I14" s="88">
        <v>117107.86749999999</v>
      </c>
      <c r="J14" s="88">
        <v>117107.86749999999</v>
      </c>
      <c r="K14" s="88">
        <v>0</v>
      </c>
      <c r="L14" s="80">
        <v>0</v>
      </c>
      <c r="M14" s="96">
        <v>0</v>
      </c>
      <c r="N14" s="81">
        <f>SUM(B14:M14)</f>
        <v>468431.47</v>
      </c>
    </row>
    <row r="15" spans="1:14" s="67" customFormat="1">
      <c r="A15" s="82"/>
      <c r="B15" s="81"/>
      <c r="C15" s="81"/>
      <c r="D15" s="81"/>
      <c r="E15" s="90"/>
      <c r="F15" s="80"/>
      <c r="G15" s="97"/>
      <c r="H15" s="90"/>
      <c r="I15" s="82"/>
      <c r="J15" s="97"/>
      <c r="K15" s="90"/>
      <c r="L15" s="82"/>
      <c r="M15" s="97"/>
      <c r="N15" s="81"/>
    </row>
    <row r="16" spans="1:14" s="67" customFormat="1">
      <c r="A16" s="82"/>
      <c r="B16" s="81"/>
      <c r="C16" s="81"/>
      <c r="D16" s="81"/>
      <c r="E16" s="90"/>
      <c r="F16" s="80"/>
      <c r="G16" s="97"/>
      <c r="H16" s="90"/>
      <c r="I16" s="82"/>
      <c r="J16" s="97"/>
      <c r="K16" s="90"/>
      <c r="L16" s="82"/>
      <c r="M16" s="97"/>
      <c r="N16" s="81"/>
    </row>
    <row r="17" spans="1:14" s="67" customFormat="1" ht="13.5" thickBot="1">
      <c r="A17" s="82"/>
      <c r="B17" s="83">
        <f t="shared" ref="B17:M17" si="1">SUM(B13:B16)</f>
        <v>0</v>
      </c>
      <c r="C17" s="83">
        <f t="shared" si="1"/>
        <v>0</v>
      </c>
      <c r="D17" s="83">
        <f t="shared" si="1"/>
        <v>0</v>
      </c>
      <c r="E17" s="91">
        <f t="shared" si="1"/>
        <v>0</v>
      </c>
      <c r="F17" s="83">
        <f t="shared" si="1"/>
        <v>0</v>
      </c>
      <c r="G17" s="98">
        <f t="shared" si="1"/>
        <v>117107.86749999999</v>
      </c>
      <c r="H17" s="91">
        <f t="shared" si="1"/>
        <v>117107.86749999999</v>
      </c>
      <c r="I17" s="83">
        <f t="shared" si="1"/>
        <v>117107.86749999999</v>
      </c>
      <c r="J17" s="98">
        <f t="shared" si="1"/>
        <v>117107.86749999999</v>
      </c>
      <c r="K17" s="91">
        <f t="shared" si="1"/>
        <v>0</v>
      </c>
      <c r="L17" s="83">
        <f t="shared" si="1"/>
        <v>0</v>
      </c>
      <c r="M17" s="98">
        <f t="shared" si="1"/>
        <v>0</v>
      </c>
      <c r="N17" s="83">
        <f>SUM(N13:N16)</f>
        <v>468431.47</v>
      </c>
    </row>
    <row r="18" spans="1:14" s="67" customFormat="1" ht="13.5" thickTop="1">
      <c r="A18" s="70"/>
    </row>
    <row r="19" spans="1:14" s="67" customFormat="1">
      <c r="A19" s="70"/>
      <c r="D19" s="84">
        <f>D17+C17+B17</f>
        <v>0</v>
      </c>
      <c r="E19" s="84">
        <f>E17+D17+C17+B17</f>
        <v>0</v>
      </c>
      <c r="F19" s="84">
        <f>F17+E19</f>
        <v>0</v>
      </c>
      <c r="G19" s="84">
        <f t="shared" ref="G19:M19" si="2">G17+F19</f>
        <v>117107.86749999999</v>
      </c>
      <c r="H19" s="84">
        <f t="shared" si="2"/>
        <v>234215.73499999999</v>
      </c>
      <c r="I19" s="84">
        <f t="shared" si="2"/>
        <v>351323.60249999998</v>
      </c>
      <c r="J19" s="84">
        <f t="shared" si="2"/>
        <v>468431.47</v>
      </c>
      <c r="K19" s="84">
        <f t="shared" si="2"/>
        <v>468431.47</v>
      </c>
      <c r="L19" s="84">
        <f t="shared" si="2"/>
        <v>468431.47</v>
      </c>
      <c r="M19" s="84">
        <f t="shared" si="2"/>
        <v>468431.47</v>
      </c>
    </row>
    <row r="20" spans="1:14" s="67" customFormat="1">
      <c r="A20" s="70"/>
    </row>
    <row r="21" spans="1:14" s="67" customFormat="1" ht="13.5" thickBot="1"/>
    <row r="22" spans="1:14" s="67" customFormat="1" ht="28.5" customHeight="1" thickBot="1">
      <c r="A22" s="72"/>
      <c r="B22" s="73" t="str">
        <f>IF(M12=12,$B$10+1,IF(M12="Q4",J10+1," "))</f>
        <v xml:space="preserve"> </v>
      </c>
      <c r="C22" s="74">
        <f>IF(B23=12,$B$10+1,IF(B23="Q4",K10+1," "))</f>
        <v>2012</v>
      </c>
      <c r="D22" s="74" t="str">
        <f>IF(C23=12,$B$10+1,IF(C23="Q4",L10+1," "))</f>
        <v xml:space="preserve"> </v>
      </c>
      <c r="E22" s="74" t="str">
        <f>IF(D23=12,$B$10+1,IF(D23="Q4",M10+1," "))</f>
        <v xml:space="preserve"> </v>
      </c>
      <c r="F22" s="73" t="str">
        <f t="shared" ref="F22:M22" si="3">IF(E23=12,$B$10+1,IF(E23="Q4",B22+1," "))</f>
        <v xml:space="preserve"> </v>
      </c>
      <c r="G22" s="74">
        <f t="shared" si="3"/>
        <v>2013</v>
      </c>
      <c r="H22" s="74" t="str">
        <f t="shared" si="3"/>
        <v xml:space="preserve"> </v>
      </c>
      <c r="I22" s="74" t="str">
        <f t="shared" si="3"/>
        <v xml:space="preserve"> </v>
      </c>
      <c r="J22" s="73" t="str">
        <f t="shared" si="3"/>
        <v xml:space="preserve"> </v>
      </c>
      <c r="K22" s="74">
        <f t="shared" si="3"/>
        <v>2014</v>
      </c>
      <c r="L22" s="74" t="str">
        <f t="shared" si="3"/>
        <v xml:space="preserve"> </v>
      </c>
      <c r="M22" s="74" t="str">
        <f t="shared" si="3"/>
        <v xml:space="preserve"> </v>
      </c>
      <c r="N22" s="85" t="s">
        <v>444</v>
      </c>
    </row>
    <row r="23" spans="1:14" s="67" customFormat="1" ht="13.5" thickBot="1">
      <c r="A23" s="76"/>
      <c r="B23" s="73" t="str">
        <f>LOOKUP(B$24,{0,1,2,3,4,5,6,7,8,9,10,11,12,13,"Q1","Q2","Q3","Q4"},{" ","Q1"," "," ","Q2"," "," ","Q3"," "," ","Q4"," "," ","Q1","Q1","Q2","Q3","Q4"})</f>
        <v>Q4</v>
      </c>
      <c r="C23" s="74" t="str">
        <f>LOOKUP(C$24,{0,1,2,3,4,5,6,7,8,9,10,11,12,13,"Q1","Q2","Q3","Q4"},{" ","Q1"," "," ","Q2"," "," ","Q3"," "," ","Q4"," "," ","Q1","Q1","Q2","Q3","Q4"})</f>
        <v>Q1</v>
      </c>
      <c r="D23" s="74" t="str">
        <f>LOOKUP(D$24,{0,1,2,3,4,5,6,7,8,9,10,11,12,13,"Q1","Q2","Q3","Q4"},{" ","Q1"," "," ","Q2"," "," ","Q3"," "," ","Q4"," "," ","Q1","Q1","Q2","Q3","Q4"})</f>
        <v>Q2</v>
      </c>
      <c r="E23" s="74" t="str">
        <f>LOOKUP(E$24,{0,1,2,3,4,5,6,7,8,9,10,11,12,13,"Q1","Q2","Q3","Q4"},{" ","Q1"," "," ","Q2"," "," ","Q3"," "," ","Q4"," "," ","Q1","Q1","Q2","Q3","Q4"})</f>
        <v>Q3</v>
      </c>
      <c r="F23" s="73" t="str">
        <f>LOOKUP(F$24,{0,1,2,3,4,5,6,7,8,9,10,11,12,13,"Q1","Q2","Q3","Q4"},{" ","Q1"," "," ","Q2"," "," ","Q3"," "," ","Q4"," "," ","Q1","Q1","Q2","Q3","Q4"})</f>
        <v>Q4</v>
      </c>
      <c r="G23" s="74" t="str">
        <f>LOOKUP(G$24,{0,1,2,3,4,5,6,7,8,9,10,11,12,13,"Q1","Q2","Q3","Q4"},{" ","Q1"," "," ","Q2"," "," ","Q3"," "," ","Q4"," "," ","Q1","Q1","Q2","Q3","Q4"})</f>
        <v>Q1</v>
      </c>
      <c r="H23" s="74" t="str">
        <f>LOOKUP(H$24,{0,1,2,3,4,5,6,7,8,9,10,11,12,13,"Q1","Q2","Q3","Q4"},{" ","Q1"," "," ","Q2"," "," ","Q3"," "," ","Q4"," "," ","Q1","Q1","Q2","Q3","Q4"})</f>
        <v>Q2</v>
      </c>
      <c r="I23" s="74" t="str">
        <f>LOOKUP(I$24,{0,1,2,3,4,5,6,7,8,9,10,11,12,13,"Q1","Q2","Q3","Q4"},{" ","Q1"," "," ","Q2"," "," ","Q3"," "," ","Q4"," "," ","Q1","Q1","Q2","Q3","Q4"})</f>
        <v>Q3</v>
      </c>
      <c r="J23" s="73" t="str">
        <f>LOOKUP(J$24,{0,1,2,3,4,5,6,7,8,9,10,11,12,13,"Q1","Q2","Q3","Q4"},{" ","Q1"," "," ","Q2"," "," ","Q3"," "," ","Q4"," "," ","Q1","Q1","Q2","Q3","Q4"})</f>
        <v>Q4</v>
      </c>
      <c r="K23" s="74" t="str">
        <f>LOOKUP(K$24,{0,1,2,3,4,5,6,7,8,9,10,11,12,13,"Q1","Q2","Q3","Q4"},{" ","Q1"," "," ","Q2"," "," ","Q3"," "," ","Q4"," "," ","Q1","Q1","Q2","Q3","Q4"})</f>
        <v>Q1</v>
      </c>
      <c r="L23" s="74" t="str">
        <f>LOOKUP(L$24,{0,1,2,3,4,5,6,7,8,9,10,11,12,13,"Q1","Q2","Q3","Q4"},{" ","Q1"," "," ","Q2"," "," ","Q3"," "," ","Q4"," "," ","Q1","Q1","Q2","Q3","Q4"})</f>
        <v>Q2</v>
      </c>
      <c r="M23" s="74" t="str">
        <f>LOOKUP(M$24,{0,1,2,3,4,5,6,7,8,9,10,11,12,13,"Q1","Q2","Q3","Q4"},{" ","Q1"," "," ","Q2"," "," ","Q3"," "," ","Q4"," "," ","Q1","Q1","Q2","Q3","Q4"})</f>
        <v>Q3</v>
      </c>
      <c r="N23" s="86"/>
    </row>
    <row r="24" spans="1:14" s="67" customFormat="1">
      <c r="A24" s="76"/>
      <c r="B24" s="77" t="str">
        <f>LOOKUP(M$12,{0,1,2,3,4,5,6,7,8,9,10,11,12,"Q1","Q2","Q3","Q4"},{"ERROR",2,3,4,5,6,7,8,9,10,11,12,"Q1","Q2","Q3","Q4","Q1"})</f>
        <v>Q4</v>
      </c>
      <c r="C24" s="77" t="str">
        <f>LOOKUP(B$24,{0,1,2,3,4,5,6,7,8,9,10,11,12,"Q1","Q2","Q3","Q4"},{"ERROR",2,3,4,5,6,7,8,9,10,11,12,"Q1","Q2","Q3","Q4","Q1"})</f>
        <v>Q1</v>
      </c>
      <c r="D24" s="77" t="str">
        <f>LOOKUP(C$24,{0,1,2,3,4,5,6,7,8,9,10,11,12,"Q1","Q2","Q3","Q4"},{"ERROR",2,3,4,5,6,7,8,9,10,11,12,"Q1","Q2","Q3","Q4","Q1"})</f>
        <v>Q2</v>
      </c>
      <c r="E24" s="77" t="str">
        <f>LOOKUP(D$24,{0,1,2,3,4,5,6,7,8,9,10,11,12,"Q1","Q2","Q3","Q4"},{"ERROR",2,3,4,5,6,7,8,9,10,11,12,"Q1","Q2","Q3","Q4","Q1"})</f>
        <v>Q3</v>
      </c>
      <c r="F24" s="87" t="str">
        <f>LOOKUP(E$24,{0,1,2,3,4,5,6,7,8,9,10,11,12,"Q1","Q2","Q3","Q4"},{"ERROR",2,3,4,5,6,7,8,9,10,11,12,"Q1","Q2","Q3","Q4","Q1"})</f>
        <v>Q4</v>
      </c>
      <c r="G24" s="77" t="str">
        <f>LOOKUP(F$24,{0,1,2,3,4,5,6,7,8,9,10,11,12,"Q1","Q2","Q3","Q4"},{"ERROR",2,3,4,5,6,7,8,9,10,11,12,"Q1","Q2","Q3","Q4","Q1"})</f>
        <v>Q1</v>
      </c>
      <c r="H24" s="77" t="str">
        <f>LOOKUP(G$24,{0,1,2,3,4,5,6,7,8,9,10,11,12,"Q1","Q2","Q3","Q4"},{"ERROR",2,3,4,5,6,7,8,9,10,11,12,"Q1","Q2","Q3","Q4","Q1"})</f>
        <v>Q2</v>
      </c>
      <c r="I24" s="77" t="str">
        <f>LOOKUP(H$24,{0,1,2,3,4,5,6,7,8,9,10,11,12,"Q1","Q2","Q3","Q4"},{"ERROR",2,3,4,5,6,7,8,9,10,11,12,"Q1","Q2","Q3","Q4","Q1"})</f>
        <v>Q3</v>
      </c>
      <c r="J24" s="87" t="str">
        <f>LOOKUP(I$24,{0,1,2,3,4,5,6,7,8,9,10,11,12,"Q1","Q2","Q3","Q4"},{"ERROR",2,3,4,5,6,7,8,9,10,11,12,"Q1","Q2","Q3","Q4","Q1"})</f>
        <v>Q4</v>
      </c>
      <c r="K24" s="77" t="str">
        <f>LOOKUP(J$24,{0,1,2,3,4,5,6,7,8,9,10,11,12,"Q1","Q2","Q3","Q4"},{"ERROR",2,3,4,5,6,7,8,9,10,11,12,"Q1","Q2","Q3","Q4","Q1"})</f>
        <v>Q1</v>
      </c>
      <c r="L24" s="77" t="str">
        <f>LOOKUP(K$24,{0,1,2,3,4,5,6,7,8,9,10,11,12,"Q1","Q2","Q3","Q4"},{"ERROR",2,3,4,5,6,7,8,9,10,11,12,"Q1","Q2","Q3","Q4","Q1"})</f>
        <v>Q2</v>
      </c>
      <c r="M24" s="77" t="str">
        <f>LOOKUP(L$24,{0,1,2,3,4,5,6,7,8,9,10,11,12,"Q1","Q2","Q3","Q4"},{"ERROR",2,3,4,5,6,7,8,9,10,11,12,"Q1","Q2","Q3","Q4","Q1"})</f>
        <v>Q3</v>
      </c>
      <c r="N24" s="86"/>
    </row>
    <row r="25" spans="1:14" s="67" customFormat="1">
      <c r="A25" s="70"/>
      <c r="F25" s="88"/>
      <c r="J25" s="89"/>
      <c r="N25" s="89"/>
    </row>
    <row r="26" spans="1:14" s="67" customFormat="1">
      <c r="A26" s="80"/>
      <c r="B26" s="79">
        <v>0</v>
      </c>
      <c r="C26" s="79">
        <v>0</v>
      </c>
      <c r="D26" s="79">
        <v>0</v>
      </c>
      <c r="E26" s="79">
        <v>0</v>
      </c>
      <c r="F26" s="88">
        <v>0</v>
      </c>
      <c r="G26" s="79">
        <v>0</v>
      </c>
      <c r="H26" s="79">
        <v>0</v>
      </c>
      <c r="I26" s="79">
        <v>0</v>
      </c>
      <c r="J26" s="88">
        <v>0</v>
      </c>
      <c r="K26" s="79">
        <v>0</v>
      </c>
      <c r="L26" s="79">
        <v>0</v>
      </c>
      <c r="M26" s="79">
        <v>0</v>
      </c>
      <c r="N26" s="90">
        <f>SUM(B26:M26,N14)</f>
        <v>468431.47</v>
      </c>
    </row>
    <row r="27" spans="1:14" s="67" customFormat="1">
      <c r="A27" s="82"/>
      <c r="B27" s="81"/>
      <c r="C27" s="81"/>
      <c r="D27" s="81"/>
      <c r="E27" s="81"/>
      <c r="F27" s="88"/>
      <c r="G27" s="81"/>
      <c r="H27" s="81"/>
      <c r="I27" s="81"/>
      <c r="J27" s="90"/>
      <c r="K27" s="81"/>
      <c r="L27" s="81"/>
      <c r="M27" s="81"/>
      <c r="N27" s="90"/>
    </row>
    <row r="28" spans="1:14" s="67" customFormat="1">
      <c r="A28" s="82"/>
      <c r="B28" s="81"/>
      <c r="C28" s="81"/>
      <c r="D28" s="81"/>
      <c r="E28" s="81"/>
      <c r="F28" s="88"/>
      <c r="G28" s="81"/>
      <c r="H28" s="81"/>
      <c r="I28" s="81"/>
      <c r="J28" s="90"/>
      <c r="K28" s="81"/>
      <c r="L28" s="81"/>
      <c r="M28" s="81"/>
      <c r="N28" s="90"/>
    </row>
    <row r="29" spans="1:14" s="67" customFormat="1" ht="13.5" thickBot="1">
      <c r="A29" s="82"/>
      <c r="B29" s="83">
        <f t="shared" ref="B29:M29" si="4">SUM(B25:B28)</f>
        <v>0</v>
      </c>
      <c r="C29" s="83">
        <f t="shared" si="4"/>
        <v>0</v>
      </c>
      <c r="D29" s="83">
        <f t="shared" si="4"/>
        <v>0</v>
      </c>
      <c r="E29" s="83">
        <f t="shared" si="4"/>
        <v>0</v>
      </c>
      <c r="F29" s="91">
        <f t="shared" si="4"/>
        <v>0</v>
      </c>
      <c r="G29" s="83">
        <f t="shared" si="4"/>
        <v>0</v>
      </c>
      <c r="H29" s="83">
        <f t="shared" si="4"/>
        <v>0</v>
      </c>
      <c r="I29" s="83">
        <f t="shared" si="4"/>
        <v>0</v>
      </c>
      <c r="J29" s="91">
        <f t="shared" si="4"/>
        <v>0</v>
      </c>
      <c r="K29" s="83">
        <f t="shared" si="4"/>
        <v>0</v>
      </c>
      <c r="L29" s="83">
        <f t="shared" si="4"/>
        <v>0</v>
      </c>
      <c r="M29" s="83">
        <f t="shared" si="4"/>
        <v>0</v>
      </c>
      <c r="N29" s="91">
        <f>SUM(N25:N28)</f>
        <v>468431.47</v>
      </c>
    </row>
    <row r="30" spans="1:14" s="67" customFormat="1" ht="13.5" thickTop="1">
      <c r="A30" s="70"/>
    </row>
    <row r="31" spans="1:14" s="67" customFormat="1">
      <c r="A31" s="70"/>
      <c r="B31" s="84">
        <f>B29+N17</f>
        <v>468431.47</v>
      </c>
      <c r="C31" s="84">
        <f>C29+B31</f>
        <v>468431.47</v>
      </c>
      <c r="D31" s="84">
        <f>D29+C31</f>
        <v>468431.47</v>
      </c>
      <c r="E31" s="84">
        <f>E29+D31</f>
        <v>468431.47</v>
      </c>
      <c r="F31" s="84">
        <f>F29+E31</f>
        <v>468431.47</v>
      </c>
      <c r="G31" s="84">
        <f t="shared" ref="G31:L31" si="5">G29+F31</f>
        <v>468431.47</v>
      </c>
      <c r="H31" s="84">
        <f t="shared" si="5"/>
        <v>468431.47</v>
      </c>
      <c r="I31" s="84">
        <f t="shared" si="5"/>
        <v>468431.47</v>
      </c>
      <c r="J31" s="84">
        <f t="shared" si="5"/>
        <v>468431.47</v>
      </c>
      <c r="K31" s="84">
        <f t="shared" si="5"/>
        <v>468431.47</v>
      </c>
      <c r="L31" s="84">
        <f t="shared" si="5"/>
        <v>468431.47</v>
      </c>
      <c r="M31" s="84">
        <f>M29+L31</f>
        <v>468431.47</v>
      </c>
    </row>
    <row r="33" spans="1:12">
      <c r="A33" s="62" t="s">
        <v>625</v>
      </c>
    </row>
    <row r="34" spans="1:12">
      <c r="L34" s="107"/>
    </row>
    <row r="35" spans="1:12">
      <c r="G35" s="105"/>
      <c r="L35" s="106"/>
    </row>
    <row r="36" spans="1:12">
      <c r="L36" s="106"/>
    </row>
  </sheetData>
  <mergeCells count="4">
    <mergeCell ref="A1:B1"/>
    <mergeCell ref="A2:B2"/>
    <mergeCell ref="C2:K2"/>
    <mergeCell ref="C3:K3"/>
  </mergeCells>
  <phoneticPr fontId="2" type="noConversion"/>
  <conditionalFormatting sqref="B7:B8">
    <cfRule type="cellIs" dxfId="15" priority="1" stopIfTrue="1" operator="lessThan">
      <formula>1</formula>
    </cfRule>
  </conditionalFormatting>
  <conditionalFormatting sqref="B4:B5">
    <cfRule type="cellIs" dxfId="14" priority="2" stopIfTrue="1" operator="equal">
      <formula>"N/A"</formula>
    </cfRule>
  </conditionalFormatting>
  <conditionalFormatting sqref="C2:K2">
    <cfRule type="cellIs" dxfId="13" priority="3" stopIfTrue="1" operator="equal">
      <formula>$Z$11746</formula>
    </cfRule>
  </conditionalFormatting>
  <conditionalFormatting sqref="C3:K3">
    <cfRule type="cellIs" dxfId="12" priority="4" stopIfTrue="1" operator="equal">
      <formula>$Z$11746</formula>
    </cfRule>
  </conditionalFormatting>
  <hyperlinks>
    <hyperlink ref="A33" location="'Job Initiation Form'!B19" display="The header dates on this worksheet will automatically populate based on the start date of the job noted on the Job Initiation Form"/>
  </hyperlinks>
  <pageMargins left="0.75" right="0.75" top="1" bottom="1" header="0.5" footer="0.5"/>
  <pageSetup orientation="landscape" r:id="rId1"/>
  <headerFooter alignWithMargins="0">
    <oddFooter>&amp;L&amp;8&amp;Z&amp;F&amp;R&amp;8&amp;D&amp;T</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5123" r:id="rId4" name="Drop Down 3">
              <controlPr defaultSize="0" autoLine="0" autoPict="0">
                <anchor moveWithCells="1">
                  <from>
                    <xdr:col>1</xdr:col>
                    <xdr:colOff>28575</xdr:colOff>
                    <xdr:row>5</xdr:row>
                    <xdr:rowOff>28575</xdr:rowOff>
                  </from>
                  <to>
                    <xdr:col>1</xdr:col>
                    <xdr:colOff>657225</xdr:colOff>
                    <xdr:row>6</xdr:row>
                    <xdr:rowOff>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enableFormatConditionsCalculation="0">
    <tabColor indexed="43"/>
  </sheetPr>
  <dimension ref="A1:BQ602"/>
  <sheetViews>
    <sheetView tabSelected="1" workbookViewId="0">
      <selection activeCell="F12" sqref="F12"/>
    </sheetView>
  </sheetViews>
  <sheetFormatPr defaultRowHeight="12.75"/>
  <cols>
    <col min="1" max="1" width="24.140625" style="10" customWidth="1"/>
    <col min="2" max="2" width="19" style="10" customWidth="1"/>
    <col min="3" max="3" width="9.140625" style="10"/>
    <col min="4" max="4" width="22.42578125" style="10" customWidth="1"/>
    <col min="5" max="5" width="21.5703125" style="10" customWidth="1"/>
    <col min="6" max="6" width="14" style="10" bestFit="1" customWidth="1"/>
    <col min="7" max="16384" width="9.140625" style="10"/>
  </cols>
  <sheetData>
    <row r="1" spans="1:69">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row>
    <row r="2" spans="1:69" ht="15.75">
      <c r="D2" s="22"/>
      <c r="E2" s="23"/>
      <c r="F2" s="45"/>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row>
    <row r="3" spans="1:69">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row>
    <row r="4" spans="1:69" ht="15.75">
      <c r="D4" s="22"/>
      <c r="E4" s="23"/>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row>
    <row r="5" spans="1:69" ht="20.25">
      <c r="B5" s="114"/>
      <c r="C5" s="114"/>
      <c r="D5" s="114"/>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row>
    <row r="6" spans="1:69" ht="20.25">
      <c r="B6" s="115" t="s">
        <v>412</v>
      </c>
      <c r="C6" s="115"/>
      <c r="D6" s="115"/>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row>
    <row r="7" spans="1:69" ht="15">
      <c r="B7" s="116" t="s">
        <v>443</v>
      </c>
      <c r="C7" s="116"/>
      <c r="D7" s="116"/>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row>
    <row r="8" spans="1:69">
      <c r="A8" s="52" t="s">
        <v>448</v>
      </c>
      <c r="B8" s="122">
        <v>40606</v>
      </c>
      <c r="C8" s="122"/>
      <c r="D8" s="122"/>
      <c r="E8" s="23"/>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row>
    <row r="9" spans="1:69" ht="15">
      <c r="A9" s="11" t="s">
        <v>413</v>
      </c>
      <c r="B9" s="27" t="s">
        <v>635</v>
      </c>
      <c r="D9" s="24"/>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row>
    <row r="10" spans="1:69">
      <c r="A10" s="42" t="s">
        <v>404</v>
      </c>
      <c r="B10" s="123" t="s">
        <v>636</v>
      </c>
      <c r="C10" s="123"/>
      <c r="D10" s="123"/>
      <c r="E10" s="123"/>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row>
    <row r="11" spans="1:69">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row>
    <row r="12" spans="1:69" ht="79.5" customHeight="1">
      <c r="A12" s="43" t="s">
        <v>414</v>
      </c>
      <c r="B12" s="123" t="s">
        <v>634</v>
      </c>
      <c r="C12" s="123"/>
      <c r="D12" s="123"/>
      <c r="E12" s="123"/>
      <c r="F12" s="46"/>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row>
    <row r="13" spans="1:69">
      <c r="D13" s="41"/>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row>
    <row r="14" spans="1:69" ht="21" customHeight="1">
      <c r="A14" s="42" t="s">
        <v>375</v>
      </c>
      <c r="B14" s="10">
        <v>5</v>
      </c>
      <c r="D14" s="42" t="s">
        <v>4</v>
      </c>
      <c r="E14" s="48">
        <v>7</v>
      </c>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row>
    <row r="15" spans="1:69">
      <c r="D15" s="41" t="s">
        <v>374</v>
      </c>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row>
    <row r="16" spans="1:69" ht="19.5" customHeight="1">
      <c r="A16" s="42" t="s">
        <v>403</v>
      </c>
      <c r="D16" s="42" t="s">
        <v>5</v>
      </c>
      <c r="E16" s="27" t="s">
        <v>637</v>
      </c>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row>
    <row r="17" spans="1:69" ht="19.5" customHeight="1">
      <c r="A17" s="42" t="s">
        <v>362</v>
      </c>
      <c r="B17" s="27"/>
      <c r="D17" s="41"/>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row>
    <row r="18" spans="1:69">
      <c r="D18" s="41"/>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row>
    <row r="19" spans="1:69" ht="19.5" customHeight="1">
      <c r="A19" s="42" t="s">
        <v>376</v>
      </c>
      <c r="B19" s="26">
        <v>40056</v>
      </c>
      <c r="D19" s="42" t="s">
        <v>389</v>
      </c>
      <c r="E19" s="26">
        <v>40648</v>
      </c>
      <c r="F19" s="126"/>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row>
    <row r="20" spans="1:69">
      <c r="D20" s="41"/>
      <c r="F20" s="126"/>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row>
    <row r="21" spans="1:69" ht="19.5" customHeight="1">
      <c r="A21" s="42" t="s">
        <v>503</v>
      </c>
      <c r="D21" s="42" t="s">
        <v>367</v>
      </c>
      <c r="E21" s="108">
        <v>659924.67000000004</v>
      </c>
      <c r="F21" s="126"/>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row>
    <row r="22" spans="1:69" ht="19.5" customHeight="1">
      <c r="A22" s="25"/>
      <c r="D22" s="41"/>
      <c r="E22" s="49"/>
      <c r="F22" s="126"/>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row>
    <row r="23" spans="1:69" ht="19.5" customHeight="1">
      <c r="A23" s="25"/>
      <c r="D23" s="41"/>
      <c r="E23" s="49"/>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row>
    <row r="24" spans="1:69" ht="19.5" customHeight="1">
      <c r="A24" s="25"/>
      <c r="E24" s="49"/>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row>
    <row r="25" spans="1:69" ht="19.5" customHeight="1">
      <c r="A25" s="25"/>
      <c r="E25" s="49"/>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row>
    <row r="26" spans="1:69" ht="16.5" thickBot="1">
      <c r="A26" s="25"/>
      <c r="D26" s="11" t="s">
        <v>390</v>
      </c>
      <c r="E26" s="29">
        <f>SUM(E21:E25)</f>
        <v>659924.67000000004</v>
      </c>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row>
    <row r="27" spans="1:69" ht="13.5" thickTop="1">
      <c r="A27" s="42" t="s">
        <v>405</v>
      </c>
      <c r="B27" s="49"/>
      <c r="D27" s="30" t="s">
        <v>391</v>
      </c>
      <c r="E27" s="31">
        <f>B27-E26</f>
        <v>-659924.67000000004</v>
      </c>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row>
    <row r="28" spans="1:69" ht="13.5" thickBot="1">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row>
    <row r="29" spans="1:69" ht="19.5" customHeight="1" thickBot="1">
      <c r="A29" s="44" t="s">
        <v>406</v>
      </c>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row>
    <row r="30" spans="1:69" ht="31.5" customHeight="1">
      <c r="A30" s="110" t="s">
        <v>402</v>
      </c>
      <c r="B30" s="111"/>
      <c r="C30" s="113"/>
      <c r="D30" s="113"/>
      <c r="E30" s="113"/>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row>
    <row r="31" spans="1:69" ht="13.5" thickBot="1">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row>
    <row r="32" spans="1:69" ht="13.5" thickBot="1">
      <c r="A32" s="44" t="s">
        <v>407</v>
      </c>
      <c r="C32" s="113"/>
      <c r="D32" s="113"/>
      <c r="E32" s="113"/>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row>
    <row r="33" spans="1:69" ht="13.5" thickBot="1">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row>
    <row r="34" spans="1:69" ht="13.5" thickBot="1">
      <c r="A34" s="44" t="s">
        <v>408</v>
      </c>
      <c r="B34" s="27"/>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row>
    <row r="35" spans="1:69">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row>
    <row r="36" spans="1:69" ht="16.5">
      <c r="A36" s="109" t="s">
        <v>427</v>
      </c>
      <c r="B36" s="109"/>
      <c r="C36" s="109"/>
      <c r="D36" s="109"/>
      <c r="E36" s="109"/>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row>
    <row r="37" spans="1:69">
      <c r="A37" s="38" t="s">
        <v>401</v>
      </c>
      <c r="B37" s="39"/>
      <c r="C37" s="39"/>
      <c r="D37" s="38" t="s">
        <v>396</v>
      </c>
      <c r="E37" s="40"/>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row>
    <row r="38" spans="1:69" ht="19.5" customHeight="1">
      <c r="A38" s="33" t="s">
        <v>397</v>
      </c>
      <c r="B38" s="32"/>
      <c r="C38" s="32"/>
      <c r="D38" s="33" t="s">
        <v>415</v>
      </c>
      <c r="E38" s="34"/>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row>
    <row r="39" spans="1:69" ht="19.5" customHeight="1">
      <c r="A39" s="35" t="s">
        <v>398</v>
      </c>
      <c r="B39" s="36"/>
      <c r="C39" s="36"/>
      <c r="D39" s="35" t="s">
        <v>416</v>
      </c>
      <c r="E39" s="37"/>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row>
    <row r="40" spans="1:69">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row>
    <row r="41" spans="1:69">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row>
    <row r="42" spans="1:69">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row>
    <row r="43" spans="1:69">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row>
    <row r="44" spans="1:69">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row>
    <row r="45" spans="1:69">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row>
    <row r="46" spans="1:69">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row>
    <row r="47" spans="1:69">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row>
    <row r="48" spans="1:69">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row>
    <row r="49" spans="1:6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row>
    <row r="50" spans="1:69">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row>
    <row r="51" spans="1:69">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row>
    <row r="52" spans="1:69">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row>
    <row r="53" spans="1:69">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row>
    <row r="54" spans="1:69">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row>
    <row r="55" spans="1:69">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row>
    <row r="56" spans="1:69">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row>
    <row r="57" spans="1:69">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row>
    <row r="58" spans="1:69">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row>
    <row r="59" spans="1:6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row>
    <row r="60" spans="1:69">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row>
    <row r="61" spans="1:69">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row>
    <row r="62" spans="1:69">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row>
    <row r="63" spans="1:69">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row>
    <row r="64" spans="1:69">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row>
    <row r="65" spans="1:69">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row>
    <row r="66" spans="1:69">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row>
    <row r="67" spans="1:69">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row>
    <row r="68" spans="1:69">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row>
    <row r="69" spans="1: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row>
    <row r="70" spans="1:69">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row>
    <row r="71" spans="1:69">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row>
    <row r="72" spans="1:69">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row>
    <row r="73" spans="1:69">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row>
    <row r="74" spans="1:69">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row>
    <row r="75" spans="1:69">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row>
    <row r="76" spans="1:69">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row>
    <row r="77" spans="1:69">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row>
    <row r="78" spans="1:69">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row>
    <row r="79" spans="1:6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row>
    <row r="80" spans="1:69">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row>
    <row r="81" spans="1:69">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row>
    <row r="82" spans="1:69">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row>
    <row r="83" spans="1:69">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row>
    <row r="84" spans="1:69">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row>
    <row r="85" spans="1:69">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row>
    <row r="86" spans="1:69">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row>
    <row r="87" spans="1:69">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row>
    <row r="88" spans="1:69">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row>
    <row r="89" spans="1:6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row>
    <row r="90" spans="1:69">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row>
    <row r="91" spans="1:69">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row>
    <row r="92" spans="1:69">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row>
    <row r="93" spans="1:69">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row>
    <row r="94" spans="1:69">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row>
    <row r="95" spans="1:69">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row>
    <row r="96" spans="1:69">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row>
    <row r="97" spans="1:69">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row>
    <row r="98" spans="1:69">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row>
    <row r="99" spans="1:6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row>
    <row r="100" spans="1:69">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row>
    <row r="101" spans="1:69">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row>
    <row r="102" spans="1:69">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row>
    <row r="103" spans="1:69">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row>
    <row r="104" spans="1:69">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row>
    <row r="105" spans="1:69">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row>
    <row r="106" spans="1:69">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row>
    <row r="107" spans="1:69">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row>
    <row r="108" spans="1:69">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row>
    <row r="109" spans="1:6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row>
    <row r="110" spans="1:69">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row>
    <row r="111" spans="1:69">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row>
    <row r="112" spans="1:69">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row>
    <row r="113" spans="1:55">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row>
    <row r="114" spans="1:55">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row>
    <row r="115" spans="1:5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row>
    <row r="116" spans="1:55">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row>
    <row r="117" spans="1:55">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row>
    <row r="118" spans="1:55">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row>
    <row r="119" spans="1:55">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row>
    <row r="120" spans="1:55">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row>
    <row r="121" spans="1:55">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row>
    <row r="122" spans="1:55">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row>
    <row r="123" spans="1:55">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row>
    <row r="124" spans="1:55">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row>
    <row r="125" spans="1:5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row>
    <row r="126" spans="1:55">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row>
    <row r="127" spans="1:55">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row>
    <row r="128" spans="1:55">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row>
    <row r="129" spans="1:55">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row>
    <row r="130" spans="1:55">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row>
    <row r="131" spans="1:55">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row>
    <row r="132" spans="1:55">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row>
    <row r="133" spans="1:55">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row>
    <row r="134" spans="1:55">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row>
    <row r="135" spans="1:5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row>
    <row r="136" spans="1:55">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row>
    <row r="137" spans="1:55">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row>
    <row r="138" spans="1:55">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row>
    <row r="139" spans="1:55">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row>
    <row r="140" spans="1:55">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row>
    <row r="141" spans="1:55">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row>
    <row r="142" spans="1:55">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row>
    <row r="143" spans="1:55">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row>
    <row r="144" spans="1:55">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row>
    <row r="145" spans="1:5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row>
    <row r="146" spans="1:55">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row>
    <row r="147" spans="1:55">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row>
    <row r="148" spans="1:55">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row>
    <row r="149" spans="1:55">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row>
    <row r="150" spans="1:55">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row>
    <row r="151" spans="1:55">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row>
    <row r="152" spans="1:55">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row>
    <row r="153" spans="1:55">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row>
    <row r="154" spans="1:55">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row>
    <row r="155" spans="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row>
    <row r="156" spans="1:55">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row>
    <row r="157" spans="1:55">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row>
    <row r="158" spans="1:55">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row>
    <row r="159" spans="1:55">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row>
    <row r="160" spans="1:55">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row>
    <row r="161" spans="1:55">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row>
    <row r="162" spans="1:55">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row>
    <row r="163" spans="1:55">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row>
    <row r="164" spans="1:55">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row>
    <row r="165" spans="1:5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row>
    <row r="166" spans="1:55">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row>
    <row r="167" spans="1:55">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row>
    <row r="168" spans="1:55">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row>
    <row r="169" spans="1:55">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row>
    <row r="170" spans="1:55">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row>
    <row r="171" spans="1:55">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row>
    <row r="172" spans="1:55">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row>
    <row r="173" spans="1:55">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row>
    <row r="174" spans="1:55">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row>
    <row r="175" spans="1:5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row>
    <row r="176" spans="1:55">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row>
    <row r="177" spans="1:55">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row>
    <row r="178" spans="1:55">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row>
    <row r="179" spans="1:55">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row>
    <row r="180" spans="1:55">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row>
    <row r="181" spans="1:55">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row>
    <row r="182" spans="1:55">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row>
    <row r="183" spans="1:55">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row>
    <row r="184" spans="1:55">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row>
    <row r="185" spans="1:5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row>
    <row r="186" spans="1:55">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row>
    <row r="187" spans="1:55">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row>
    <row r="188" spans="1:55">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row>
    <row r="189" spans="1:55">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row>
    <row r="190" spans="1:55">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row>
    <row r="191" spans="1:55">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row>
    <row r="192" spans="1:55">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row>
    <row r="193" spans="1:55">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row>
    <row r="194" spans="1:55">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row>
    <row r="195" spans="1:5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row>
    <row r="196" spans="1:55">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row>
    <row r="197" spans="1:55">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row>
    <row r="198" spans="1:55">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row>
    <row r="199" spans="1:55">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row>
    <row r="200" spans="1:55">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row>
    <row r="201" spans="1:55">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row>
    <row r="202" spans="1:55">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row>
    <row r="203" spans="1:55">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row>
    <row r="204" spans="1:55">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row>
    <row r="205" spans="1:5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row>
    <row r="206" spans="1:55">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row>
    <row r="207" spans="1:55">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row>
    <row r="208" spans="1:55">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row>
    <row r="209" spans="1:55">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row>
    <row r="210" spans="1:55">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row>
    <row r="211" spans="1:55">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row>
    <row r="212" spans="1:55">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row>
    <row r="213" spans="1:55">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row>
    <row r="214" spans="1:55">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row>
    <row r="215" spans="1:5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row>
    <row r="216" spans="1:55">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row>
    <row r="217" spans="1:55">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row>
    <row r="218" spans="1:55">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row>
    <row r="219" spans="1:55">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row>
    <row r="220" spans="1:55">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row>
    <row r="221" spans="1:55">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row>
    <row r="222" spans="1:55">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row>
    <row r="223" spans="1:55">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row>
    <row r="224" spans="1:55">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row>
    <row r="225" spans="1:5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row>
    <row r="226" spans="1:55">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row>
    <row r="227" spans="1:55">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row>
    <row r="228" spans="1:55">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row>
    <row r="229" spans="1:55">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row>
    <row r="230" spans="1:55">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row>
    <row r="231" spans="1:55">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row>
    <row r="232" spans="1:55">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row>
    <row r="233" spans="1:55">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row>
    <row r="234" spans="1:55">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row>
    <row r="235" spans="1:5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row>
    <row r="236" spans="1:55">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row>
    <row r="237" spans="1:55">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row>
    <row r="238" spans="1:55">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row>
    <row r="239" spans="1:55">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row>
    <row r="240" spans="1:55">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row>
    <row r="241" spans="1:55">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row>
    <row r="242" spans="1:55">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row>
    <row r="243" spans="1:55">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row>
    <row r="244" spans="1:55">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row>
    <row r="245" spans="1:5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row>
    <row r="246" spans="1:55">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row>
    <row r="247" spans="1:55">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row>
    <row r="248" spans="1:55">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row>
    <row r="249" spans="1:55">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row>
    <row r="250" spans="1:55">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row>
    <row r="251" spans="1:55">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row>
    <row r="252" spans="1:55">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row>
    <row r="253" spans="1:55">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row>
    <row r="254" spans="1:55">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row>
    <row r="255" spans="1: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row>
    <row r="256" spans="1:55">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row>
    <row r="257" spans="1:55">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row>
    <row r="258" spans="1:55">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row>
    <row r="259" spans="1:55">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row>
    <row r="260" spans="1:55">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row>
    <row r="261" spans="1:55">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row>
    <row r="262" spans="1:55">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row>
    <row r="263" spans="1:55">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row>
    <row r="264" spans="1:55">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row>
    <row r="265" spans="1:5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row>
    <row r="266" spans="1:55">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row>
    <row r="267" spans="1:55">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row>
    <row r="268" spans="1:55">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row>
    <row r="269" spans="1:55">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row>
    <row r="270" spans="1:55">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row>
    <row r="271" spans="1:55">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row>
    <row r="272" spans="1:55">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row>
    <row r="273" spans="1:55">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row>
    <row r="274" spans="1:55">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row>
    <row r="275" spans="1:5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row>
    <row r="276" spans="1:55">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row>
    <row r="277" spans="1:55">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row>
    <row r="278" spans="1:55">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row>
    <row r="279" spans="1:55">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row>
    <row r="280" spans="1:55">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row>
    <row r="281" spans="1:55">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row>
    <row r="282" spans="1:55">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row>
    <row r="283" spans="1:55">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row>
    <row r="284" spans="1:55">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row>
    <row r="285" spans="1:5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row>
    <row r="286" spans="1:55">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row>
    <row r="287" spans="1:55">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row>
    <row r="288" spans="1:55">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row>
    <row r="289" spans="1:55">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row>
    <row r="290" spans="1:55">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row>
    <row r="291" spans="1:55">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row>
    <row r="292" spans="1:55">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row>
    <row r="293" spans="1:55">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row>
    <row r="294" spans="1:55">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row>
    <row r="295" spans="1:5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row>
    <row r="296" spans="1:55">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row>
    <row r="297" spans="1:55">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row>
    <row r="298" spans="1:55">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row>
    <row r="299" spans="1:55">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row>
    <row r="300" spans="1:55">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row>
    <row r="301" spans="1:55">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row>
    <row r="302" spans="1:55">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row>
    <row r="303" spans="1:55">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row>
    <row r="304" spans="1:55">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row>
    <row r="305" spans="1:5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row>
    <row r="306" spans="1:55">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row>
    <row r="307" spans="1:55">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row>
    <row r="308" spans="1:55">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row>
    <row r="309" spans="1:55">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row>
    <row r="310" spans="1:55">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row>
    <row r="311" spans="1:55">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row>
    <row r="312" spans="1:55">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row>
    <row r="313" spans="1:55">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row>
    <row r="314" spans="1:55">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row>
    <row r="315" spans="1:5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row>
    <row r="316" spans="1:55">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row>
    <row r="317" spans="1:55">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row>
    <row r="318" spans="1:55">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row>
    <row r="319" spans="1:55">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row>
    <row r="320" spans="1:55">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row>
    <row r="321" spans="1:55">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row>
    <row r="322" spans="1:55">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row>
    <row r="323" spans="1:55">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row>
    <row r="324" spans="1:55">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row>
    <row r="325" spans="1:5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row>
    <row r="326" spans="1:55">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row>
    <row r="327" spans="1:55">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row>
    <row r="328" spans="1:55">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row>
    <row r="329" spans="1:55">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row>
    <row r="330" spans="1:55">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row>
    <row r="331" spans="1:55">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row>
    <row r="332" spans="1:55">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row>
    <row r="333" spans="1:55">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row>
    <row r="334" spans="1:55">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row>
    <row r="335" spans="1:5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row>
    <row r="336" spans="1:55">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row>
    <row r="337" spans="1:55">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row>
    <row r="338" spans="1:55">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row>
    <row r="339" spans="1:55">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row>
    <row r="340" spans="1:55">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row>
    <row r="341" spans="1:55">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row>
    <row r="342" spans="1:55">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row>
    <row r="343" spans="1:55">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row>
    <row r="344" spans="1:55">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row>
    <row r="345" spans="1:5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row>
    <row r="346" spans="1:55">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row>
    <row r="347" spans="1:55">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row>
    <row r="348" spans="1:55">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row>
    <row r="349" spans="1:55">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row>
    <row r="350" spans="1:55">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row>
    <row r="351" spans="1:55">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row>
    <row r="352" spans="1:55">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row>
    <row r="353" spans="1:55">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row>
    <row r="354" spans="1:55">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row>
    <row r="355" spans="1: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row>
    <row r="356" spans="1:55">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row>
    <row r="357" spans="1:55">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row>
    <row r="358" spans="1:55">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row>
    <row r="359" spans="1:55">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row>
    <row r="360" spans="1:55">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row>
    <row r="361" spans="1:55">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row>
    <row r="362" spans="1:55">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row>
    <row r="363" spans="1:55">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row>
    <row r="364" spans="1:55">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row>
    <row r="365" spans="1:5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row>
    <row r="366" spans="1:55">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row>
    <row r="367" spans="1:55">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row>
    <row r="368" spans="1:55">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row>
    <row r="369" spans="1:55">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row>
    <row r="370" spans="1:55">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row>
    <row r="371" spans="1:55">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row>
    <row r="372" spans="1:55">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row>
    <row r="373" spans="1:55">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row>
    <row r="374" spans="1:55">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row>
    <row r="375" spans="1:5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row>
    <row r="376" spans="1:55">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row>
    <row r="377" spans="1:55">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row>
    <row r="378" spans="1:55">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row>
    <row r="379" spans="1:55">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row>
    <row r="380" spans="1:55">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row>
    <row r="381" spans="1:55">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row>
    <row r="382" spans="1:55">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row>
    <row r="383" spans="1:55">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row>
    <row r="384" spans="1:55">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row>
    <row r="385" spans="1:5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row>
    <row r="386" spans="1:55">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row>
    <row r="387" spans="1:55">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row>
    <row r="388" spans="1:55">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row>
    <row r="389" spans="1:55">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row>
    <row r="390" spans="1:55">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row>
    <row r="391" spans="1:55">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row>
    <row r="392" spans="1:55">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row>
    <row r="393" spans="1:55">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row>
    <row r="394" spans="1:55">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row>
    <row r="395" spans="1:5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row>
    <row r="396" spans="1:55">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row>
    <row r="397" spans="1:55">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row>
    <row r="398" spans="1:55">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row>
    <row r="399" spans="1:55">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row>
    <row r="400" spans="1:55">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row>
    <row r="401" spans="1:55">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row>
    <row r="402" spans="1:55">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row>
    <row r="403" spans="1:55">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row>
    <row r="404" spans="1:55">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row>
    <row r="405" spans="1:5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row>
    <row r="406" spans="1:55">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row>
    <row r="407" spans="1:55">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row>
    <row r="408" spans="1:55">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row>
    <row r="409" spans="1:55">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row>
    <row r="410" spans="1:55">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row>
    <row r="411" spans="1:55">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row>
    <row r="412" spans="1:55">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row>
    <row r="413" spans="1:55">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row>
    <row r="414" spans="1:55">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row>
    <row r="415" spans="1:5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row>
    <row r="416" spans="1:55">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row>
    <row r="417" spans="1:55">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row>
    <row r="418" spans="1:55">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row>
    <row r="419" spans="1:55">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row>
    <row r="420" spans="1:55">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row>
    <row r="421" spans="1:55">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row>
    <row r="422" spans="1:55">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row>
    <row r="423" spans="1:55">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row>
    <row r="424" spans="1:55">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row>
    <row r="425" spans="1:5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row>
    <row r="426" spans="1:55">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row>
    <row r="427" spans="1:55">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row>
    <row r="428" spans="1:55">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row>
    <row r="429" spans="1:55">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row>
    <row r="430" spans="1:55">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row>
    <row r="431" spans="1:55">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row>
    <row r="432" spans="1:55">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row>
    <row r="433" spans="1:55">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row>
    <row r="434" spans="1:55">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row>
    <row r="435" spans="1:5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row>
    <row r="436" spans="1:55">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row>
    <row r="437" spans="1:55">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row>
    <row r="438" spans="1:55">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row>
    <row r="439" spans="1:55">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row>
    <row r="440" spans="1:55">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row>
    <row r="441" spans="1:55">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row>
    <row r="442" spans="1:55">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row>
    <row r="443" spans="1:55">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row>
    <row r="444" spans="1:55">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row>
    <row r="445" spans="1:5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row>
    <row r="446" spans="1:55">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row>
    <row r="447" spans="1:55">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row>
    <row r="448" spans="1:55">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row>
    <row r="449" spans="1:55">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row>
    <row r="450" spans="1:55">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row>
    <row r="451" spans="1:55">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row>
    <row r="452" spans="1:55">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row>
    <row r="453" spans="1:55">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row>
    <row r="454" spans="1:55">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row>
    <row r="455" spans="1: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row>
    <row r="456" spans="1:55">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row>
    <row r="457" spans="1:55">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row>
    <row r="458" spans="1:55">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row>
    <row r="459" spans="1:55">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row>
    <row r="460" spans="1:55">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row>
    <row r="461" spans="1:55">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row>
    <row r="462" spans="1:55">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row>
    <row r="463" spans="1:55">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row>
    <row r="464" spans="1:55">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row>
    <row r="465" spans="1:5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row>
    <row r="466" spans="1:55">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row>
    <row r="467" spans="1:55">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row>
    <row r="468" spans="1:55">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row>
    <row r="469" spans="1:55">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row>
    <row r="470" spans="1:55">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row>
    <row r="471" spans="1:55">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row>
    <row r="472" spans="1:55">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row>
    <row r="473" spans="1:55">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row>
    <row r="474" spans="1:55">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row>
    <row r="475" spans="1:5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row>
    <row r="476" spans="1:55">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row>
    <row r="477" spans="1:55">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row>
    <row r="478" spans="1:55">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row>
    <row r="479" spans="1:55">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row>
    <row r="480" spans="1:55">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row>
    <row r="481" spans="1:55">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row>
    <row r="482" spans="1:55">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row>
    <row r="483" spans="1:55">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row>
    <row r="484" spans="1:55">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row>
    <row r="485" spans="1:5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row>
    <row r="486" spans="1:55">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row>
    <row r="487" spans="1:55">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row>
    <row r="488" spans="1:55">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row>
    <row r="489" spans="1:55">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row>
    <row r="490" spans="1:55">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row>
    <row r="491" spans="1:55">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row>
    <row r="492" spans="1:55">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row>
    <row r="493" spans="1:55">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row>
    <row r="494" spans="1:55">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row>
    <row r="495" spans="1:5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row>
    <row r="496" spans="1:55">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row>
    <row r="497" spans="1:55">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row>
    <row r="498" spans="1:55">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row>
    <row r="499" spans="1:55">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row>
    <row r="500" spans="1:55">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row>
    <row r="501" spans="1:55">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row>
    <row r="502" spans="1:55">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row>
    <row r="503" spans="1:55">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row>
    <row r="504" spans="1:55">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row>
    <row r="505" spans="1:5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row>
    <row r="506" spans="1:55">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row>
    <row r="507" spans="1:55">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row>
    <row r="508" spans="1:55">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row>
    <row r="509" spans="1:55">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row>
    <row r="510" spans="1:55">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row>
    <row r="511" spans="1:55">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row>
    <row r="512" spans="1:55">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row>
    <row r="513" spans="1:55">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row>
    <row r="514" spans="1:55">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row>
    <row r="515" spans="1:5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row>
    <row r="516" spans="1:55">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row>
    <row r="517" spans="1:55">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row>
    <row r="518" spans="1:55">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row>
    <row r="519" spans="1:55">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row>
    <row r="520" spans="1:55">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row>
    <row r="521" spans="1:55">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row>
    <row r="522" spans="1:55">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row>
    <row r="523" spans="1:55">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row>
    <row r="524" spans="1:55">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row>
    <row r="525" spans="1:5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row>
    <row r="526" spans="1:55">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row>
    <row r="527" spans="1:55">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row>
    <row r="528" spans="1:55">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row>
    <row r="529" spans="1:55">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row>
    <row r="530" spans="1:55">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row>
    <row r="531" spans="1:55">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row>
    <row r="532" spans="1:55">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row>
    <row r="533" spans="1:55">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row>
    <row r="534" spans="1:55">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row>
    <row r="535" spans="1:5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row>
    <row r="536" spans="1:55">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row>
    <row r="537" spans="1:55">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row>
    <row r="538" spans="1:55">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row>
    <row r="539" spans="1:55">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row>
    <row r="540" spans="1:55">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row>
    <row r="541" spans="1:55">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row>
    <row r="542" spans="1:55">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row>
    <row r="543" spans="1:55">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row>
    <row r="544" spans="1:55">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row>
    <row r="545" spans="1:5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row>
    <row r="546" spans="1:55">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row>
    <row r="547" spans="1:55">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row>
    <row r="548" spans="1:55">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row>
    <row r="549" spans="1:55">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row>
    <row r="550" spans="1:55">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row>
    <row r="551" spans="1:55">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row>
    <row r="552" spans="1:55">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row>
    <row r="553" spans="1:55">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row>
    <row r="554" spans="1:55">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row>
    <row r="555" spans="1: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row>
    <row r="556" spans="1:55">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row>
    <row r="557" spans="1:55">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row>
    <row r="558" spans="1:55">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row>
    <row r="559" spans="1:55">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row>
    <row r="560" spans="1:55">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row>
    <row r="561" spans="1:55">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row>
    <row r="562" spans="1:55">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row>
    <row r="563" spans="1:55">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row>
    <row r="564" spans="1:55">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row>
    <row r="565" spans="1:5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row>
    <row r="566" spans="1:55">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row>
    <row r="567" spans="1:55">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row>
    <row r="568" spans="1:55">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row>
    <row r="569" spans="1:55">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row>
    <row r="570" spans="1:55">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row>
    <row r="571" spans="1:55">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row>
    <row r="572" spans="1:55">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row>
    <row r="573" spans="1:55">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row>
    <row r="574" spans="1:55">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row>
    <row r="575" spans="1:5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row>
    <row r="576" spans="1:55">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row>
    <row r="577" spans="1:55">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row>
    <row r="578" spans="1:55">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row>
    <row r="579" spans="1:55">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row>
    <row r="580" spans="1:55">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row>
    <row r="581" spans="1:55">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row>
    <row r="582" spans="1:55">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row>
    <row r="583" spans="1:55">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row>
    <row r="584" spans="1:55">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row>
    <row r="585" spans="1:5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row>
    <row r="586" spans="1:55">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row>
    <row r="587" spans="1:55">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row>
    <row r="588" spans="1:55">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row>
    <row r="589" spans="1:55">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row>
    <row r="590" spans="1:55">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row>
    <row r="591" spans="1:55">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row>
    <row r="592" spans="1:55">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row>
    <row r="593" spans="1:55">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row>
    <row r="594" spans="1:55">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row>
    <row r="595" spans="1:5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row>
    <row r="596" spans="1:55">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row>
    <row r="597" spans="1:55">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row>
    <row r="598" spans="1:55">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row>
    <row r="599" spans="1:55">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row>
    <row r="600" spans="1:55">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row>
    <row r="601" spans="1:55">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row>
    <row r="602" spans="1:55">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row>
  </sheetData>
  <mergeCells count="10">
    <mergeCell ref="A36:E36"/>
    <mergeCell ref="A30:B30"/>
    <mergeCell ref="C30:E30"/>
    <mergeCell ref="C32:E32"/>
    <mergeCell ref="B5:D5"/>
    <mergeCell ref="B6:D6"/>
    <mergeCell ref="B7:D7"/>
    <mergeCell ref="B8:D8"/>
    <mergeCell ref="B12:E12"/>
    <mergeCell ref="B10:E10"/>
  </mergeCells>
  <phoneticPr fontId="2" type="noConversion"/>
  <conditionalFormatting sqref="B10:E10 B12:E12">
    <cfRule type="cellIs" dxfId="11" priority="1" stopIfTrue="1" operator="equal">
      <formula>$Z1</formula>
    </cfRule>
  </conditionalFormatting>
  <conditionalFormatting sqref="E16 B17 E21:E25 B27 C30:E30 C32:E32 B34 B9">
    <cfRule type="cellIs" dxfId="10" priority="2" stopIfTrue="1" operator="equal">
      <formula>$Z$1</formula>
    </cfRule>
  </conditionalFormatting>
  <conditionalFormatting sqref="B19 E19">
    <cfRule type="cellIs" dxfId="9" priority="3" stopIfTrue="1" operator="greaterThan">
      <formula>43831</formula>
    </cfRule>
    <cfRule type="cellIs" dxfId="8" priority="4" stopIfTrue="1" operator="lessThan">
      <formula>39448</formula>
    </cfRule>
    <cfRule type="cellIs" dxfId="7" priority="5" stopIfTrue="1" operator="equal">
      <formula>39448</formula>
    </cfRule>
  </conditionalFormatting>
  <conditionalFormatting sqref="B8:D8">
    <cfRule type="cellIs" dxfId="6" priority="6" stopIfTrue="1" operator="equal">
      <formula>$Y$20999</formula>
    </cfRule>
  </conditionalFormatting>
  <hyperlinks>
    <hyperlink ref="A17" location="Instructions!B50" tooltip="Based on the selection in the &quot;Requested By&quot; field, enter the cooresponding information" display="Requested by Description:"/>
    <hyperlink ref="A16" location="Instructions!B48" tooltip="Using the drop down menu, select the applicable option (1. Original Contract, 2. Contract Mod, 3. COR MOD, 4. Other MOD, 5. Corporate, 6. An Individual).  Only one selection is permitted per JI Form." display="Requested by:"/>
    <hyperlink ref="A14" location="Instructions!B44" tooltip="Using the drop down menu, select the applicable Division (Corporate, Fort Wainwright, Fort Richardson or Fort Greely).  Only one selection is permitted per JI Form." display="Division:"/>
    <hyperlink ref="D14" location="Instructions!B46" tooltip="Using the drop down menu, select the applicable Utility (Corporate, Natural Gas, Water, Waste Water, Electric Distribution, Central Heating Plant).  Only one selection is permitted per JI Form." display="Utility:"/>
    <hyperlink ref="D16" location="Instructions!B59" tooltip="Enter the name of the Project Manager for this job. " display="Project Manager:"/>
    <hyperlink ref="A10" location="Instructions!B40" tooltip=" This field will carry forward as the name or title of the job.  " display="Job Description (Short):"/>
    <hyperlink ref="A12" location="Instructions!B42" tooltip="Explain what the project is setting out to achieve.  Be as specific as you can.  Target: One paragraph." display="Job Description (Long):"/>
    <hyperlink ref="A19" location="Instructions!B61" tooltip="Enter the start date of the project.  This is the date that we will begin spending money (manpower, supplies, contracts, etc.)." display="Start Date:"/>
    <hyperlink ref="D19" location="Instructions!B63" tooltip="Enter the expected end of construction date. " display="Est Completion Date:"/>
    <hyperlink ref="A21" location="Instructions!B65" tooltip="Enter one or more retirement units if known.  Data in this field should coorespond with those in the field titled, &quot;Subclass Cost Estimate&quot;." display="Subclasses:"/>
    <hyperlink ref="D21" location="Instructions!B69" tooltip="Enter the cost estimate of each of the retirement units if known.  The total of all subclass estimates should be the same as the full cost estimate for the Job." display="Subclass Cost Estimate"/>
    <hyperlink ref="A27" location="Instructions!B72" tooltip="Enter the cost estimate of the entire job.  The total of all subclass estimates should be the same as the full cost estimate for the Job.  Updates should be provided to Accounting as better information becomes available." display="Cost Estimate:"/>
    <hyperlink ref="A29" location="Instructions!B74" tooltip="Provide a current Cash Flow estimate within the CashFlow tab, or attach to the completed JI Form for approval.  Cash Flow should be broken out by year/quarter or year/month.  Updates should be provided to Accounting as better information becomes available" display="Cash Flow Estimate:"/>
    <hyperlink ref="A30:B30" location="Instructions!B77" tooltip="List the associated capital items that will be removed from service (demolished, retired, scrapped, sold, etc.) due to the completion of this job. Please include description, age, size, quantity, manufacturer, location, etc." display="Description of retirements:"/>
    <hyperlink ref="A32" location="Instructions!B79" tooltip="List any additional comments, pictures, maps, etc. for reference in the Job file." display="Additional comments:"/>
    <hyperlink ref="A34" location="Instructions!B81" tooltip="Enter your name " display="Your name:"/>
  </hyperlinks>
  <printOptions horizontalCentered="1"/>
  <pageMargins left="0.66" right="0.32" top="0.6" bottom="0.71" header="0.42" footer="0.39"/>
  <pageSetup orientation="portrait" r:id="rId1"/>
  <headerFooter alignWithMargins="0">
    <oddFooter>&amp;L&amp;8&amp;Z&amp;F&amp;R&amp;8&amp;D&amp;T</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6146" r:id="rId4" name="Drop Down 2">
              <controlPr defaultSize="0" autoLine="0" autoPict="0">
                <anchor moveWithCells="1">
                  <from>
                    <xdr:col>1</xdr:col>
                    <xdr:colOff>28575</xdr:colOff>
                    <xdr:row>13</xdr:row>
                    <xdr:rowOff>28575</xdr:rowOff>
                  </from>
                  <to>
                    <xdr:col>2</xdr:col>
                    <xdr:colOff>38100</xdr:colOff>
                    <xdr:row>13</xdr:row>
                    <xdr:rowOff>228600</xdr:rowOff>
                  </to>
                </anchor>
              </controlPr>
            </control>
          </mc:Choice>
        </mc:AlternateContent>
        <mc:AlternateContent xmlns:mc="http://schemas.openxmlformats.org/markup-compatibility/2006">
          <mc:Choice Requires="x14">
            <control shapeId="6147" r:id="rId5" name="Drop Down 3">
              <controlPr defaultSize="0" autoLine="0" autoPict="0">
                <anchor moveWithCells="1">
                  <from>
                    <xdr:col>1</xdr:col>
                    <xdr:colOff>28575</xdr:colOff>
                    <xdr:row>15</xdr:row>
                    <xdr:rowOff>28575</xdr:rowOff>
                  </from>
                  <to>
                    <xdr:col>2</xdr:col>
                    <xdr:colOff>38100</xdr:colOff>
                    <xdr:row>15</xdr:row>
                    <xdr:rowOff>228600</xdr:rowOff>
                  </to>
                </anchor>
              </controlPr>
            </control>
          </mc:Choice>
        </mc:AlternateContent>
        <mc:AlternateContent xmlns:mc="http://schemas.openxmlformats.org/markup-compatibility/2006">
          <mc:Choice Requires="x14">
            <control shapeId="6148" r:id="rId6" name="Drop Down 4">
              <controlPr defaultSize="0" autoLine="0" autoPict="0">
                <anchor moveWithCells="1">
                  <from>
                    <xdr:col>4</xdr:col>
                    <xdr:colOff>28575</xdr:colOff>
                    <xdr:row>13</xdr:row>
                    <xdr:rowOff>28575</xdr:rowOff>
                  </from>
                  <to>
                    <xdr:col>4</xdr:col>
                    <xdr:colOff>1304925</xdr:colOff>
                    <xdr:row>13</xdr:row>
                    <xdr:rowOff>228600</xdr:rowOff>
                  </to>
                </anchor>
              </controlPr>
            </control>
          </mc:Choice>
        </mc:AlternateContent>
        <mc:AlternateContent xmlns:mc="http://schemas.openxmlformats.org/markup-compatibility/2006">
          <mc:Choice Requires="x14">
            <control shapeId="6149" r:id="rId7" name="Drop Down 5">
              <controlPr defaultSize="0" autoLine="0" autoPict="0">
                <anchor moveWithCells="1">
                  <from>
                    <xdr:col>1</xdr:col>
                    <xdr:colOff>28575</xdr:colOff>
                    <xdr:row>20</xdr:row>
                    <xdr:rowOff>28575</xdr:rowOff>
                  </from>
                  <to>
                    <xdr:col>2</xdr:col>
                    <xdr:colOff>38100</xdr:colOff>
                    <xdr:row>20</xdr:row>
                    <xdr:rowOff>228600</xdr:rowOff>
                  </to>
                </anchor>
              </controlPr>
            </control>
          </mc:Choice>
        </mc:AlternateContent>
        <mc:AlternateContent xmlns:mc="http://schemas.openxmlformats.org/markup-compatibility/2006">
          <mc:Choice Requires="x14">
            <control shapeId="6150" r:id="rId8" name="Drop Down 6">
              <controlPr defaultSize="0" autoLine="0" autoPict="0">
                <anchor moveWithCells="1">
                  <from>
                    <xdr:col>1</xdr:col>
                    <xdr:colOff>28575</xdr:colOff>
                    <xdr:row>21</xdr:row>
                    <xdr:rowOff>28575</xdr:rowOff>
                  </from>
                  <to>
                    <xdr:col>2</xdr:col>
                    <xdr:colOff>38100</xdr:colOff>
                    <xdr:row>21</xdr:row>
                    <xdr:rowOff>228600</xdr:rowOff>
                  </to>
                </anchor>
              </controlPr>
            </control>
          </mc:Choice>
        </mc:AlternateContent>
        <mc:AlternateContent xmlns:mc="http://schemas.openxmlformats.org/markup-compatibility/2006">
          <mc:Choice Requires="x14">
            <control shapeId="6151" r:id="rId9" name="Drop Down 7">
              <controlPr defaultSize="0" autoLine="0" autoPict="0">
                <anchor moveWithCells="1">
                  <from>
                    <xdr:col>1</xdr:col>
                    <xdr:colOff>28575</xdr:colOff>
                    <xdr:row>22</xdr:row>
                    <xdr:rowOff>28575</xdr:rowOff>
                  </from>
                  <to>
                    <xdr:col>2</xdr:col>
                    <xdr:colOff>38100</xdr:colOff>
                    <xdr:row>22</xdr:row>
                    <xdr:rowOff>228600</xdr:rowOff>
                  </to>
                </anchor>
              </controlPr>
            </control>
          </mc:Choice>
        </mc:AlternateContent>
        <mc:AlternateContent xmlns:mc="http://schemas.openxmlformats.org/markup-compatibility/2006">
          <mc:Choice Requires="x14">
            <control shapeId="6152" r:id="rId10" name="Drop Down 8">
              <controlPr defaultSize="0" autoLine="0" autoPict="0">
                <anchor moveWithCells="1">
                  <from>
                    <xdr:col>1</xdr:col>
                    <xdr:colOff>28575</xdr:colOff>
                    <xdr:row>23</xdr:row>
                    <xdr:rowOff>28575</xdr:rowOff>
                  </from>
                  <to>
                    <xdr:col>2</xdr:col>
                    <xdr:colOff>38100</xdr:colOff>
                    <xdr:row>23</xdr:row>
                    <xdr:rowOff>228600</xdr:rowOff>
                  </to>
                </anchor>
              </controlPr>
            </control>
          </mc:Choice>
        </mc:AlternateContent>
        <mc:AlternateContent xmlns:mc="http://schemas.openxmlformats.org/markup-compatibility/2006">
          <mc:Choice Requires="x14">
            <control shapeId="6153" r:id="rId11" name="Drop Down 9">
              <controlPr defaultSize="0" autoLine="0" autoPict="0">
                <anchor moveWithCells="1">
                  <from>
                    <xdr:col>1</xdr:col>
                    <xdr:colOff>28575</xdr:colOff>
                    <xdr:row>24</xdr:row>
                    <xdr:rowOff>28575</xdr:rowOff>
                  </from>
                  <to>
                    <xdr:col>2</xdr:col>
                    <xdr:colOff>38100</xdr:colOff>
                    <xdr:row>24</xdr:row>
                    <xdr:rowOff>228600</xdr:rowOff>
                  </to>
                </anchor>
              </controlPr>
            </control>
          </mc:Choice>
        </mc:AlternateContent>
        <mc:AlternateContent xmlns:mc="http://schemas.openxmlformats.org/markup-compatibility/2006">
          <mc:Choice Requires="x14">
            <control shapeId="6154" r:id="rId12" name="Drop Down 10">
              <controlPr defaultSize="0" autoLine="0" autoPict="0">
                <anchor moveWithCells="1">
                  <from>
                    <xdr:col>1</xdr:col>
                    <xdr:colOff>28575</xdr:colOff>
                    <xdr:row>28</xdr:row>
                    <xdr:rowOff>28575</xdr:rowOff>
                  </from>
                  <to>
                    <xdr:col>2</xdr:col>
                    <xdr:colOff>38100</xdr:colOff>
                    <xdr:row>28</xdr:row>
                    <xdr:rowOff>228600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9"/>
  <sheetViews>
    <sheetView zoomScaleNormal="100" workbookViewId="0">
      <pane xSplit="1" ySplit="1" topLeftCell="B179" activePane="bottomRight" state="frozen"/>
      <selection pane="topRight" activeCell="B1" sqref="B1"/>
      <selection pane="bottomLeft" activeCell="A2" sqref="A2"/>
      <selection pane="bottomRight" activeCell="A228" sqref="A228"/>
    </sheetView>
  </sheetViews>
  <sheetFormatPr defaultRowHeight="12.75"/>
  <cols>
    <col min="1" max="1" width="17.140625" customWidth="1"/>
    <col min="2" max="2" width="27" customWidth="1"/>
    <col min="3" max="3" width="47.28515625" bestFit="1" customWidth="1"/>
    <col min="6" max="7" width="9.140625" style="1"/>
  </cols>
  <sheetData>
    <row r="1" spans="1:7" ht="41.25" customHeight="1">
      <c r="A1" s="3" t="s">
        <v>15</v>
      </c>
      <c r="B1" s="3" t="s">
        <v>16</v>
      </c>
      <c r="C1" s="3" t="s">
        <v>17</v>
      </c>
      <c r="D1" s="3" t="s">
        <v>18</v>
      </c>
      <c r="E1" s="3" t="s">
        <v>19</v>
      </c>
      <c r="F1" s="3" t="s">
        <v>20</v>
      </c>
      <c r="G1" s="3" t="s">
        <v>21</v>
      </c>
    </row>
    <row r="2" spans="1:7" s="61" customFormat="1">
      <c r="A2" s="7" t="s">
        <v>215</v>
      </c>
      <c r="B2" s="7" t="s">
        <v>216</v>
      </c>
      <c r="C2" s="7" t="s">
        <v>217</v>
      </c>
      <c r="D2" s="8" t="s">
        <v>213</v>
      </c>
      <c r="E2" s="8" t="s">
        <v>218</v>
      </c>
      <c r="F2" s="60">
        <v>20</v>
      </c>
      <c r="G2" s="60" t="s">
        <v>35</v>
      </c>
    </row>
    <row r="3" spans="1:7" s="61" customFormat="1">
      <c r="A3" s="7" t="s">
        <v>219</v>
      </c>
      <c r="B3" s="7" t="s">
        <v>216</v>
      </c>
      <c r="C3" s="7" t="s">
        <v>220</v>
      </c>
      <c r="D3" s="8" t="s">
        <v>213</v>
      </c>
      <c r="E3" s="60">
        <v>50</v>
      </c>
      <c r="F3" s="60">
        <v>20</v>
      </c>
      <c r="G3" s="60" t="s">
        <v>35</v>
      </c>
    </row>
    <row r="4" spans="1:7" s="61" customFormat="1">
      <c r="A4" s="7" t="s">
        <v>249</v>
      </c>
      <c r="B4" s="4" t="s">
        <v>250</v>
      </c>
      <c r="C4" s="4" t="s">
        <v>251</v>
      </c>
      <c r="D4" s="8" t="s">
        <v>213</v>
      </c>
      <c r="E4" s="60">
        <v>35</v>
      </c>
      <c r="F4" s="60">
        <v>20</v>
      </c>
      <c r="G4" s="60" t="s">
        <v>35</v>
      </c>
    </row>
    <row r="5" spans="1:7" s="61" customFormat="1">
      <c r="A5" s="7" t="s">
        <v>221</v>
      </c>
      <c r="B5" s="7" t="s">
        <v>216</v>
      </c>
      <c r="C5" s="4" t="s">
        <v>222</v>
      </c>
      <c r="D5" s="8" t="s">
        <v>213</v>
      </c>
      <c r="E5" s="60">
        <v>35</v>
      </c>
      <c r="F5" s="60">
        <v>20</v>
      </c>
      <c r="G5" s="60" t="s">
        <v>35</v>
      </c>
    </row>
    <row r="6" spans="1:7" s="61" customFormat="1">
      <c r="A6" s="7" t="s">
        <v>223</v>
      </c>
      <c r="B6" s="7" t="s">
        <v>216</v>
      </c>
      <c r="C6" s="4" t="s">
        <v>224</v>
      </c>
      <c r="D6" s="8" t="s">
        <v>213</v>
      </c>
      <c r="E6" s="60">
        <v>35</v>
      </c>
      <c r="F6" s="60">
        <v>20</v>
      </c>
      <c r="G6" s="60" t="s">
        <v>35</v>
      </c>
    </row>
    <row r="7" spans="1:7" s="61" customFormat="1">
      <c r="A7" s="7" t="s">
        <v>225</v>
      </c>
      <c r="B7" s="7" t="s">
        <v>216</v>
      </c>
      <c r="C7" s="4" t="s">
        <v>226</v>
      </c>
      <c r="D7" s="8" t="s">
        <v>213</v>
      </c>
      <c r="E7" s="60">
        <v>35</v>
      </c>
      <c r="F7" s="60">
        <v>20</v>
      </c>
      <c r="G7" s="60" t="s">
        <v>35</v>
      </c>
    </row>
    <row r="8" spans="1:7" s="61" customFormat="1">
      <c r="A8" s="7" t="s">
        <v>266</v>
      </c>
      <c r="B8" s="4" t="s">
        <v>68</v>
      </c>
      <c r="C8" s="7" t="s">
        <v>270</v>
      </c>
      <c r="D8" s="8" t="s">
        <v>213</v>
      </c>
      <c r="E8" s="60">
        <v>50</v>
      </c>
      <c r="F8" s="60">
        <v>20</v>
      </c>
      <c r="G8" s="60" t="s">
        <v>35</v>
      </c>
    </row>
    <row r="9" spans="1:7" s="61" customFormat="1">
      <c r="A9" s="7" t="s">
        <v>269</v>
      </c>
      <c r="B9" s="4" t="s">
        <v>68</v>
      </c>
      <c r="C9" s="4" t="s">
        <v>267</v>
      </c>
      <c r="D9" s="8" t="s">
        <v>213</v>
      </c>
      <c r="E9" s="60" t="s">
        <v>268</v>
      </c>
      <c r="F9" s="60">
        <v>20</v>
      </c>
      <c r="G9" s="60" t="s">
        <v>35</v>
      </c>
    </row>
    <row r="10" spans="1:7" s="61" customFormat="1">
      <c r="A10" s="7" t="s">
        <v>551</v>
      </c>
      <c r="B10" s="4" t="s">
        <v>68</v>
      </c>
      <c r="C10" s="4" t="s">
        <v>552</v>
      </c>
      <c r="D10" s="8" t="s">
        <v>213</v>
      </c>
      <c r="E10" s="60">
        <v>20</v>
      </c>
      <c r="F10" s="60">
        <v>20</v>
      </c>
      <c r="G10" s="60" t="s">
        <v>35</v>
      </c>
    </row>
    <row r="11" spans="1:7" s="61" customFormat="1">
      <c r="A11" s="7" t="s">
        <v>271</v>
      </c>
      <c r="B11" s="4" t="s">
        <v>68</v>
      </c>
      <c r="C11" s="7" t="s">
        <v>272</v>
      </c>
      <c r="D11" s="8" t="s">
        <v>213</v>
      </c>
      <c r="E11" s="60">
        <v>40</v>
      </c>
      <c r="F11" s="60">
        <v>20</v>
      </c>
      <c r="G11" s="60" t="s">
        <v>35</v>
      </c>
    </row>
    <row r="12" spans="1:7" s="61" customFormat="1">
      <c r="A12" s="7" t="s">
        <v>474</v>
      </c>
      <c r="B12" s="4" t="s">
        <v>68</v>
      </c>
      <c r="C12" s="7" t="s">
        <v>476</v>
      </c>
      <c r="D12" s="8" t="s">
        <v>213</v>
      </c>
      <c r="E12" s="60">
        <v>40</v>
      </c>
      <c r="F12" s="60">
        <v>20</v>
      </c>
      <c r="G12" s="60" t="s">
        <v>35</v>
      </c>
    </row>
    <row r="13" spans="1:7" s="61" customFormat="1">
      <c r="A13" s="7" t="s">
        <v>475</v>
      </c>
      <c r="B13" s="4" t="s">
        <v>68</v>
      </c>
      <c r="C13" s="7" t="s">
        <v>477</v>
      </c>
      <c r="D13" s="8" t="s">
        <v>213</v>
      </c>
      <c r="E13" s="60">
        <v>40</v>
      </c>
      <c r="F13" s="60">
        <v>20</v>
      </c>
      <c r="G13" s="60" t="s">
        <v>35</v>
      </c>
    </row>
    <row r="14" spans="1:7" s="61" customFormat="1">
      <c r="A14" s="7" t="s">
        <v>273</v>
      </c>
      <c r="B14" s="4" t="s">
        <v>68</v>
      </c>
      <c r="C14" s="7" t="s">
        <v>274</v>
      </c>
      <c r="D14" s="8" t="s">
        <v>213</v>
      </c>
      <c r="E14" s="60">
        <v>60</v>
      </c>
      <c r="F14" s="60">
        <v>20</v>
      </c>
      <c r="G14" s="60" t="s">
        <v>35</v>
      </c>
    </row>
    <row r="15" spans="1:7" s="61" customFormat="1">
      <c r="A15" s="7" t="s">
        <v>478</v>
      </c>
      <c r="B15" s="4" t="s">
        <v>68</v>
      </c>
      <c r="C15" s="7" t="s">
        <v>481</v>
      </c>
      <c r="D15" s="8" t="s">
        <v>213</v>
      </c>
      <c r="E15" s="60">
        <v>60</v>
      </c>
      <c r="F15" s="60">
        <v>20</v>
      </c>
      <c r="G15" s="60" t="s">
        <v>35</v>
      </c>
    </row>
    <row r="16" spans="1:7" s="61" customFormat="1">
      <c r="A16" s="7" t="s">
        <v>479</v>
      </c>
      <c r="B16" s="4" t="s">
        <v>68</v>
      </c>
      <c r="C16" s="7" t="s">
        <v>482</v>
      </c>
      <c r="D16" s="8" t="s">
        <v>213</v>
      </c>
      <c r="E16" s="60">
        <v>60</v>
      </c>
      <c r="F16" s="60">
        <v>20</v>
      </c>
      <c r="G16" s="60" t="s">
        <v>35</v>
      </c>
    </row>
    <row r="17" spans="1:7" s="61" customFormat="1">
      <c r="A17" s="7" t="s">
        <v>480</v>
      </c>
      <c r="B17" s="4" t="s">
        <v>68</v>
      </c>
      <c r="C17" s="7" t="s">
        <v>483</v>
      </c>
      <c r="D17" s="8" t="s">
        <v>213</v>
      </c>
      <c r="E17" s="60" t="s">
        <v>268</v>
      </c>
      <c r="F17" s="60">
        <v>20</v>
      </c>
      <c r="G17" s="60" t="s">
        <v>35</v>
      </c>
    </row>
    <row r="18" spans="1:7" s="61" customFormat="1">
      <c r="A18" s="7" t="s">
        <v>227</v>
      </c>
      <c r="B18" s="7" t="s">
        <v>216</v>
      </c>
      <c r="C18" s="7" t="s">
        <v>143</v>
      </c>
      <c r="D18" s="8" t="s">
        <v>213</v>
      </c>
      <c r="E18" s="60">
        <v>45</v>
      </c>
      <c r="F18" s="60">
        <v>20</v>
      </c>
      <c r="G18" s="60" t="s">
        <v>35</v>
      </c>
    </row>
    <row r="19" spans="1:7" s="61" customFormat="1">
      <c r="A19" s="7" t="s">
        <v>228</v>
      </c>
      <c r="B19" s="7" t="s">
        <v>216</v>
      </c>
      <c r="C19" s="7" t="s">
        <v>229</v>
      </c>
      <c r="D19" s="8" t="s">
        <v>213</v>
      </c>
      <c r="E19" s="60">
        <v>55</v>
      </c>
      <c r="F19" s="60">
        <v>20</v>
      </c>
      <c r="G19" s="60" t="s">
        <v>35</v>
      </c>
    </row>
    <row r="20" spans="1:7" s="61" customFormat="1">
      <c r="A20" s="7" t="s">
        <v>230</v>
      </c>
      <c r="B20" s="7" t="s">
        <v>216</v>
      </c>
      <c r="C20" s="7" t="s">
        <v>231</v>
      </c>
      <c r="D20" s="8" t="s">
        <v>213</v>
      </c>
      <c r="E20" s="60">
        <v>75</v>
      </c>
      <c r="F20" s="60">
        <v>20</v>
      </c>
      <c r="G20" s="60" t="s">
        <v>35</v>
      </c>
    </row>
    <row r="21" spans="1:7" s="61" customFormat="1">
      <c r="A21" s="7" t="s">
        <v>467</v>
      </c>
      <c r="B21" s="7" t="s">
        <v>216</v>
      </c>
      <c r="C21" s="7" t="s">
        <v>465</v>
      </c>
      <c r="D21" s="8" t="s">
        <v>213</v>
      </c>
      <c r="E21" s="60">
        <v>75</v>
      </c>
      <c r="F21" s="60">
        <v>20</v>
      </c>
      <c r="G21" s="60" t="s">
        <v>35</v>
      </c>
    </row>
    <row r="22" spans="1:7" s="61" customFormat="1">
      <c r="A22" s="7" t="s">
        <v>468</v>
      </c>
      <c r="B22" s="7" t="s">
        <v>216</v>
      </c>
      <c r="C22" s="7" t="s">
        <v>48</v>
      </c>
      <c r="D22" s="8" t="s">
        <v>213</v>
      </c>
      <c r="E22" s="60">
        <v>75</v>
      </c>
      <c r="F22" s="60">
        <v>20</v>
      </c>
      <c r="G22" s="60" t="s">
        <v>35</v>
      </c>
    </row>
    <row r="23" spans="1:7" s="61" customFormat="1">
      <c r="A23" s="7" t="s">
        <v>469</v>
      </c>
      <c r="B23" s="7" t="s">
        <v>216</v>
      </c>
      <c r="C23" s="7" t="s">
        <v>466</v>
      </c>
      <c r="D23" s="8" t="s">
        <v>213</v>
      </c>
      <c r="E23" s="60">
        <v>75</v>
      </c>
      <c r="F23" s="60">
        <v>20</v>
      </c>
      <c r="G23" s="60" t="s">
        <v>35</v>
      </c>
    </row>
    <row r="24" spans="1:7" s="61" customFormat="1">
      <c r="A24" s="7" t="s">
        <v>232</v>
      </c>
      <c r="B24" s="7" t="s">
        <v>216</v>
      </c>
      <c r="C24" s="7" t="s">
        <v>233</v>
      </c>
      <c r="D24" s="8" t="s">
        <v>213</v>
      </c>
      <c r="E24" s="60">
        <v>75</v>
      </c>
      <c r="F24" s="60">
        <v>20</v>
      </c>
      <c r="G24" s="60" t="s">
        <v>35</v>
      </c>
    </row>
    <row r="25" spans="1:7" s="61" customFormat="1">
      <c r="A25" s="7" t="s">
        <v>234</v>
      </c>
      <c r="B25" s="7" t="s">
        <v>216</v>
      </c>
      <c r="C25" s="7" t="s">
        <v>41</v>
      </c>
      <c r="D25" s="8" t="s">
        <v>213</v>
      </c>
      <c r="E25" s="60">
        <v>40</v>
      </c>
      <c r="F25" s="60">
        <v>20</v>
      </c>
      <c r="G25" s="60" t="s">
        <v>35</v>
      </c>
    </row>
    <row r="26" spans="1:7" s="61" customFormat="1">
      <c r="A26" s="7" t="s">
        <v>235</v>
      </c>
      <c r="B26" s="7" t="s">
        <v>216</v>
      </c>
      <c r="C26" s="7" t="s">
        <v>236</v>
      </c>
      <c r="D26" s="8" t="s">
        <v>213</v>
      </c>
      <c r="E26" s="8" t="s">
        <v>237</v>
      </c>
      <c r="F26" s="60">
        <v>20</v>
      </c>
      <c r="G26" s="60" t="s">
        <v>35</v>
      </c>
    </row>
    <row r="27" spans="1:7" s="61" customFormat="1">
      <c r="A27" s="4" t="s">
        <v>276</v>
      </c>
      <c r="B27" s="4" t="s">
        <v>277</v>
      </c>
      <c r="C27" s="4" t="s">
        <v>278</v>
      </c>
      <c r="D27" s="8" t="s">
        <v>213</v>
      </c>
      <c r="E27" s="60">
        <v>35</v>
      </c>
      <c r="F27" s="60">
        <v>20</v>
      </c>
      <c r="G27" s="60" t="s">
        <v>35</v>
      </c>
    </row>
    <row r="28" spans="1:7" s="61" customFormat="1">
      <c r="A28" s="4" t="s">
        <v>279</v>
      </c>
      <c r="B28" s="4" t="s">
        <v>277</v>
      </c>
      <c r="C28" s="4" t="s">
        <v>280</v>
      </c>
      <c r="D28" s="8" t="s">
        <v>213</v>
      </c>
      <c r="E28" s="60">
        <v>35</v>
      </c>
      <c r="F28" s="60">
        <v>20</v>
      </c>
      <c r="G28" s="60" t="s">
        <v>35</v>
      </c>
    </row>
    <row r="29" spans="1:7" s="61" customFormat="1">
      <c r="A29" s="4" t="s">
        <v>281</v>
      </c>
      <c r="B29" s="4" t="s">
        <v>277</v>
      </c>
      <c r="C29" s="4" t="s">
        <v>282</v>
      </c>
      <c r="D29" s="8" t="s">
        <v>213</v>
      </c>
      <c r="E29" s="60">
        <v>35</v>
      </c>
      <c r="F29" s="60">
        <v>20</v>
      </c>
      <c r="G29" s="60" t="s">
        <v>35</v>
      </c>
    </row>
    <row r="30" spans="1:7" s="61" customFormat="1">
      <c r="A30" s="4" t="s">
        <v>283</v>
      </c>
      <c r="B30" s="4" t="s">
        <v>277</v>
      </c>
      <c r="C30" s="4" t="s">
        <v>284</v>
      </c>
      <c r="D30" s="8" t="s">
        <v>213</v>
      </c>
      <c r="E30" s="60">
        <v>35</v>
      </c>
      <c r="F30" s="60">
        <v>20</v>
      </c>
      <c r="G30" s="60" t="s">
        <v>35</v>
      </c>
    </row>
    <row r="31" spans="1:7" s="61" customFormat="1">
      <c r="A31" s="4" t="s">
        <v>252</v>
      </c>
      <c r="B31" s="4" t="s">
        <v>250</v>
      </c>
      <c r="C31" s="4" t="s">
        <v>253</v>
      </c>
      <c r="D31" s="8" t="s">
        <v>213</v>
      </c>
      <c r="E31" s="60">
        <v>40</v>
      </c>
      <c r="F31" s="60">
        <v>20</v>
      </c>
      <c r="G31" s="60" t="s">
        <v>35</v>
      </c>
    </row>
    <row r="32" spans="1:7" s="61" customFormat="1">
      <c r="A32" s="4" t="s">
        <v>254</v>
      </c>
      <c r="B32" s="4" t="s">
        <v>250</v>
      </c>
      <c r="C32" s="4" t="s">
        <v>255</v>
      </c>
      <c r="D32" s="8" t="s">
        <v>213</v>
      </c>
      <c r="E32" s="60">
        <v>40</v>
      </c>
      <c r="F32" s="60">
        <v>20</v>
      </c>
      <c r="G32" s="60" t="s">
        <v>35</v>
      </c>
    </row>
    <row r="33" spans="1:7" s="61" customFormat="1">
      <c r="A33" s="4" t="s">
        <v>256</v>
      </c>
      <c r="B33" s="4" t="s">
        <v>250</v>
      </c>
      <c r="C33" s="4" t="s">
        <v>257</v>
      </c>
      <c r="D33" s="8" t="s">
        <v>213</v>
      </c>
      <c r="E33" s="60">
        <v>40</v>
      </c>
      <c r="F33" s="60">
        <v>20</v>
      </c>
      <c r="G33" s="60" t="s">
        <v>35</v>
      </c>
    </row>
    <row r="34" spans="1:7" s="61" customFormat="1">
      <c r="A34" s="4" t="s">
        <v>472</v>
      </c>
      <c r="B34" s="4" t="s">
        <v>250</v>
      </c>
      <c r="C34" s="4" t="s">
        <v>473</v>
      </c>
      <c r="D34" s="8" t="s">
        <v>213</v>
      </c>
      <c r="E34" s="60">
        <v>40</v>
      </c>
      <c r="F34" s="60">
        <v>20</v>
      </c>
      <c r="G34" s="60" t="s">
        <v>35</v>
      </c>
    </row>
    <row r="35" spans="1:7" s="61" customFormat="1">
      <c r="A35" s="4" t="s">
        <v>258</v>
      </c>
      <c r="B35" s="4" t="s">
        <v>250</v>
      </c>
      <c r="C35" s="4" t="s">
        <v>259</v>
      </c>
      <c r="D35" s="8" t="s">
        <v>213</v>
      </c>
      <c r="E35" s="60">
        <v>40</v>
      </c>
      <c r="F35" s="60">
        <v>20</v>
      </c>
      <c r="G35" s="60" t="s">
        <v>35</v>
      </c>
    </row>
    <row r="36" spans="1:7" s="61" customFormat="1">
      <c r="A36" s="4" t="s">
        <v>260</v>
      </c>
      <c r="B36" s="4" t="s">
        <v>250</v>
      </c>
      <c r="C36" s="4" t="s">
        <v>261</v>
      </c>
      <c r="D36" s="8" t="s">
        <v>213</v>
      </c>
      <c r="E36" s="60">
        <v>40</v>
      </c>
      <c r="F36" s="60">
        <v>20</v>
      </c>
      <c r="G36" s="60" t="s">
        <v>35</v>
      </c>
    </row>
    <row r="37" spans="1:7" s="61" customFormat="1">
      <c r="A37" s="4" t="s">
        <v>262</v>
      </c>
      <c r="B37" s="4" t="s">
        <v>250</v>
      </c>
      <c r="C37" s="4" t="s">
        <v>263</v>
      </c>
      <c r="D37" s="8" t="s">
        <v>213</v>
      </c>
      <c r="E37" s="60">
        <v>75</v>
      </c>
      <c r="F37" s="60">
        <v>20</v>
      </c>
      <c r="G37" s="60" t="s">
        <v>35</v>
      </c>
    </row>
    <row r="38" spans="1:7" s="61" customFormat="1">
      <c r="A38" s="4" t="s">
        <v>264</v>
      </c>
      <c r="B38" s="4" t="s">
        <v>250</v>
      </c>
      <c r="C38" s="4" t="s">
        <v>265</v>
      </c>
      <c r="D38" s="8" t="s">
        <v>213</v>
      </c>
      <c r="E38" s="60">
        <v>40</v>
      </c>
      <c r="F38" s="60">
        <v>20</v>
      </c>
      <c r="G38" s="60" t="s">
        <v>35</v>
      </c>
    </row>
    <row r="39" spans="1:7" s="61" customFormat="1">
      <c r="A39" s="4" t="s">
        <v>240</v>
      </c>
      <c r="B39" s="4" t="s">
        <v>241</v>
      </c>
      <c r="C39" s="4" t="s">
        <v>242</v>
      </c>
      <c r="D39" s="8" t="s">
        <v>213</v>
      </c>
      <c r="E39" s="60">
        <v>60</v>
      </c>
      <c r="F39" s="60">
        <v>20</v>
      </c>
      <c r="G39" s="60" t="s">
        <v>35</v>
      </c>
    </row>
    <row r="40" spans="1:7" s="61" customFormat="1">
      <c r="A40" s="4" t="s">
        <v>243</v>
      </c>
      <c r="B40" s="4" t="s">
        <v>241</v>
      </c>
      <c r="C40" s="4" t="s">
        <v>244</v>
      </c>
      <c r="D40" s="8" t="s">
        <v>213</v>
      </c>
      <c r="E40" s="60">
        <v>60</v>
      </c>
      <c r="F40" s="60">
        <v>20</v>
      </c>
      <c r="G40" s="60" t="s">
        <v>35</v>
      </c>
    </row>
    <row r="41" spans="1:7" s="61" customFormat="1">
      <c r="A41" s="4" t="s">
        <v>245</v>
      </c>
      <c r="B41" s="4" t="s">
        <v>241</v>
      </c>
      <c r="C41" s="4" t="s">
        <v>246</v>
      </c>
      <c r="D41" s="8" t="s">
        <v>213</v>
      </c>
      <c r="E41" s="60">
        <v>60</v>
      </c>
      <c r="F41" s="60">
        <v>20</v>
      </c>
      <c r="G41" s="60" t="s">
        <v>35</v>
      </c>
    </row>
    <row r="42" spans="1:7" s="61" customFormat="1">
      <c r="A42" s="4" t="s">
        <v>470</v>
      </c>
      <c r="B42" s="4" t="s">
        <v>241</v>
      </c>
      <c r="C42" s="4" t="s">
        <v>471</v>
      </c>
      <c r="D42" s="8" t="s">
        <v>213</v>
      </c>
      <c r="E42" s="60">
        <v>60</v>
      </c>
      <c r="F42" s="60">
        <v>20</v>
      </c>
      <c r="G42" s="60" t="s">
        <v>35</v>
      </c>
    </row>
    <row r="43" spans="1:7" s="61" customFormat="1">
      <c r="A43" s="4" t="s">
        <v>247</v>
      </c>
      <c r="B43" s="4" t="s">
        <v>241</v>
      </c>
      <c r="C43" s="4" t="s">
        <v>248</v>
      </c>
      <c r="D43" s="8" t="s">
        <v>213</v>
      </c>
      <c r="E43" s="60">
        <v>60</v>
      </c>
      <c r="F43" s="60">
        <v>20</v>
      </c>
      <c r="G43" s="60" t="s">
        <v>35</v>
      </c>
    </row>
    <row r="44" spans="1:7" s="61" customFormat="1">
      <c r="A44" s="4" t="s">
        <v>212</v>
      </c>
      <c r="B44" s="4" t="s">
        <v>23</v>
      </c>
      <c r="C44" s="4" t="s">
        <v>24</v>
      </c>
      <c r="D44" s="8" t="s">
        <v>213</v>
      </c>
      <c r="E44" s="60">
        <v>50</v>
      </c>
      <c r="F44" s="60">
        <v>50</v>
      </c>
      <c r="G44" s="60" t="s">
        <v>25</v>
      </c>
    </row>
    <row r="45" spans="1:7" s="61" customFormat="1">
      <c r="A45" s="4" t="s">
        <v>214</v>
      </c>
      <c r="B45" s="4" t="s">
        <v>23</v>
      </c>
      <c r="C45" s="4" t="s">
        <v>27</v>
      </c>
      <c r="D45" s="8" t="s">
        <v>213</v>
      </c>
      <c r="E45" s="60">
        <v>25</v>
      </c>
      <c r="F45" s="60">
        <v>7</v>
      </c>
      <c r="G45" s="60" t="s">
        <v>25</v>
      </c>
    </row>
    <row r="46" spans="1:7" s="61" customFormat="1">
      <c r="A46" s="4" t="s">
        <v>285</v>
      </c>
      <c r="B46" s="4" t="s">
        <v>97</v>
      </c>
      <c r="C46" s="4" t="s">
        <v>30</v>
      </c>
      <c r="D46" s="8" t="s">
        <v>213</v>
      </c>
      <c r="E46" s="60">
        <v>0</v>
      </c>
      <c r="F46" s="60">
        <v>0</v>
      </c>
      <c r="G46" s="60" t="s">
        <v>25</v>
      </c>
    </row>
    <row r="47" spans="1:7" s="61" customFormat="1">
      <c r="A47" s="4" t="s">
        <v>238</v>
      </c>
      <c r="B47" s="7" t="s">
        <v>216</v>
      </c>
      <c r="C47" s="4" t="s">
        <v>30</v>
      </c>
      <c r="D47" s="8" t="s">
        <v>213</v>
      </c>
      <c r="E47" s="60">
        <v>0</v>
      </c>
      <c r="F47" s="60">
        <v>0</v>
      </c>
      <c r="G47" s="60" t="s">
        <v>25</v>
      </c>
    </row>
    <row r="48" spans="1:7" s="61" customFormat="1">
      <c r="A48" s="4" t="s">
        <v>275</v>
      </c>
      <c r="B48" s="4" t="s">
        <v>68</v>
      </c>
      <c r="C48" s="4" t="s">
        <v>70</v>
      </c>
      <c r="D48" s="8" t="s">
        <v>213</v>
      </c>
      <c r="E48" s="60">
        <v>110</v>
      </c>
      <c r="F48" s="60">
        <v>20</v>
      </c>
      <c r="G48" s="60" t="s">
        <v>25</v>
      </c>
    </row>
    <row r="49" spans="1:7" s="61" customFormat="1">
      <c r="A49" s="4" t="s">
        <v>286</v>
      </c>
      <c r="B49" s="4" t="s">
        <v>97</v>
      </c>
      <c r="C49" s="4" t="s">
        <v>70</v>
      </c>
      <c r="D49" s="8" t="s">
        <v>213</v>
      </c>
      <c r="E49" s="60">
        <v>75</v>
      </c>
      <c r="F49" s="60">
        <v>39</v>
      </c>
      <c r="G49" s="60" t="s">
        <v>25</v>
      </c>
    </row>
    <row r="50" spans="1:7" s="61" customFormat="1">
      <c r="A50" s="4" t="s">
        <v>239</v>
      </c>
      <c r="B50" s="7" t="s">
        <v>216</v>
      </c>
      <c r="C50" s="4" t="s">
        <v>464</v>
      </c>
      <c r="D50" s="8" t="s">
        <v>213</v>
      </c>
      <c r="E50" s="60">
        <v>60</v>
      </c>
      <c r="F50" s="60">
        <v>39</v>
      </c>
      <c r="G50" s="60" t="s">
        <v>25</v>
      </c>
    </row>
    <row r="51" spans="1:7" s="61" customFormat="1">
      <c r="A51" s="4" t="s">
        <v>462</v>
      </c>
      <c r="B51" s="7" t="s">
        <v>216</v>
      </c>
      <c r="C51" s="4" t="s">
        <v>463</v>
      </c>
      <c r="D51" s="8" t="s">
        <v>213</v>
      </c>
      <c r="E51" s="60">
        <v>20</v>
      </c>
      <c r="F51" s="60">
        <v>20</v>
      </c>
      <c r="G51" s="60" t="s">
        <v>25</v>
      </c>
    </row>
    <row r="52" spans="1:7" s="61" customFormat="1">
      <c r="A52" s="4" t="s">
        <v>287</v>
      </c>
      <c r="B52" s="4" t="s">
        <v>97</v>
      </c>
      <c r="C52" s="4" t="s">
        <v>288</v>
      </c>
      <c r="D52" s="8" t="s">
        <v>213</v>
      </c>
      <c r="E52" s="60">
        <v>35</v>
      </c>
      <c r="F52" s="60">
        <v>20</v>
      </c>
      <c r="G52" s="60" t="s">
        <v>35</v>
      </c>
    </row>
    <row r="53" spans="1:7" s="61" customFormat="1">
      <c r="A53" s="4" t="s">
        <v>289</v>
      </c>
      <c r="B53" s="4" t="s">
        <v>97</v>
      </c>
      <c r="C53" s="4" t="s">
        <v>101</v>
      </c>
      <c r="D53" s="8" t="s">
        <v>213</v>
      </c>
      <c r="E53" s="8" t="s">
        <v>290</v>
      </c>
      <c r="F53" s="60">
        <v>7</v>
      </c>
      <c r="G53" s="60" t="s">
        <v>35</v>
      </c>
    </row>
    <row r="54" spans="1:7" s="61" customFormat="1">
      <c r="A54" s="4" t="s">
        <v>291</v>
      </c>
      <c r="B54" s="4" t="s">
        <v>97</v>
      </c>
      <c r="C54" s="4" t="s">
        <v>292</v>
      </c>
      <c r="D54" s="8" t="s">
        <v>213</v>
      </c>
      <c r="E54" s="60">
        <v>35</v>
      </c>
      <c r="F54" s="60">
        <v>20</v>
      </c>
      <c r="G54" s="60" t="s">
        <v>35</v>
      </c>
    </row>
    <row r="55" spans="1:7" s="61" customFormat="1">
      <c r="A55" s="4" t="s">
        <v>293</v>
      </c>
      <c r="B55" s="4" t="s">
        <v>97</v>
      </c>
      <c r="C55" s="4" t="s">
        <v>294</v>
      </c>
      <c r="D55" s="8" t="s">
        <v>213</v>
      </c>
      <c r="E55" s="60">
        <v>60</v>
      </c>
      <c r="F55" s="60">
        <v>20</v>
      </c>
      <c r="G55" s="60" t="s">
        <v>35</v>
      </c>
    </row>
    <row r="56" spans="1:7" s="61" customFormat="1">
      <c r="A56" s="4" t="s">
        <v>295</v>
      </c>
      <c r="B56" s="4" t="s">
        <v>97</v>
      </c>
      <c r="C56" s="4" t="s">
        <v>296</v>
      </c>
      <c r="D56" s="8" t="s">
        <v>213</v>
      </c>
      <c r="E56" s="60">
        <v>25</v>
      </c>
      <c r="F56" s="60">
        <v>20</v>
      </c>
      <c r="G56" s="60" t="s">
        <v>35</v>
      </c>
    </row>
    <row r="57" spans="1:7" s="61" customFormat="1">
      <c r="A57" s="4" t="s">
        <v>297</v>
      </c>
      <c r="B57" s="4" t="s">
        <v>97</v>
      </c>
      <c r="C57" s="4" t="s">
        <v>298</v>
      </c>
      <c r="D57" s="8" t="s">
        <v>213</v>
      </c>
      <c r="E57" s="60">
        <v>10</v>
      </c>
      <c r="F57" s="60">
        <v>7</v>
      </c>
      <c r="G57" s="60" t="s">
        <v>35</v>
      </c>
    </row>
    <row r="58" spans="1:7" s="61" customFormat="1">
      <c r="A58" s="4" t="s">
        <v>299</v>
      </c>
      <c r="B58" s="4" t="s">
        <v>97</v>
      </c>
      <c r="C58" s="4" t="s">
        <v>300</v>
      </c>
      <c r="D58" s="8" t="s">
        <v>213</v>
      </c>
      <c r="E58" s="60">
        <v>15</v>
      </c>
      <c r="F58" s="60">
        <v>5</v>
      </c>
      <c r="G58" s="60" t="s">
        <v>35</v>
      </c>
    </row>
    <row r="59" spans="1:7" s="61" customFormat="1">
      <c r="A59" s="4" t="s">
        <v>484</v>
      </c>
      <c r="B59" s="4" t="s">
        <v>97</v>
      </c>
      <c r="C59" s="4" t="s">
        <v>485</v>
      </c>
      <c r="D59" s="8" t="s">
        <v>213</v>
      </c>
      <c r="E59" s="60">
        <v>15</v>
      </c>
      <c r="F59" s="60">
        <v>5</v>
      </c>
      <c r="G59" s="60" t="s">
        <v>35</v>
      </c>
    </row>
    <row r="60" spans="1:7" s="61" customFormat="1">
      <c r="A60" s="4" t="s">
        <v>301</v>
      </c>
      <c r="B60" s="4" t="s">
        <v>97</v>
      </c>
      <c r="C60" s="4" t="s">
        <v>113</v>
      </c>
      <c r="D60" s="8" t="s">
        <v>213</v>
      </c>
      <c r="E60" s="60">
        <v>7</v>
      </c>
      <c r="F60" s="60">
        <v>5</v>
      </c>
      <c r="G60" s="60" t="s">
        <v>35</v>
      </c>
    </row>
    <row r="61" spans="1:7" s="61" customFormat="1">
      <c r="A61" s="4" t="s">
        <v>302</v>
      </c>
      <c r="B61" s="4" t="s">
        <v>97</v>
      </c>
      <c r="C61" s="4" t="s">
        <v>115</v>
      </c>
      <c r="D61" s="8" t="s">
        <v>213</v>
      </c>
      <c r="E61" s="60">
        <v>15</v>
      </c>
      <c r="F61" s="60">
        <v>5</v>
      </c>
      <c r="G61" s="60" t="s">
        <v>35</v>
      </c>
    </row>
    <row r="62" spans="1:7" s="61" customFormat="1">
      <c r="A62" s="4" t="s">
        <v>550</v>
      </c>
      <c r="B62" s="4" t="s">
        <v>97</v>
      </c>
      <c r="C62" s="4" t="s">
        <v>105</v>
      </c>
      <c r="D62" s="8" t="s">
        <v>213</v>
      </c>
      <c r="E62" s="60">
        <v>10</v>
      </c>
      <c r="F62" s="60">
        <v>7</v>
      </c>
      <c r="G62" s="60" t="s">
        <v>35</v>
      </c>
    </row>
    <row r="63" spans="1:7" s="61" customFormat="1">
      <c r="A63" s="4" t="s">
        <v>22</v>
      </c>
      <c r="B63" s="4" t="s">
        <v>23</v>
      </c>
      <c r="C63" s="4" t="s">
        <v>24</v>
      </c>
      <c r="D63" s="8">
        <v>301</v>
      </c>
      <c r="E63" s="60">
        <v>50</v>
      </c>
      <c r="F63" s="60">
        <v>50</v>
      </c>
      <c r="G63" s="60" t="s">
        <v>25</v>
      </c>
    </row>
    <row r="64" spans="1:7" s="61" customFormat="1">
      <c r="A64" s="4" t="s">
        <v>26</v>
      </c>
      <c r="B64" s="4" t="s">
        <v>23</v>
      </c>
      <c r="C64" s="4" t="s">
        <v>27</v>
      </c>
      <c r="D64" s="8">
        <v>303</v>
      </c>
      <c r="E64" s="60">
        <v>25</v>
      </c>
      <c r="F64" s="60">
        <v>7</v>
      </c>
      <c r="G64" s="60" t="s">
        <v>25</v>
      </c>
    </row>
    <row r="65" spans="1:7" s="61" customFormat="1">
      <c r="A65" s="4" t="s">
        <v>28</v>
      </c>
      <c r="B65" s="4" t="s">
        <v>29</v>
      </c>
      <c r="C65" s="4" t="s">
        <v>30</v>
      </c>
      <c r="D65" s="8">
        <v>310</v>
      </c>
      <c r="E65" s="60">
        <v>0</v>
      </c>
      <c r="F65" s="60">
        <v>0</v>
      </c>
      <c r="G65" s="60" t="s">
        <v>25</v>
      </c>
    </row>
    <row r="66" spans="1:7" s="61" customFormat="1">
      <c r="A66" s="4" t="s">
        <v>31</v>
      </c>
      <c r="B66" s="4" t="s">
        <v>29</v>
      </c>
      <c r="C66" s="4" t="s">
        <v>32</v>
      </c>
      <c r="D66" s="8">
        <v>311</v>
      </c>
      <c r="E66" s="60">
        <v>50</v>
      </c>
      <c r="F66" s="60">
        <v>39</v>
      </c>
      <c r="G66" s="60" t="s">
        <v>25</v>
      </c>
    </row>
    <row r="67" spans="1:7" s="61" customFormat="1">
      <c r="A67" s="4" t="s">
        <v>33</v>
      </c>
      <c r="B67" s="4" t="s">
        <v>29</v>
      </c>
      <c r="C67" s="4" t="s">
        <v>34</v>
      </c>
      <c r="D67" s="8">
        <v>312</v>
      </c>
      <c r="E67" s="60">
        <v>75</v>
      </c>
      <c r="F67" s="60">
        <v>20</v>
      </c>
      <c r="G67" s="60" t="s">
        <v>35</v>
      </c>
    </row>
    <row r="68" spans="1:7" s="61" customFormat="1">
      <c r="A68" s="4" t="s">
        <v>36</v>
      </c>
      <c r="B68" s="4" t="s">
        <v>29</v>
      </c>
      <c r="C68" s="4" t="s">
        <v>37</v>
      </c>
      <c r="D68" s="8">
        <v>313</v>
      </c>
      <c r="E68" s="60">
        <v>75</v>
      </c>
      <c r="F68" s="60">
        <v>20</v>
      </c>
      <c r="G68" s="60" t="s">
        <v>35</v>
      </c>
    </row>
    <row r="69" spans="1:7" s="61" customFormat="1">
      <c r="A69" s="4" t="s">
        <v>38</v>
      </c>
      <c r="B69" s="4" t="s">
        <v>29</v>
      </c>
      <c r="C69" s="4" t="s">
        <v>39</v>
      </c>
      <c r="D69" s="8">
        <v>314</v>
      </c>
      <c r="E69" s="60">
        <v>75</v>
      </c>
      <c r="F69" s="60">
        <v>20</v>
      </c>
      <c r="G69" s="60" t="s">
        <v>35</v>
      </c>
    </row>
    <row r="70" spans="1:7" s="61" customFormat="1">
      <c r="A70" s="4" t="s">
        <v>40</v>
      </c>
      <c r="B70" s="4" t="s">
        <v>29</v>
      </c>
      <c r="C70" s="4" t="s">
        <v>41</v>
      </c>
      <c r="D70" s="8">
        <v>315</v>
      </c>
      <c r="E70" s="60"/>
      <c r="F70" s="60">
        <v>20</v>
      </c>
      <c r="G70" s="60" t="s">
        <v>35</v>
      </c>
    </row>
    <row r="71" spans="1:7" s="61" customFormat="1">
      <c r="A71" s="4" t="s">
        <v>42</v>
      </c>
      <c r="B71" s="4" t="s">
        <v>29</v>
      </c>
      <c r="C71" s="4" t="s">
        <v>43</v>
      </c>
      <c r="D71" s="8">
        <v>316</v>
      </c>
      <c r="E71" s="60"/>
      <c r="F71" s="60">
        <v>20</v>
      </c>
      <c r="G71" s="60" t="s">
        <v>35</v>
      </c>
    </row>
    <row r="72" spans="1:7" s="61" customFormat="1">
      <c r="A72" s="4" t="s">
        <v>44</v>
      </c>
      <c r="B72" s="4" t="s">
        <v>29</v>
      </c>
      <c r="C72" s="4" t="s">
        <v>45</v>
      </c>
      <c r="D72" s="8">
        <v>342</v>
      </c>
      <c r="E72" s="60">
        <v>55</v>
      </c>
      <c r="F72" s="60">
        <v>20</v>
      </c>
      <c r="G72" s="60" t="s">
        <v>35</v>
      </c>
    </row>
    <row r="73" spans="1:7" s="61" customFormat="1">
      <c r="A73" s="4" t="s">
        <v>46</v>
      </c>
      <c r="B73" s="4" t="s">
        <v>47</v>
      </c>
      <c r="C73" s="4" t="s">
        <v>48</v>
      </c>
      <c r="D73" s="8">
        <v>344</v>
      </c>
      <c r="E73" s="60">
        <v>50</v>
      </c>
      <c r="F73" s="60">
        <v>20</v>
      </c>
      <c r="G73" s="60" t="s">
        <v>35</v>
      </c>
    </row>
    <row r="74" spans="1:7" s="61" customFormat="1">
      <c r="A74" s="4" t="s">
        <v>623</v>
      </c>
      <c r="B74" s="4" t="s">
        <v>47</v>
      </c>
      <c r="C74" s="4" t="s">
        <v>41</v>
      </c>
      <c r="D74" s="8">
        <v>345</v>
      </c>
      <c r="E74" s="60"/>
      <c r="F74" s="60">
        <v>20</v>
      </c>
      <c r="G74" s="60" t="s">
        <v>35</v>
      </c>
    </row>
    <row r="75" spans="1:7" s="61" customFormat="1">
      <c r="A75" s="4" t="s">
        <v>49</v>
      </c>
      <c r="B75" s="4" t="s">
        <v>50</v>
      </c>
      <c r="C75" s="4" t="s">
        <v>30</v>
      </c>
      <c r="D75" s="8">
        <v>350</v>
      </c>
      <c r="E75" s="60">
        <v>0</v>
      </c>
      <c r="F75" s="60">
        <v>0</v>
      </c>
      <c r="G75" s="60" t="s">
        <v>25</v>
      </c>
    </row>
    <row r="76" spans="1:7" s="61" customFormat="1">
      <c r="A76" s="4" t="s">
        <v>51</v>
      </c>
      <c r="B76" s="4" t="s">
        <v>50</v>
      </c>
      <c r="C76" s="4" t="s">
        <v>52</v>
      </c>
      <c r="D76" s="8">
        <v>352</v>
      </c>
      <c r="E76" s="60"/>
      <c r="F76" s="60">
        <v>39</v>
      </c>
      <c r="G76" s="60" t="s">
        <v>25</v>
      </c>
    </row>
    <row r="77" spans="1:7" s="61" customFormat="1">
      <c r="A77" s="4" t="s">
        <v>53</v>
      </c>
      <c r="B77" s="4" t="s">
        <v>50</v>
      </c>
      <c r="C77" s="4" t="s">
        <v>54</v>
      </c>
      <c r="D77" s="8">
        <v>353</v>
      </c>
      <c r="E77" s="60"/>
      <c r="F77" s="60">
        <v>20</v>
      </c>
      <c r="G77" s="60" t="s">
        <v>35</v>
      </c>
    </row>
    <row r="78" spans="1:7" s="61" customFormat="1">
      <c r="A78" s="4" t="s">
        <v>55</v>
      </c>
      <c r="B78" s="4" t="s">
        <v>50</v>
      </c>
      <c r="C78" s="4" t="s">
        <v>56</v>
      </c>
      <c r="D78" s="8">
        <v>354</v>
      </c>
      <c r="E78" s="60"/>
      <c r="F78" s="60">
        <v>20</v>
      </c>
      <c r="G78" s="60" t="s">
        <v>35</v>
      </c>
    </row>
    <row r="79" spans="1:7" s="61" customFormat="1">
      <c r="A79" s="4" t="s">
        <v>57</v>
      </c>
      <c r="B79" s="4" t="s">
        <v>50</v>
      </c>
      <c r="C79" s="4" t="s">
        <v>58</v>
      </c>
      <c r="D79" s="8">
        <v>355</v>
      </c>
      <c r="E79" s="60"/>
      <c r="F79" s="60">
        <v>20</v>
      </c>
      <c r="G79" s="60" t="s">
        <v>35</v>
      </c>
    </row>
    <row r="80" spans="1:7" s="61" customFormat="1">
      <c r="A80" s="4" t="s">
        <v>59</v>
      </c>
      <c r="B80" s="4" t="s">
        <v>50</v>
      </c>
      <c r="C80" s="4" t="s">
        <v>60</v>
      </c>
      <c r="D80" s="8">
        <v>356</v>
      </c>
      <c r="E80" s="60"/>
      <c r="F80" s="60">
        <v>20</v>
      </c>
      <c r="G80" s="60" t="s">
        <v>35</v>
      </c>
    </row>
    <row r="81" spans="1:7" s="61" customFormat="1">
      <c r="A81" s="4" t="s">
        <v>61</v>
      </c>
      <c r="B81" s="4" t="s">
        <v>50</v>
      </c>
      <c r="C81" s="4" t="s">
        <v>62</v>
      </c>
      <c r="D81" s="8">
        <v>357</v>
      </c>
      <c r="E81" s="60"/>
      <c r="F81" s="60">
        <v>20</v>
      </c>
      <c r="G81" s="60" t="s">
        <v>35</v>
      </c>
    </row>
    <row r="82" spans="1:7" s="61" customFormat="1">
      <c r="A82" s="4" t="s">
        <v>63</v>
      </c>
      <c r="B82" s="4" t="s">
        <v>50</v>
      </c>
      <c r="C82" s="4" t="s">
        <v>64</v>
      </c>
      <c r="D82" s="8">
        <v>358</v>
      </c>
      <c r="E82" s="60"/>
      <c r="F82" s="60">
        <v>20</v>
      </c>
      <c r="G82" s="60" t="s">
        <v>35</v>
      </c>
    </row>
    <row r="83" spans="1:7" s="61" customFormat="1">
      <c r="A83" s="4" t="s">
        <v>65</v>
      </c>
      <c r="B83" s="4" t="s">
        <v>50</v>
      </c>
      <c r="C83" s="4" t="s">
        <v>66</v>
      </c>
      <c r="D83" s="8">
        <v>359</v>
      </c>
      <c r="E83" s="60"/>
      <c r="F83" s="60">
        <v>20</v>
      </c>
      <c r="G83" s="60" t="s">
        <v>35</v>
      </c>
    </row>
    <row r="84" spans="1:7" s="61" customFormat="1">
      <c r="A84" s="4" t="s">
        <v>67</v>
      </c>
      <c r="B84" s="4" t="s">
        <v>68</v>
      </c>
      <c r="C84" s="4" t="s">
        <v>30</v>
      </c>
      <c r="D84" s="8">
        <v>360</v>
      </c>
      <c r="E84" s="60">
        <v>0</v>
      </c>
      <c r="F84" s="60">
        <v>0</v>
      </c>
      <c r="G84" s="60" t="s">
        <v>25</v>
      </c>
    </row>
    <row r="85" spans="1:7" s="61" customFormat="1">
      <c r="A85" s="4" t="s">
        <v>69</v>
      </c>
      <c r="B85" s="4" t="s">
        <v>68</v>
      </c>
      <c r="C85" s="4" t="s">
        <v>70</v>
      </c>
      <c r="D85" s="8">
        <v>361</v>
      </c>
      <c r="E85" s="60">
        <v>75</v>
      </c>
      <c r="F85" s="60">
        <v>75</v>
      </c>
      <c r="G85" s="60" t="s">
        <v>25</v>
      </c>
    </row>
    <row r="86" spans="1:7" s="61" customFormat="1">
      <c r="A86" s="4" t="s">
        <v>71</v>
      </c>
      <c r="B86" s="4" t="s">
        <v>68</v>
      </c>
      <c r="C86" s="4" t="s">
        <v>54</v>
      </c>
      <c r="D86" s="8">
        <v>362</v>
      </c>
      <c r="E86" s="60"/>
      <c r="F86" s="60">
        <v>20</v>
      </c>
      <c r="G86" s="60" t="s">
        <v>35</v>
      </c>
    </row>
    <row r="87" spans="1:7" s="61" customFormat="1">
      <c r="A87" s="4" t="s">
        <v>450</v>
      </c>
      <c r="B87" s="4" t="s">
        <v>68</v>
      </c>
      <c r="C87" s="4" t="s">
        <v>447</v>
      </c>
      <c r="D87" s="8">
        <v>362</v>
      </c>
      <c r="E87" s="60">
        <v>20</v>
      </c>
      <c r="F87" s="60">
        <v>20</v>
      </c>
      <c r="G87" s="60" t="s">
        <v>35</v>
      </c>
    </row>
    <row r="88" spans="1:7" s="61" customFormat="1">
      <c r="A88" s="4" t="s">
        <v>72</v>
      </c>
      <c r="B88" s="4" t="s">
        <v>68</v>
      </c>
      <c r="C88" s="4" t="s">
        <v>73</v>
      </c>
      <c r="D88" s="8">
        <v>363</v>
      </c>
      <c r="E88" s="60"/>
      <c r="F88" s="60">
        <v>20</v>
      </c>
      <c r="G88" s="60" t="s">
        <v>35</v>
      </c>
    </row>
    <row r="89" spans="1:7" s="61" customFormat="1">
      <c r="A89" s="4" t="s">
        <v>74</v>
      </c>
      <c r="B89" s="4" t="s">
        <v>68</v>
      </c>
      <c r="C89" s="4" t="s">
        <v>75</v>
      </c>
      <c r="D89" s="8">
        <v>364</v>
      </c>
      <c r="E89" s="8" t="s">
        <v>76</v>
      </c>
      <c r="F89" s="60">
        <v>20</v>
      </c>
      <c r="G89" s="60" t="s">
        <v>35</v>
      </c>
    </row>
    <row r="90" spans="1:7" s="61" customFormat="1">
      <c r="A90" s="4" t="s">
        <v>77</v>
      </c>
      <c r="B90" s="4" t="s">
        <v>68</v>
      </c>
      <c r="C90" s="4" t="s">
        <v>78</v>
      </c>
      <c r="D90" s="8">
        <v>365</v>
      </c>
      <c r="E90" s="8" t="s">
        <v>79</v>
      </c>
      <c r="F90" s="60">
        <v>20</v>
      </c>
      <c r="G90" s="60" t="s">
        <v>35</v>
      </c>
    </row>
    <row r="91" spans="1:7" s="61" customFormat="1">
      <c r="A91" s="4" t="s">
        <v>80</v>
      </c>
      <c r="B91" s="4" t="s">
        <v>68</v>
      </c>
      <c r="C91" s="4" t="s">
        <v>62</v>
      </c>
      <c r="D91" s="8">
        <v>366</v>
      </c>
      <c r="E91" s="8" t="s">
        <v>81</v>
      </c>
      <c r="F91" s="60">
        <v>20</v>
      </c>
      <c r="G91" s="60" t="s">
        <v>35</v>
      </c>
    </row>
    <row r="92" spans="1:7" s="61" customFormat="1">
      <c r="A92" s="4" t="s">
        <v>82</v>
      </c>
      <c r="B92" s="4" t="s">
        <v>68</v>
      </c>
      <c r="C92" s="4" t="s">
        <v>83</v>
      </c>
      <c r="D92" s="8">
        <v>367</v>
      </c>
      <c r="E92" s="60">
        <v>50</v>
      </c>
      <c r="F92" s="60">
        <v>20</v>
      </c>
      <c r="G92" s="60" t="s">
        <v>35</v>
      </c>
    </row>
    <row r="93" spans="1:7" s="61" customFormat="1">
      <c r="A93" s="4" t="s">
        <v>84</v>
      </c>
      <c r="B93" s="4" t="s">
        <v>68</v>
      </c>
      <c r="C93" s="4" t="s">
        <v>85</v>
      </c>
      <c r="D93" s="8">
        <v>368</v>
      </c>
      <c r="E93" s="60">
        <v>40</v>
      </c>
      <c r="F93" s="60">
        <v>20</v>
      </c>
      <c r="G93" s="60" t="s">
        <v>35</v>
      </c>
    </row>
    <row r="94" spans="1:7" s="61" customFormat="1">
      <c r="A94" s="4" t="s">
        <v>86</v>
      </c>
      <c r="B94" s="4" t="s">
        <v>68</v>
      </c>
      <c r="C94" s="4" t="s">
        <v>87</v>
      </c>
      <c r="D94" s="8">
        <v>369</v>
      </c>
      <c r="E94" s="60">
        <v>40</v>
      </c>
      <c r="F94" s="60">
        <v>20</v>
      </c>
      <c r="G94" s="60" t="s">
        <v>35</v>
      </c>
    </row>
    <row r="95" spans="1:7" s="61" customFormat="1">
      <c r="A95" s="4" t="s">
        <v>88</v>
      </c>
      <c r="B95" s="4" t="s">
        <v>68</v>
      </c>
      <c r="C95" s="4" t="s">
        <v>89</v>
      </c>
      <c r="D95" s="8">
        <v>370</v>
      </c>
      <c r="E95" s="60">
        <v>20</v>
      </c>
      <c r="F95" s="60">
        <v>20</v>
      </c>
      <c r="G95" s="60" t="s">
        <v>35</v>
      </c>
    </row>
    <row r="96" spans="1:7" s="61" customFormat="1">
      <c r="A96" s="4" t="s">
        <v>553</v>
      </c>
      <c r="B96" s="4" t="s">
        <v>68</v>
      </c>
      <c r="C96" s="4" t="s">
        <v>554</v>
      </c>
      <c r="D96" s="8">
        <v>370</v>
      </c>
      <c r="E96" s="60">
        <v>20</v>
      </c>
      <c r="F96" s="60">
        <v>20</v>
      </c>
      <c r="G96" s="60" t="s">
        <v>35</v>
      </c>
    </row>
    <row r="97" spans="1:7" s="61" customFormat="1">
      <c r="A97" s="4" t="s">
        <v>90</v>
      </c>
      <c r="B97" s="4" t="s">
        <v>68</v>
      </c>
      <c r="C97" s="4" t="s">
        <v>91</v>
      </c>
      <c r="D97" s="8">
        <v>371</v>
      </c>
      <c r="E97" s="60">
        <v>50</v>
      </c>
      <c r="F97" s="60">
        <v>20</v>
      </c>
      <c r="G97" s="60" t="s">
        <v>35</v>
      </c>
    </row>
    <row r="98" spans="1:7" s="61" customFormat="1">
      <c r="A98" s="4" t="s">
        <v>92</v>
      </c>
      <c r="B98" s="4" t="s">
        <v>68</v>
      </c>
      <c r="C98" s="4" t="s">
        <v>93</v>
      </c>
      <c r="D98" s="8">
        <v>372</v>
      </c>
      <c r="E98" s="60">
        <v>50</v>
      </c>
      <c r="F98" s="60">
        <v>20</v>
      </c>
      <c r="G98" s="60" t="s">
        <v>35</v>
      </c>
    </row>
    <row r="99" spans="1:7" s="61" customFormat="1">
      <c r="A99" s="4" t="s">
        <v>94</v>
      </c>
      <c r="B99" s="4" t="s">
        <v>68</v>
      </c>
      <c r="C99" s="4" t="s">
        <v>95</v>
      </c>
      <c r="D99" s="8">
        <v>373</v>
      </c>
      <c r="E99" s="60">
        <v>50</v>
      </c>
      <c r="F99" s="60">
        <v>20</v>
      </c>
      <c r="G99" s="60" t="s">
        <v>35</v>
      </c>
    </row>
    <row r="100" spans="1:7" s="61" customFormat="1">
      <c r="A100" s="4" t="s">
        <v>96</v>
      </c>
      <c r="B100" s="4" t="s">
        <v>97</v>
      </c>
      <c r="C100" s="4" t="s">
        <v>30</v>
      </c>
      <c r="D100" s="8">
        <v>389</v>
      </c>
      <c r="E100" s="60">
        <v>0</v>
      </c>
      <c r="F100" s="60">
        <v>0</v>
      </c>
      <c r="G100" s="60" t="s">
        <v>25</v>
      </c>
    </row>
    <row r="101" spans="1:7" s="61" customFormat="1">
      <c r="A101" s="4" t="s">
        <v>98</v>
      </c>
      <c r="B101" s="4" t="s">
        <v>97</v>
      </c>
      <c r="C101" s="4" t="s">
        <v>70</v>
      </c>
      <c r="D101" s="8">
        <v>390</v>
      </c>
      <c r="E101" s="60">
        <v>50</v>
      </c>
      <c r="F101" s="60">
        <v>39</v>
      </c>
      <c r="G101" s="60" t="s">
        <v>25</v>
      </c>
    </row>
    <row r="102" spans="1:7" s="61" customFormat="1">
      <c r="A102" s="4" t="s">
        <v>99</v>
      </c>
      <c r="B102" s="4" t="s">
        <v>97</v>
      </c>
      <c r="C102" s="4" t="s">
        <v>559</v>
      </c>
      <c r="D102" s="8">
        <v>391</v>
      </c>
      <c r="E102" s="60">
        <v>5</v>
      </c>
      <c r="F102" s="60">
        <v>5</v>
      </c>
      <c r="G102" s="60" t="s">
        <v>35</v>
      </c>
    </row>
    <row r="103" spans="1:7" s="61" customFormat="1">
      <c r="A103" s="4" t="s">
        <v>561</v>
      </c>
      <c r="B103" s="4" t="s">
        <v>97</v>
      </c>
      <c r="C103" s="4" t="s">
        <v>560</v>
      </c>
      <c r="D103" s="8">
        <v>391</v>
      </c>
      <c r="E103" s="60">
        <v>10</v>
      </c>
      <c r="F103" s="60">
        <v>7</v>
      </c>
      <c r="G103" s="60" t="s">
        <v>35</v>
      </c>
    </row>
    <row r="104" spans="1:7" s="61" customFormat="1">
      <c r="A104" s="4" t="s">
        <v>100</v>
      </c>
      <c r="B104" s="4" t="s">
        <v>97</v>
      </c>
      <c r="C104" s="4" t="s">
        <v>101</v>
      </c>
      <c r="D104" s="8">
        <v>392</v>
      </c>
      <c r="E104" s="60">
        <v>10</v>
      </c>
      <c r="F104" s="60">
        <v>10</v>
      </c>
      <c r="G104" s="60" t="s">
        <v>35</v>
      </c>
    </row>
    <row r="105" spans="1:7" s="61" customFormat="1">
      <c r="A105" s="4" t="s">
        <v>102</v>
      </c>
      <c r="B105" s="4" t="s">
        <v>97</v>
      </c>
      <c r="C105" s="4" t="s">
        <v>103</v>
      </c>
      <c r="D105" s="8">
        <v>393</v>
      </c>
      <c r="E105" s="60">
        <v>10</v>
      </c>
      <c r="F105" s="60">
        <v>7</v>
      </c>
      <c r="G105" s="60" t="s">
        <v>35</v>
      </c>
    </row>
    <row r="106" spans="1:7" s="61" customFormat="1">
      <c r="A106" s="4" t="s">
        <v>104</v>
      </c>
      <c r="B106" s="4" t="s">
        <v>97</v>
      </c>
      <c r="C106" s="4" t="s">
        <v>105</v>
      </c>
      <c r="D106" s="8">
        <v>394</v>
      </c>
      <c r="E106" s="60">
        <v>10</v>
      </c>
      <c r="F106" s="60">
        <v>7</v>
      </c>
      <c r="G106" s="60" t="s">
        <v>35</v>
      </c>
    </row>
    <row r="107" spans="1:7" s="61" customFormat="1">
      <c r="A107" s="4" t="s">
        <v>106</v>
      </c>
      <c r="B107" s="4" t="s">
        <v>97</v>
      </c>
      <c r="C107" s="4" t="s">
        <v>107</v>
      </c>
      <c r="D107" s="8">
        <v>395</v>
      </c>
      <c r="E107" s="60">
        <v>15</v>
      </c>
      <c r="F107" s="60">
        <v>7</v>
      </c>
      <c r="G107" s="60" t="s">
        <v>35</v>
      </c>
    </row>
    <row r="108" spans="1:7" s="61" customFormat="1">
      <c r="A108" s="4" t="s">
        <v>108</v>
      </c>
      <c r="B108" s="4" t="s">
        <v>97</v>
      </c>
      <c r="C108" s="4" t="s">
        <v>109</v>
      </c>
      <c r="D108" s="8">
        <v>396</v>
      </c>
      <c r="E108" s="60">
        <v>10</v>
      </c>
      <c r="F108" s="60">
        <v>7</v>
      </c>
      <c r="G108" s="60" t="s">
        <v>35</v>
      </c>
    </row>
    <row r="109" spans="1:7" s="61" customFormat="1">
      <c r="A109" s="4" t="s">
        <v>110</v>
      </c>
      <c r="B109" s="4" t="s">
        <v>97</v>
      </c>
      <c r="C109" s="4" t="s">
        <v>111</v>
      </c>
      <c r="D109" s="8">
        <v>397</v>
      </c>
      <c r="E109" s="60">
        <v>7</v>
      </c>
      <c r="F109" s="60">
        <v>5</v>
      </c>
      <c r="G109" s="60" t="s">
        <v>35</v>
      </c>
    </row>
    <row r="110" spans="1:7" s="61" customFormat="1">
      <c r="A110" s="4" t="s">
        <v>112</v>
      </c>
      <c r="B110" s="4" t="s">
        <v>97</v>
      </c>
      <c r="C110" s="4" t="s">
        <v>113</v>
      </c>
      <c r="D110" s="8">
        <v>398</v>
      </c>
      <c r="E110" s="60">
        <v>15</v>
      </c>
      <c r="F110" s="60">
        <v>5</v>
      </c>
      <c r="G110" s="60" t="s">
        <v>35</v>
      </c>
    </row>
    <row r="111" spans="1:7" s="61" customFormat="1">
      <c r="A111" s="4" t="s">
        <v>114</v>
      </c>
      <c r="B111" s="4" t="s">
        <v>97</v>
      </c>
      <c r="C111" s="4" t="s">
        <v>115</v>
      </c>
      <c r="D111" s="8">
        <v>399</v>
      </c>
      <c r="E111" s="60">
        <v>10</v>
      </c>
      <c r="F111" s="60">
        <v>5</v>
      </c>
      <c r="G111" s="60" t="s">
        <v>35</v>
      </c>
    </row>
    <row r="112" spans="1:7" s="61" customFormat="1">
      <c r="A112" s="4" t="s">
        <v>621</v>
      </c>
      <c r="B112" s="4" t="s">
        <v>23</v>
      </c>
      <c r="C112" s="4" t="s">
        <v>24</v>
      </c>
      <c r="D112" s="8">
        <v>301</v>
      </c>
      <c r="E112" s="60">
        <v>50</v>
      </c>
      <c r="F112" s="60">
        <v>50</v>
      </c>
      <c r="G112" s="60" t="s">
        <v>25</v>
      </c>
    </row>
    <row r="113" spans="1:7" s="61" customFormat="1">
      <c r="A113" s="4" t="s">
        <v>451</v>
      </c>
      <c r="B113" s="4" t="s">
        <v>97</v>
      </c>
      <c r="C113" s="4" t="s">
        <v>30</v>
      </c>
      <c r="D113" s="8">
        <v>303</v>
      </c>
      <c r="E113" s="60">
        <v>0</v>
      </c>
      <c r="F113" s="60">
        <v>0</v>
      </c>
      <c r="G113" s="60" t="s">
        <v>25</v>
      </c>
    </row>
    <row r="114" spans="1:7" s="61" customFormat="1">
      <c r="A114" s="4" t="s">
        <v>452</v>
      </c>
      <c r="B114" s="4" t="s">
        <v>97</v>
      </c>
      <c r="C114" s="4" t="s">
        <v>70</v>
      </c>
      <c r="D114" s="8">
        <v>304</v>
      </c>
      <c r="E114" s="60">
        <v>75</v>
      </c>
      <c r="F114" s="60">
        <v>39</v>
      </c>
      <c r="G114" s="60" t="s">
        <v>25</v>
      </c>
    </row>
    <row r="115" spans="1:7" s="61" customFormat="1">
      <c r="A115" s="4" t="s">
        <v>453</v>
      </c>
      <c r="B115" s="4" t="s">
        <v>97</v>
      </c>
      <c r="C115" s="4" t="s">
        <v>559</v>
      </c>
      <c r="D115" s="8">
        <v>340</v>
      </c>
      <c r="E115" s="60">
        <v>5</v>
      </c>
      <c r="F115" s="60">
        <v>5</v>
      </c>
      <c r="G115" s="60" t="s">
        <v>35</v>
      </c>
    </row>
    <row r="116" spans="1:7" s="61" customFormat="1">
      <c r="A116" s="4" t="s">
        <v>558</v>
      </c>
      <c r="B116" s="4" t="s">
        <v>97</v>
      </c>
      <c r="C116" s="4" t="s">
        <v>560</v>
      </c>
      <c r="D116" s="8">
        <v>340</v>
      </c>
      <c r="E116" s="60">
        <v>10</v>
      </c>
      <c r="F116" s="60">
        <v>7</v>
      </c>
      <c r="G116" s="60" t="s">
        <v>35</v>
      </c>
    </row>
    <row r="117" spans="1:7" s="61" customFormat="1">
      <c r="A117" s="4" t="s">
        <v>454</v>
      </c>
      <c r="B117" s="4" t="s">
        <v>97</v>
      </c>
      <c r="C117" s="4" t="s">
        <v>101</v>
      </c>
      <c r="D117" s="8">
        <v>341</v>
      </c>
      <c r="E117" s="60">
        <v>10</v>
      </c>
      <c r="F117" s="60">
        <v>5</v>
      </c>
      <c r="G117" s="60" t="s">
        <v>35</v>
      </c>
    </row>
    <row r="118" spans="1:7" s="61" customFormat="1">
      <c r="A118" s="4" t="s">
        <v>455</v>
      </c>
      <c r="B118" s="4" t="s">
        <v>97</v>
      </c>
      <c r="C118" s="4" t="s">
        <v>103</v>
      </c>
      <c r="D118" s="8">
        <v>342</v>
      </c>
      <c r="E118" s="60">
        <v>10</v>
      </c>
      <c r="F118" s="60">
        <v>7</v>
      </c>
      <c r="G118" s="60" t="s">
        <v>35</v>
      </c>
    </row>
    <row r="119" spans="1:7" s="61" customFormat="1">
      <c r="A119" s="4" t="s">
        <v>456</v>
      </c>
      <c r="B119" s="4" t="s">
        <v>97</v>
      </c>
      <c r="C119" s="4" t="s">
        <v>105</v>
      </c>
      <c r="D119" s="8">
        <v>343</v>
      </c>
      <c r="E119" s="60">
        <v>10</v>
      </c>
      <c r="F119" s="60">
        <v>7</v>
      </c>
      <c r="G119" s="60" t="s">
        <v>35</v>
      </c>
    </row>
    <row r="120" spans="1:7" s="61" customFormat="1">
      <c r="A120" s="4" t="s">
        <v>457</v>
      </c>
      <c r="B120" s="4" t="s">
        <v>97</v>
      </c>
      <c r="C120" s="4" t="s">
        <v>107</v>
      </c>
      <c r="D120" s="8">
        <v>344</v>
      </c>
      <c r="E120" s="60">
        <v>15</v>
      </c>
      <c r="F120" s="60">
        <v>7</v>
      </c>
      <c r="G120" s="60" t="s">
        <v>35</v>
      </c>
    </row>
    <row r="121" spans="1:7" s="61" customFormat="1">
      <c r="A121" s="4" t="s">
        <v>458</v>
      </c>
      <c r="B121" s="4" t="s">
        <v>97</v>
      </c>
      <c r="C121" s="4" t="s">
        <v>109</v>
      </c>
      <c r="D121" s="8">
        <v>345</v>
      </c>
      <c r="E121" s="60">
        <v>10</v>
      </c>
      <c r="F121" s="60">
        <v>5</v>
      </c>
      <c r="G121" s="60" t="s">
        <v>35</v>
      </c>
    </row>
    <row r="122" spans="1:7" s="61" customFormat="1">
      <c r="A122" s="4" t="s">
        <v>459</v>
      </c>
      <c r="B122" s="4" t="s">
        <v>97</v>
      </c>
      <c r="C122" s="4" t="s">
        <v>111</v>
      </c>
      <c r="D122" s="8">
        <v>346</v>
      </c>
      <c r="E122" s="60">
        <v>7</v>
      </c>
      <c r="F122" s="60">
        <v>5</v>
      </c>
      <c r="G122" s="60" t="s">
        <v>35</v>
      </c>
    </row>
    <row r="123" spans="1:7" s="61" customFormat="1">
      <c r="A123" s="4" t="s">
        <v>460</v>
      </c>
      <c r="B123" s="4" t="s">
        <v>97</v>
      </c>
      <c r="C123" s="4" t="s">
        <v>113</v>
      </c>
      <c r="D123" s="8">
        <v>347</v>
      </c>
      <c r="E123" s="60">
        <v>15</v>
      </c>
      <c r="F123" s="60">
        <v>5</v>
      </c>
      <c r="G123" s="60" t="s">
        <v>35</v>
      </c>
    </row>
    <row r="124" spans="1:7" s="61" customFormat="1">
      <c r="A124" s="4" t="s">
        <v>461</v>
      </c>
      <c r="B124" s="4" t="s">
        <v>97</v>
      </c>
      <c r="C124" s="4" t="s">
        <v>115</v>
      </c>
      <c r="D124" s="8">
        <v>348</v>
      </c>
      <c r="E124" s="60">
        <v>10</v>
      </c>
      <c r="F124" s="60">
        <v>5</v>
      </c>
      <c r="G124" s="60" t="s">
        <v>35</v>
      </c>
    </row>
    <row r="125" spans="1:7" s="61" customFormat="1">
      <c r="A125" s="7" t="s">
        <v>303</v>
      </c>
      <c r="B125" s="7" t="s">
        <v>23</v>
      </c>
      <c r="C125" s="7" t="s">
        <v>24</v>
      </c>
      <c r="D125" s="8">
        <v>301</v>
      </c>
      <c r="E125" s="60">
        <v>50</v>
      </c>
      <c r="F125" s="60">
        <v>50</v>
      </c>
      <c r="G125" s="60" t="s">
        <v>25</v>
      </c>
    </row>
    <row r="126" spans="1:7" s="61" customFormat="1">
      <c r="A126" s="4" t="s">
        <v>304</v>
      </c>
      <c r="B126" s="4" t="s">
        <v>23</v>
      </c>
      <c r="C126" s="4" t="s">
        <v>27</v>
      </c>
      <c r="D126" s="8">
        <v>303</v>
      </c>
      <c r="E126" s="60">
        <v>25</v>
      </c>
      <c r="F126" s="60">
        <v>7</v>
      </c>
      <c r="G126" s="60" t="s">
        <v>25</v>
      </c>
    </row>
    <row r="127" spans="1:7" s="61" customFormat="1">
      <c r="A127" s="4" t="s">
        <v>305</v>
      </c>
      <c r="B127" s="4" t="s">
        <v>68</v>
      </c>
      <c r="C127" s="4" t="s">
        <v>30</v>
      </c>
      <c r="D127" s="8">
        <v>374</v>
      </c>
      <c r="E127" s="60">
        <v>0</v>
      </c>
      <c r="F127" s="60">
        <v>0</v>
      </c>
      <c r="G127" s="60" t="s">
        <v>25</v>
      </c>
    </row>
    <row r="128" spans="1:7" s="61" customFormat="1">
      <c r="A128" s="4" t="s">
        <v>306</v>
      </c>
      <c r="B128" s="4" t="s">
        <v>68</v>
      </c>
      <c r="C128" s="4" t="s">
        <v>70</v>
      </c>
      <c r="D128" s="8">
        <v>375</v>
      </c>
      <c r="E128" s="60">
        <v>75</v>
      </c>
      <c r="F128" s="60">
        <v>39</v>
      </c>
      <c r="G128" s="60" t="s">
        <v>25</v>
      </c>
    </row>
    <row r="129" spans="1:7" s="61" customFormat="1">
      <c r="A129" s="4" t="s">
        <v>307</v>
      </c>
      <c r="B129" s="4" t="s">
        <v>68</v>
      </c>
      <c r="C129" s="4" t="s">
        <v>308</v>
      </c>
      <c r="D129" s="8">
        <v>376</v>
      </c>
      <c r="E129" s="60" t="s">
        <v>309</v>
      </c>
      <c r="F129" s="60">
        <v>20</v>
      </c>
      <c r="G129" s="60" t="s">
        <v>35</v>
      </c>
    </row>
    <row r="130" spans="1:7" s="61" customFormat="1">
      <c r="A130" s="4" t="s">
        <v>310</v>
      </c>
      <c r="B130" s="4" t="s">
        <v>68</v>
      </c>
      <c r="C130" s="4" t="s">
        <v>311</v>
      </c>
      <c r="D130" s="8">
        <v>377</v>
      </c>
      <c r="E130" s="60">
        <v>40</v>
      </c>
      <c r="F130" s="60">
        <v>20</v>
      </c>
      <c r="G130" s="60" t="s">
        <v>35</v>
      </c>
    </row>
    <row r="131" spans="1:7" s="61" customFormat="1">
      <c r="A131" s="4" t="s">
        <v>312</v>
      </c>
      <c r="B131" s="4" t="s">
        <v>68</v>
      </c>
      <c r="C131" s="4" t="s">
        <v>313</v>
      </c>
      <c r="D131" s="8">
        <v>378</v>
      </c>
      <c r="E131" s="60">
        <v>25</v>
      </c>
      <c r="F131" s="60">
        <v>20</v>
      </c>
      <c r="G131" s="60" t="s">
        <v>35</v>
      </c>
    </row>
    <row r="132" spans="1:7" s="61" customFormat="1">
      <c r="A132" s="4" t="s">
        <v>486</v>
      </c>
      <c r="B132" s="4" t="s">
        <v>68</v>
      </c>
      <c r="C132" s="4" t="s">
        <v>485</v>
      </c>
      <c r="D132" s="8">
        <v>378</v>
      </c>
      <c r="E132" s="60">
        <v>15</v>
      </c>
      <c r="F132" s="60">
        <v>5</v>
      </c>
      <c r="G132" s="60" t="s">
        <v>35</v>
      </c>
    </row>
    <row r="133" spans="1:7" s="61" customFormat="1">
      <c r="A133" s="4" t="s">
        <v>314</v>
      </c>
      <c r="B133" s="4" t="s">
        <v>68</v>
      </c>
      <c r="C133" s="4" t="s">
        <v>315</v>
      </c>
      <c r="D133" s="8">
        <v>379</v>
      </c>
      <c r="E133" s="60">
        <v>25</v>
      </c>
      <c r="F133" s="60">
        <v>20</v>
      </c>
      <c r="G133" s="60" t="s">
        <v>35</v>
      </c>
    </row>
    <row r="134" spans="1:7" s="61" customFormat="1">
      <c r="A134" s="4" t="s">
        <v>316</v>
      </c>
      <c r="B134" s="4" t="s">
        <v>68</v>
      </c>
      <c r="C134" s="4" t="s">
        <v>87</v>
      </c>
      <c r="D134" s="8">
        <v>380</v>
      </c>
      <c r="E134" s="60">
        <v>50</v>
      </c>
      <c r="F134" s="60">
        <v>20</v>
      </c>
      <c r="G134" s="60" t="s">
        <v>35</v>
      </c>
    </row>
    <row r="135" spans="1:7" s="61" customFormat="1">
      <c r="A135" s="4" t="s">
        <v>317</v>
      </c>
      <c r="B135" s="4" t="s">
        <v>68</v>
      </c>
      <c r="C135" s="4" t="s">
        <v>89</v>
      </c>
      <c r="D135" s="8">
        <v>381</v>
      </c>
      <c r="E135" s="60">
        <v>35</v>
      </c>
      <c r="F135" s="60">
        <v>20</v>
      </c>
      <c r="G135" s="60" t="s">
        <v>35</v>
      </c>
    </row>
    <row r="136" spans="1:7" s="61" customFormat="1">
      <c r="A136" s="4" t="s">
        <v>318</v>
      </c>
      <c r="B136" s="4" t="s">
        <v>68</v>
      </c>
      <c r="C136" s="4" t="s">
        <v>319</v>
      </c>
      <c r="D136" s="8">
        <v>382</v>
      </c>
      <c r="E136" s="60">
        <v>50</v>
      </c>
      <c r="F136" s="60">
        <v>20</v>
      </c>
      <c r="G136" s="60" t="s">
        <v>35</v>
      </c>
    </row>
    <row r="137" spans="1:7" s="61" customFormat="1">
      <c r="A137" s="4" t="s">
        <v>320</v>
      </c>
      <c r="B137" s="4" t="s">
        <v>68</v>
      </c>
      <c r="C137" s="4" t="s">
        <v>321</v>
      </c>
      <c r="D137" s="8">
        <v>383</v>
      </c>
      <c r="E137" s="60">
        <v>35</v>
      </c>
      <c r="F137" s="60">
        <v>20</v>
      </c>
      <c r="G137" s="60" t="s">
        <v>35</v>
      </c>
    </row>
    <row r="138" spans="1:7" s="61" customFormat="1">
      <c r="A138" s="4" t="s">
        <v>322</v>
      </c>
      <c r="B138" s="4" t="s">
        <v>68</v>
      </c>
      <c r="C138" s="4" t="s">
        <v>323</v>
      </c>
      <c r="D138" s="8">
        <v>384</v>
      </c>
      <c r="E138" s="60">
        <v>50</v>
      </c>
      <c r="F138" s="60">
        <v>20</v>
      </c>
      <c r="G138" s="60" t="s">
        <v>35</v>
      </c>
    </row>
    <row r="139" spans="1:7" s="61" customFormat="1">
      <c r="A139" s="4" t="s">
        <v>324</v>
      </c>
      <c r="B139" s="4" t="s">
        <v>68</v>
      </c>
      <c r="C139" s="4" t="s">
        <v>325</v>
      </c>
      <c r="D139" s="8">
        <v>385</v>
      </c>
      <c r="E139" s="60">
        <v>35</v>
      </c>
      <c r="F139" s="60">
        <v>20</v>
      </c>
      <c r="G139" s="60" t="s">
        <v>35</v>
      </c>
    </row>
    <row r="140" spans="1:7" s="61" customFormat="1">
      <c r="A140" s="4" t="s">
        <v>326</v>
      </c>
      <c r="B140" s="4" t="s">
        <v>68</v>
      </c>
      <c r="C140" s="4" t="s">
        <v>327</v>
      </c>
      <c r="D140" s="8">
        <v>386</v>
      </c>
      <c r="E140" s="60">
        <v>35</v>
      </c>
      <c r="F140" s="60">
        <v>20</v>
      </c>
      <c r="G140" s="60" t="s">
        <v>35</v>
      </c>
    </row>
    <row r="141" spans="1:7" s="61" customFormat="1">
      <c r="A141" s="4" t="s">
        <v>328</v>
      </c>
      <c r="B141" s="4" t="s">
        <v>68</v>
      </c>
      <c r="C141" s="4" t="s">
        <v>329</v>
      </c>
      <c r="D141" s="8">
        <v>387</v>
      </c>
      <c r="E141" s="60">
        <v>20</v>
      </c>
      <c r="F141" s="60">
        <v>20</v>
      </c>
      <c r="G141" s="60" t="s">
        <v>35</v>
      </c>
    </row>
    <row r="142" spans="1:7" s="61" customFormat="1">
      <c r="A142" s="4" t="s">
        <v>330</v>
      </c>
      <c r="B142" s="4" t="s">
        <v>97</v>
      </c>
      <c r="C142" s="4" t="s">
        <v>30</v>
      </c>
      <c r="D142" s="8">
        <v>389</v>
      </c>
      <c r="E142" s="60">
        <v>0</v>
      </c>
      <c r="F142" s="60">
        <v>0</v>
      </c>
      <c r="G142" s="60" t="s">
        <v>25</v>
      </c>
    </row>
    <row r="143" spans="1:7" s="61" customFormat="1">
      <c r="A143" s="4" t="s">
        <v>331</v>
      </c>
      <c r="B143" s="4" t="s">
        <v>97</v>
      </c>
      <c r="C143" s="4" t="s">
        <v>70</v>
      </c>
      <c r="D143" s="8">
        <v>390</v>
      </c>
      <c r="E143" s="60">
        <v>75</v>
      </c>
      <c r="F143" s="60">
        <v>39</v>
      </c>
      <c r="G143" s="60" t="s">
        <v>25</v>
      </c>
    </row>
    <row r="144" spans="1:7" s="61" customFormat="1">
      <c r="A144" s="4" t="s">
        <v>332</v>
      </c>
      <c r="B144" s="4" t="s">
        <v>97</v>
      </c>
      <c r="C144" s="4" t="s">
        <v>559</v>
      </c>
      <c r="D144" s="8">
        <v>391</v>
      </c>
      <c r="E144" s="60">
        <v>5</v>
      </c>
      <c r="F144" s="60">
        <v>5</v>
      </c>
      <c r="G144" s="60" t="s">
        <v>35</v>
      </c>
    </row>
    <row r="145" spans="1:7" s="61" customFormat="1">
      <c r="A145" s="4" t="s">
        <v>573</v>
      </c>
      <c r="B145" s="4" t="s">
        <v>97</v>
      </c>
      <c r="C145" s="4" t="s">
        <v>572</v>
      </c>
      <c r="D145" s="8">
        <v>391</v>
      </c>
      <c r="E145" s="60">
        <v>10</v>
      </c>
      <c r="F145" s="60">
        <v>7</v>
      </c>
      <c r="G145" s="60" t="s">
        <v>35</v>
      </c>
    </row>
    <row r="146" spans="1:7" s="61" customFormat="1">
      <c r="A146" s="4" t="s">
        <v>333</v>
      </c>
      <c r="B146" s="4" t="s">
        <v>97</v>
      </c>
      <c r="C146" s="4" t="s">
        <v>101</v>
      </c>
      <c r="D146" s="8">
        <v>392</v>
      </c>
      <c r="E146" s="60">
        <v>10</v>
      </c>
      <c r="F146" s="60">
        <v>5</v>
      </c>
      <c r="G146" s="60" t="s">
        <v>35</v>
      </c>
    </row>
    <row r="147" spans="1:7" s="61" customFormat="1">
      <c r="A147" s="4" t="s">
        <v>334</v>
      </c>
      <c r="B147" s="4" t="s">
        <v>97</v>
      </c>
      <c r="C147" s="4" t="s">
        <v>103</v>
      </c>
      <c r="D147" s="8">
        <v>393</v>
      </c>
      <c r="E147" s="60">
        <v>10</v>
      </c>
      <c r="F147" s="60">
        <v>7</v>
      </c>
      <c r="G147" s="60" t="s">
        <v>35</v>
      </c>
    </row>
    <row r="148" spans="1:7" s="61" customFormat="1">
      <c r="A148" s="4" t="s">
        <v>335</v>
      </c>
      <c r="B148" s="4" t="s">
        <v>97</v>
      </c>
      <c r="C148" s="4" t="s">
        <v>105</v>
      </c>
      <c r="D148" s="8">
        <v>394</v>
      </c>
      <c r="E148" s="60">
        <v>10</v>
      </c>
      <c r="F148" s="60">
        <v>7</v>
      </c>
      <c r="G148" s="60" t="s">
        <v>35</v>
      </c>
    </row>
    <row r="149" spans="1:7" s="61" customFormat="1">
      <c r="A149" s="4" t="s">
        <v>336</v>
      </c>
      <c r="B149" s="4" t="s">
        <v>97</v>
      </c>
      <c r="C149" s="4" t="s">
        <v>107</v>
      </c>
      <c r="D149" s="8">
        <v>395</v>
      </c>
      <c r="E149" s="60">
        <v>7</v>
      </c>
      <c r="F149" s="60">
        <v>7</v>
      </c>
      <c r="G149" s="60" t="s">
        <v>35</v>
      </c>
    </row>
    <row r="150" spans="1:7" s="61" customFormat="1">
      <c r="A150" s="4" t="s">
        <v>337</v>
      </c>
      <c r="B150" s="4" t="s">
        <v>97</v>
      </c>
      <c r="C150" s="4" t="s">
        <v>109</v>
      </c>
      <c r="D150" s="8">
        <v>396</v>
      </c>
      <c r="E150" s="60">
        <v>10</v>
      </c>
      <c r="F150" s="60">
        <v>5</v>
      </c>
      <c r="G150" s="60" t="s">
        <v>35</v>
      </c>
    </row>
    <row r="151" spans="1:7" s="61" customFormat="1">
      <c r="A151" s="4" t="s">
        <v>338</v>
      </c>
      <c r="B151" s="4" t="s">
        <v>97</v>
      </c>
      <c r="C151" s="4" t="s">
        <v>111</v>
      </c>
      <c r="D151" s="8">
        <v>397</v>
      </c>
      <c r="E151" s="60">
        <v>7</v>
      </c>
      <c r="F151" s="60">
        <v>5</v>
      </c>
      <c r="G151" s="60" t="s">
        <v>35</v>
      </c>
    </row>
    <row r="152" spans="1:7" s="61" customFormat="1">
      <c r="A152" s="4" t="s">
        <v>339</v>
      </c>
      <c r="B152" s="4" t="s">
        <v>97</v>
      </c>
      <c r="C152" s="4" t="s">
        <v>113</v>
      </c>
      <c r="D152" s="8">
        <v>398</v>
      </c>
      <c r="E152" s="60">
        <v>7</v>
      </c>
      <c r="F152" s="60">
        <v>5</v>
      </c>
      <c r="G152" s="60" t="s">
        <v>35</v>
      </c>
    </row>
    <row r="153" spans="1:7" s="61" customFormat="1">
      <c r="A153" s="4" t="s">
        <v>340</v>
      </c>
      <c r="B153" s="4" t="s">
        <v>97</v>
      </c>
      <c r="C153" s="4" t="s">
        <v>115</v>
      </c>
      <c r="D153" s="8">
        <v>399</v>
      </c>
      <c r="E153" s="60">
        <v>15</v>
      </c>
      <c r="F153" s="60">
        <v>5</v>
      </c>
      <c r="G153" s="60" t="s">
        <v>35</v>
      </c>
    </row>
    <row r="154" spans="1:7" s="61" customFormat="1">
      <c r="A154" s="4" t="s">
        <v>116</v>
      </c>
      <c r="B154" s="4" t="s">
        <v>23</v>
      </c>
      <c r="C154" s="4" t="s">
        <v>24</v>
      </c>
      <c r="D154" s="8">
        <v>301</v>
      </c>
      <c r="E154" s="60">
        <v>50</v>
      </c>
      <c r="F154" s="60">
        <v>50</v>
      </c>
      <c r="G154" s="60" t="s">
        <v>25</v>
      </c>
    </row>
    <row r="155" spans="1:7" s="61" customFormat="1">
      <c r="A155" s="4" t="s">
        <v>134</v>
      </c>
      <c r="B155" s="4" t="s">
        <v>135</v>
      </c>
      <c r="C155" s="4" t="s">
        <v>136</v>
      </c>
      <c r="D155" s="8">
        <v>302</v>
      </c>
      <c r="E155" s="60">
        <v>0</v>
      </c>
      <c r="F155" s="60">
        <v>7</v>
      </c>
      <c r="G155" s="60" t="s">
        <v>25</v>
      </c>
    </row>
    <row r="156" spans="1:7" s="61" customFormat="1">
      <c r="A156" s="4" t="s">
        <v>152</v>
      </c>
      <c r="B156" s="4" t="s">
        <v>153</v>
      </c>
      <c r="C156" s="4" t="s">
        <v>30</v>
      </c>
      <c r="D156" s="8">
        <v>303</v>
      </c>
      <c r="E156" s="60">
        <v>0</v>
      </c>
      <c r="F156" s="60">
        <v>0</v>
      </c>
      <c r="G156" s="60" t="s">
        <v>25</v>
      </c>
    </row>
    <row r="157" spans="1:7" s="61" customFormat="1">
      <c r="A157" s="4" t="s">
        <v>118</v>
      </c>
      <c r="B157" s="4" t="s">
        <v>68</v>
      </c>
      <c r="C157" s="4" t="s">
        <v>30</v>
      </c>
      <c r="D157" s="8">
        <v>303</v>
      </c>
      <c r="E157" s="60">
        <v>0</v>
      </c>
      <c r="F157" s="60">
        <v>0</v>
      </c>
      <c r="G157" s="60" t="s">
        <v>25</v>
      </c>
    </row>
    <row r="158" spans="1:7" s="61" customFormat="1">
      <c r="A158" s="4" t="s">
        <v>160</v>
      </c>
      <c r="B158" s="4" t="s">
        <v>97</v>
      </c>
      <c r="C158" s="4" t="s">
        <v>30</v>
      </c>
      <c r="D158" s="8">
        <v>303</v>
      </c>
      <c r="E158" s="60">
        <v>0</v>
      </c>
      <c r="F158" s="60">
        <v>0</v>
      </c>
      <c r="G158" s="60" t="s">
        <v>25</v>
      </c>
    </row>
    <row r="159" spans="1:7" s="61" customFormat="1">
      <c r="A159" s="4" t="s">
        <v>137</v>
      </c>
      <c r="B159" s="4" t="s">
        <v>135</v>
      </c>
      <c r="C159" s="4" t="s">
        <v>70</v>
      </c>
      <c r="D159" s="8">
        <v>304</v>
      </c>
      <c r="E159" s="60">
        <v>75</v>
      </c>
      <c r="F159" s="60">
        <v>39</v>
      </c>
      <c r="G159" s="60" t="s">
        <v>25</v>
      </c>
    </row>
    <row r="160" spans="1:7" s="61" customFormat="1">
      <c r="A160" s="4" t="s">
        <v>562</v>
      </c>
      <c r="B160" s="4" t="s">
        <v>135</v>
      </c>
      <c r="C160" s="4" t="s">
        <v>563</v>
      </c>
      <c r="D160" s="8">
        <v>304</v>
      </c>
      <c r="E160" s="60">
        <v>10</v>
      </c>
      <c r="F160" s="60">
        <v>7</v>
      </c>
      <c r="G160" s="60" t="s">
        <v>25</v>
      </c>
    </row>
    <row r="161" spans="1:7" s="61" customFormat="1">
      <c r="A161" s="4" t="s">
        <v>154</v>
      </c>
      <c r="B161" s="4" t="s">
        <v>153</v>
      </c>
      <c r="C161" s="4" t="s">
        <v>70</v>
      </c>
      <c r="D161" s="8">
        <v>304</v>
      </c>
      <c r="E161" s="60">
        <v>75</v>
      </c>
      <c r="F161" s="60">
        <v>30</v>
      </c>
      <c r="G161" s="60" t="s">
        <v>25</v>
      </c>
    </row>
    <row r="162" spans="1:7" s="61" customFormat="1">
      <c r="A162" s="4" t="s">
        <v>119</v>
      </c>
      <c r="B162" s="4" t="s">
        <v>68</v>
      </c>
      <c r="C162" s="4" t="s">
        <v>70</v>
      </c>
      <c r="D162" s="8">
        <v>304</v>
      </c>
      <c r="E162" s="60">
        <v>75</v>
      </c>
      <c r="F162" s="60">
        <v>39</v>
      </c>
      <c r="G162" s="60" t="s">
        <v>25</v>
      </c>
    </row>
    <row r="163" spans="1:7" s="61" customFormat="1">
      <c r="A163" s="4" t="s">
        <v>161</v>
      </c>
      <c r="B163" s="4" t="s">
        <v>97</v>
      </c>
      <c r="C163" s="4" t="s">
        <v>70</v>
      </c>
      <c r="D163" s="8">
        <v>304</v>
      </c>
      <c r="E163" s="60">
        <v>75</v>
      </c>
      <c r="F163" s="60">
        <v>39</v>
      </c>
      <c r="G163" s="60" t="s">
        <v>25</v>
      </c>
    </row>
    <row r="164" spans="1:7" s="61" customFormat="1">
      <c r="A164" s="4" t="s">
        <v>138</v>
      </c>
      <c r="B164" s="4" t="s">
        <v>135</v>
      </c>
      <c r="C164" s="4" t="s">
        <v>139</v>
      </c>
      <c r="D164" s="8">
        <v>305</v>
      </c>
      <c r="E164" s="60">
        <v>125</v>
      </c>
      <c r="F164" s="60">
        <v>25</v>
      </c>
      <c r="G164" s="60" t="s">
        <v>35</v>
      </c>
    </row>
    <row r="165" spans="1:7" s="61" customFormat="1">
      <c r="A165" s="4" t="s">
        <v>140</v>
      </c>
      <c r="B165" s="4" t="s">
        <v>135</v>
      </c>
      <c r="C165" s="4" t="s">
        <v>141</v>
      </c>
      <c r="D165" s="8">
        <v>306</v>
      </c>
      <c r="E165" s="60">
        <v>40</v>
      </c>
      <c r="F165" s="60">
        <v>25</v>
      </c>
      <c r="G165" s="60" t="s">
        <v>35</v>
      </c>
    </row>
    <row r="166" spans="1:7" s="61" customFormat="1">
      <c r="A166" s="4" t="s">
        <v>142</v>
      </c>
      <c r="B166" s="4" t="s">
        <v>135</v>
      </c>
      <c r="C166" s="4" t="s">
        <v>143</v>
      </c>
      <c r="D166" s="8">
        <v>307</v>
      </c>
      <c r="E166" s="60">
        <v>50</v>
      </c>
      <c r="F166" s="60">
        <v>25</v>
      </c>
      <c r="G166" s="60" t="s">
        <v>35</v>
      </c>
    </row>
    <row r="167" spans="1:7" s="61" customFormat="1">
      <c r="A167" s="4" t="s">
        <v>144</v>
      </c>
      <c r="B167" s="4" t="s">
        <v>135</v>
      </c>
      <c r="C167" s="4" t="s">
        <v>145</v>
      </c>
      <c r="D167" s="8">
        <v>308</v>
      </c>
      <c r="E167" s="60">
        <v>25</v>
      </c>
      <c r="F167" s="60">
        <v>25</v>
      </c>
      <c r="G167" s="60" t="s">
        <v>35</v>
      </c>
    </row>
    <row r="168" spans="1:7" s="61" customFormat="1">
      <c r="A168" s="4" t="s">
        <v>146</v>
      </c>
      <c r="B168" s="4" t="s">
        <v>135</v>
      </c>
      <c r="C168" s="4" t="s">
        <v>147</v>
      </c>
      <c r="D168" s="8">
        <v>309</v>
      </c>
      <c r="E168" s="60">
        <v>40</v>
      </c>
      <c r="F168" s="60">
        <v>25</v>
      </c>
      <c r="G168" s="60" t="s">
        <v>35</v>
      </c>
    </row>
    <row r="169" spans="1:7" s="61" customFormat="1">
      <c r="A169" s="4" t="s">
        <v>148</v>
      </c>
      <c r="B169" s="4" t="s">
        <v>135</v>
      </c>
      <c r="C169" s="4" t="s">
        <v>149</v>
      </c>
      <c r="D169" s="8">
        <v>310</v>
      </c>
      <c r="E169" s="60">
        <v>35</v>
      </c>
      <c r="F169" s="60">
        <v>25</v>
      </c>
      <c r="G169" s="60" t="s">
        <v>35</v>
      </c>
    </row>
    <row r="170" spans="1:7" s="61" customFormat="1">
      <c r="A170" s="4" t="s">
        <v>150</v>
      </c>
      <c r="B170" s="4" t="s">
        <v>135</v>
      </c>
      <c r="C170" s="4" t="s">
        <v>121</v>
      </c>
      <c r="D170" s="8">
        <v>311</v>
      </c>
      <c r="E170" s="60">
        <v>25</v>
      </c>
      <c r="F170" s="60">
        <v>25</v>
      </c>
      <c r="G170" s="60" t="s">
        <v>35</v>
      </c>
    </row>
    <row r="171" spans="1:7" s="61" customFormat="1">
      <c r="A171" s="4" t="s">
        <v>155</v>
      </c>
      <c r="B171" s="4" t="s">
        <v>153</v>
      </c>
      <c r="C171" s="4" t="s">
        <v>121</v>
      </c>
      <c r="D171" s="8">
        <v>311</v>
      </c>
      <c r="E171" s="60">
        <v>25</v>
      </c>
      <c r="F171" s="60">
        <v>25</v>
      </c>
      <c r="G171" s="60" t="s">
        <v>35</v>
      </c>
    </row>
    <row r="172" spans="1:7" s="61" customFormat="1">
      <c r="A172" s="4" t="s">
        <v>564</v>
      </c>
      <c r="B172" s="4" t="s">
        <v>153</v>
      </c>
      <c r="C172" s="4" t="s">
        <v>565</v>
      </c>
      <c r="D172" s="8">
        <v>311</v>
      </c>
      <c r="E172" s="60">
        <v>25</v>
      </c>
      <c r="F172" s="60">
        <v>25</v>
      </c>
      <c r="G172" s="60" t="s">
        <v>35</v>
      </c>
    </row>
    <row r="173" spans="1:7" s="61" customFormat="1">
      <c r="A173" s="4" t="s">
        <v>566</v>
      </c>
      <c r="B173" s="4" t="s">
        <v>153</v>
      </c>
      <c r="C173" s="4" t="s">
        <v>568</v>
      </c>
      <c r="D173" s="8">
        <v>311</v>
      </c>
      <c r="E173" s="60">
        <v>25</v>
      </c>
      <c r="F173" s="60">
        <v>25</v>
      </c>
      <c r="G173" s="60" t="s">
        <v>35</v>
      </c>
    </row>
    <row r="174" spans="1:7" s="61" customFormat="1">
      <c r="A174" s="4" t="s">
        <v>567</v>
      </c>
      <c r="B174" s="4" t="s">
        <v>153</v>
      </c>
      <c r="C174" s="4" t="s">
        <v>569</v>
      </c>
      <c r="D174" s="8">
        <v>311</v>
      </c>
      <c r="E174" s="60">
        <v>25</v>
      </c>
      <c r="F174" s="60">
        <v>25</v>
      </c>
      <c r="G174" s="60" t="s">
        <v>35</v>
      </c>
    </row>
    <row r="175" spans="1:7" s="61" customFormat="1">
      <c r="A175" s="4" t="s">
        <v>120</v>
      </c>
      <c r="B175" s="4" t="s">
        <v>68</v>
      </c>
      <c r="C175" s="4" t="s">
        <v>570</v>
      </c>
      <c r="D175" s="8">
        <v>311</v>
      </c>
      <c r="E175" s="60">
        <v>25</v>
      </c>
      <c r="F175" s="60">
        <v>25</v>
      </c>
      <c r="G175" s="60" t="s">
        <v>35</v>
      </c>
    </row>
    <row r="176" spans="1:7" s="61" customFormat="1">
      <c r="A176" s="4" t="s">
        <v>488</v>
      </c>
      <c r="B176" s="4" t="s">
        <v>68</v>
      </c>
      <c r="C176" s="4" t="s">
        <v>485</v>
      </c>
      <c r="D176" s="8">
        <v>311</v>
      </c>
      <c r="E176" s="60">
        <v>15</v>
      </c>
      <c r="F176" s="60">
        <v>25</v>
      </c>
      <c r="G176" s="60" t="s">
        <v>35</v>
      </c>
    </row>
    <row r="177" spans="1:7" s="61" customFormat="1">
      <c r="A177" s="4" t="s">
        <v>545</v>
      </c>
      <c r="B177" s="4" t="s">
        <v>68</v>
      </c>
      <c r="C177" s="4" t="s">
        <v>546</v>
      </c>
      <c r="D177" s="8">
        <v>311</v>
      </c>
      <c r="E177" s="60">
        <v>15</v>
      </c>
      <c r="F177" s="60">
        <v>25</v>
      </c>
      <c r="G177" s="60" t="s">
        <v>35</v>
      </c>
    </row>
    <row r="178" spans="1:7" s="61" customFormat="1">
      <c r="A178" s="4" t="s">
        <v>547</v>
      </c>
      <c r="B178" s="4" t="s">
        <v>68</v>
      </c>
      <c r="C178" s="4" t="s">
        <v>548</v>
      </c>
      <c r="D178" s="8">
        <v>311</v>
      </c>
      <c r="E178" s="60">
        <v>15</v>
      </c>
      <c r="F178" s="60">
        <v>25</v>
      </c>
      <c r="G178" s="60" t="s">
        <v>35</v>
      </c>
    </row>
    <row r="179" spans="1:7" s="61" customFormat="1">
      <c r="A179" s="4" t="s">
        <v>622</v>
      </c>
      <c r="B179" s="4" t="s">
        <v>68</v>
      </c>
      <c r="C179" s="4" t="s">
        <v>549</v>
      </c>
      <c r="D179" s="8">
        <v>311</v>
      </c>
      <c r="E179" s="60">
        <v>50</v>
      </c>
      <c r="F179" s="60">
        <v>25</v>
      </c>
      <c r="G179" s="60" t="s">
        <v>35</v>
      </c>
    </row>
    <row r="180" spans="1:7" s="61" customFormat="1">
      <c r="A180" s="4" t="s">
        <v>156</v>
      </c>
      <c r="B180" s="4" t="s">
        <v>153</v>
      </c>
      <c r="C180" s="4" t="s">
        <v>157</v>
      </c>
      <c r="D180" s="8">
        <v>320</v>
      </c>
      <c r="E180" s="8" t="s">
        <v>158</v>
      </c>
      <c r="F180" s="60">
        <v>25</v>
      </c>
      <c r="G180" s="60" t="s">
        <v>35</v>
      </c>
    </row>
    <row r="181" spans="1:7" s="61" customFormat="1">
      <c r="A181" s="4" t="s">
        <v>122</v>
      </c>
      <c r="B181" s="4" t="s">
        <v>68</v>
      </c>
      <c r="C181" s="4" t="s">
        <v>123</v>
      </c>
      <c r="D181" s="8">
        <v>330</v>
      </c>
      <c r="E181" s="60">
        <v>75</v>
      </c>
      <c r="F181" s="60">
        <v>25</v>
      </c>
      <c r="G181" s="60" t="s">
        <v>35</v>
      </c>
    </row>
    <row r="182" spans="1:7" s="61" customFormat="1">
      <c r="A182" s="4" t="s">
        <v>124</v>
      </c>
      <c r="B182" s="4" t="s">
        <v>68</v>
      </c>
      <c r="C182" s="4" t="s">
        <v>125</v>
      </c>
      <c r="D182" s="8">
        <v>331</v>
      </c>
      <c r="E182" s="60">
        <v>70</v>
      </c>
      <c r="F182" s="60">
        <v>25</v>
      </c>
      <c r="G182" s="60" t="s">
        <v>35</v>
      </c>
    </row>
    <row r="183" spans="1:7" s="61" customFormat="1">
      <c r="A183" s="4" t="s">
        <v>126</v>
      </c>
      <c r="B183" s="4" t="s">
        <v>68</v>
      </c>
      <c r="C183" s="4" t="s">
        <v>87</v>
      </c>
      <c r="D183" s="8">
        <v>333</v>
      </c>
      <c r="E183" s="60">
        <v>70</v>
      </c>
      <c r="F183" s="60">
        <v>25</v>
      </c>
      <c r="G183" s="60" t="s">
        <v>35</v>
      </c>
    </row>
    <row r="184" spans="1:7" s="61" customFormat="1">
      <c r="A184" s="4" t="s">
        <v>127</v>
      </c>
      <c r="B184" s="4" t="s">
        <v>68</v>
      </c>
      <c r="C184" s="4" t="s">
        <v>556</v>
      </c>
      <c r="D184" s="8">
        <v>334</v>
      </c>
      <c r="E184" s="8">
        <v>50</v>
      </c>
      <c r="F184" s="60">
        <v>25</v>
      </c>
      <c r="G184" s="60" t="s">
        <v>35</v>
      </c>
    </row>
    <row r="185" spans="1:7" s="61" customFormat="1">
      <c r="A185" s="4" t="s">
        <v>555</v>
      </c>
      <c r="B185" s="4" t="s">
        <v>68</v>
      </c>
      <c r="C185" s="4" t="s">
        <v>89</v>
      </c>
      <c r="D185" s="8">
        <v>334</v>
      </c>
      <c r="E185" s="8">
        <v>25</v>
      </c>
      <c r="F185" s="60">
        <v>25</v>
      </c>
      <c r="G185" s="60" t="s">
        <v>35</v>
      </c>
    </row>
    <row r="186" spans="1:7" s="61" customFormat="1">
      <c r="A186" s="4" t="s">
        <v>557</v>
      </c>
      <c r="B186" s="4" t="s">
        <v>68</v>
      </c>
      <c r="C186" s="4" t="s">
        <v>554</v>
      </c>
      <c r="D186" s="8">
        <v>334</v>
      </c>
      <c r="E186" s="8">
        <v>20</v>
      </c>
      <c r="F186" s="60">
        <v>25</v>
      </c>
      <c r="G186" s="60" t="s">
        <v>35</v>
      </c>
    </row>
    <row r="187" spans="1:7" s="61" customFormat="1">
      <c r="A187" s="4" t="s">
        <v>128</v>
      </c>
      <c r="B187" s="4" t="s">
        <v>68</v>
      </c>
      <c r="C187" s="4" t="s">
        <v>129</v>
      </c>
      <c r="D187" s="8">
        <v>335</v>
      </c>
      <c r="E187" s="60">
        <v>70</v>
      </c>
      <c r="F187" s="60">
        <v>25</v>
      </c>
      <c r="G187" s="60" t="s">
        <v>35</v>
      </c>
    </row>
    <row r="188" spans="1:7" s="61" customFormat="1">
      <c r="A188" s="4" t="s">
        <v>130</v>
      </c>
      <c r="B188" s="4" t="s">
        <v>68</v>
      </c>
      <c r="C188" s="4" t="s">
        <v>131</v>
      </c>
      <c r="D188" s="8">
        <v>336</v>
      </c>
      <c r="E188" s="60">
        <v>25</v>
      </c>
      <c r="F188" s="60">
        <v>25</v>
      </c>
      <c r="G188" s="60" t="s">
        <v>35</v>
      </c>
    </row>
    <row r="189" spans="1:7" s="61" customFormat="1">
      <c r="A189" s="4" t="s">
        <v>117</v>
      </c>
      <c r="B189" s="4" t="s">
        <v>23</v>
      </c>
      <c r="C189" s="4" t="s">
        <v>27</v>
      </c>
      <c r="D189" s="8">
        <v>339</v>
      </c>
      <c r="E189" s="60">
        <v>25</v>
      </c>
      <c r="F189" s="60">
        <v>7</v>
      </c>
      <c r="G189" s="60" t="s">
        <v>25</v>
      </c>
    </row>
    <row r="190" spans="1:7" s="61" customFormat="1">
      <c r="A190" s="4" t="s">
        <v>151</v>
      </c>
      <c r="B190" s="4" t="s">
        <v>135</v>
      </c>
      <c r="C190" s="4" t="s">
        <v>133</v>
      </c>
      <c r="D190" s="8">
        <v>339</v>
      </c>
      <c r="E190" s="60">
        <v>20</v>
      </c>
      <c r="F190" s="60">
        <v>25</v>
      </c>
      <c r="G190" s="60" t="s">
        <v>35</v>
      </c>
    </row>
    <row r="191" spans="1:7" s="61" customFormat="1">
      <c r="A191" s="4" t="s">
        <v>159</v>
      </c>
      <c r="B191" s="4" t="s">
        <v>153</v>
      </c>
      <c r="C191" s="4" t="s">
        <v>133</v>
      </c>
      <c r="D191" s="8">
        <v>339</v>
      </c>
      <c r="E191" s="60">
        <v>25</v>
      </c>
      <c r="F191" s="60">
        <v>25</v>
      </c>
      <c r="G191" s="60" t="s">
        <v>35</v>
      </c>
    </row>
    <row r="192" spans="1:7" s="61" customFormat="1">
      <c r="A192" s="4" t="s">
        <v>132</v>
      </c>
      <c r="B192" s="4" t="s">
        <v>68</v>
      </c>
      <c r="C192" s="4" t="s">
        <v>133</v>
      </c>
      <c r="D192" s="8">
        <v>339</v>
      </c>
      <c r="E192" s="60">
        <v>20</v>
      </c>
      <c r="F192" s="60">
        <v>25</v>
      </c>
      <c r="G192" s="60" t="s">
        <v>35</v>
      </c>
    </row>
    <row r="193" spans="1:7" s="61" customFormat="1">
      <c r="A193" s="4" t="s">
        <v>162</v>
      </c>
      <c r="B193" s="4" t="s">
        <v>97</v>
      </c>
      <c r="C193" s="4" t="s">
        <v>559</v>
      </c>
      <c r="D193" s="8">
        <v>340</v>
      </c>
      <c r="E193" s="60">
        <v>5</v>
      </c>
      <c r="F193" s="60">
        <v>5</v>
      </c>
      <c r="G193" s="60" t="s">
        <v>35</v>
      </c>
    </row>
    <row r="194" spans="1:7" s="61" customFormat="1">
      <c r="A194" s="4" t="s">
        <v>571</v>
      </c>
      <c r="B194" s="4" t="s">
        <v>97</v>
      </c>
      <c r="C194" s="4" t="s">
        <v>572</v>
      </c>
      <c r="D194" s="8">
        <v>340</v>
      </c>
      <c r="E194" s="60">
        <v>10</v>
      </c>
      <c r="F194" s="60">
        <v>7</v>
      </c>
      <c r="G194" s="60" t="s">
        <v>35</v>
      </c>
    </row>
    <row r="195" spans="1:7" s="61" customFormat="1">
      <c r="A195" s="4" t="s">
        <v>163</v>
      </c>
      <c r="B195" s="4" t="s">
        <v>97</v>
      </c>
      <c r="C195" s="4" t="s">
        <v>576</v>
      </c>
      <c r="D195" s="8">
        <v>341</v>
      </c>
      <c r="E195" s="60">
        <v>10</v>
      </c>
      <c r="F195" s="60">
        <v>5</v>
      </c>
      <c r="G195" s="60" t="s">
        <v>35</v>
      </c>
    </row>
    <row r="196" spans="1:7" s="61" customFormat="1">
      <c r="A196" s="4" t="s">
        <v>574</v>
      </c>
      <c r="B196" s="4" t="s">
        <v>97</v>
      </c>
      <c r="C196" s="4" t="s">
        <v>577</v>
      </c>
      <c r="D196" s="8">
        <v>341</v>
      </c>
      <c r="E196" s="60">
        <v>15</v>
      </c>
      <c r="F196" s="60">
        <v>5</v>
      </c>
      <c r="G196" s="60" t="s">
        <v>35</v>
      </c>
    </row>
    <row r="197" spans="1:7" s="61" customFormat="1">
      <c r="A197" s="4" t="s">
        <v>575</v>
      </c>
      <c r="B197" s="4" t="s">
        <v>97</v>
      </c>
      <c r="C197" s="4" t="s">
        <v>578</v>
      </c>
      <c r="D197" s="8">
        <v>341</v>
      </c>
      <c r="E197" s="60">
        <v>7</v>
      </c>
      <c r="F197" s="60">
        <v>5</v>
      </c>
      <c r="G197" s="60" t="s">
        <v>35</v>
      </c>
    </row>
    <row r="198" spans="1:7" s="61" customFormat="1">
      <c r="A198" s="4" t="s">
        <v>164</v>
      </c>
      <c r="B198" s="4" t="s">
        <v>97</v>
      </c>
      <c r="C198" s="4" t="s">
        <v>103</v>
      </c>
      <c r="D198" s="8">
        <v>342</v>
      </c>
      <c r="E198" s="60">
        <v>10</v>
      </c>
      <c r="F198" s="60">
        <v>7</v>
      </c>
      <c r="G198" s="60" t="s">
        <v>35</v>
      </c>
    </row>
    <row r="199" spans="1:7" s="61" customFormat="1">
      <c r="A199" s="4" t="s">
        <v>165</v>
      </c>
      <c r="B199" s="4" t="s">
        <v>97</v>
      </c>
      <c r="C199" s="4" t="s">
        <v>582</v>
      </c>
      <c r="D199" s="8">
        <v>343</v>
      </c>
      <c r="E199" s="60">
        <v>10</v>
      </c>
      <c r="F199" s="60">
        <v>7</v>
      </c>
      <c r="G199" s="60" t="s">
        <v>35</v>
      </c>
    </row>
    <row r="200" spans="1:7" s="61" customFormat="1">
      <c r="A200" s="4" t="s">
        <v>579</v>
      </c>
      <c r="B200" s="4" t="s">
        <v>97</v>
      </c>
      <c r="C200" s="4" t="s">
        <v>583</v>
      </c>
      <c r="D200" s="8">
        <v>343</v>
      </c>
      <c r="E200" s="60">
        <v>7</v>
      </c>
      <c r="F200" s="60">
        <v>7</v>
      </c>
      <c r="G200" s="60" t="s">
        <v>35</v>
      </c>
    </row>
    <row r="201" spans="1:7" s="61" customFormat="1">
      <c r="A201" s="4" t="s">
        <v>580</v>
      </c>
      <c r="B201" s="4" t="s">
        <v>97</v>
      </c>
      <c r="C201" s="4" t="s">
        <v>584</v>
      </c>
      <c r="D201" s="8">
        <v>343</v>
      </c>
      <c r="E201" s="60">
        <v>5</v>
      </c>
      <c r="F201" s="60">
        <v>7</v>
      </c>
      <c r="G201" s="60" t="s">
        <v>35</v>
      </c>
    </row>
    <row r="202" spans="1:7" s="61" customFormat="1">
      <c r="A202" s="4" t="s">
        <v>581</v>
      </c>
      <c r="B202" s="4" t="s">
        <v>97</v>
      </c>
      <c r="C202" s="4" t="s">
        <v>585</v>
      </c>
      <c r="D202" s="8">
        <v>343</v>
      </c>
      <c r="E202" s="60">
        <v>3</v>
      </c>
      <c r="F202" s="60">
        <v>7</v>
      </c>
      <c r="G202" s="60" t="s">
        <v>35</v>
      </c>
    </row>
    <row r="203" spans="1:7" s="61" customFormat="1">
      <c r="A203" s="4" t="s">
        <v>166</v>
      </c>
      <c r="B203" s="4" t="s">
        <v>97</v>
      </c>
      <c r="C203" s="4" t="s">
        <v>588</v>
      </c>
      <c r="D203" s="8">
        <v>344</v>
      </c>
      <c r="E203" s="60">
        <v>10</v>
      </c>
      <c r="F203" s="60">
        <v>7</v>
      </c>
      <c r="G203" s="60" t="s">
        <v>35</v>
      </c>
    </row>
    <row r="204" spans="1:7" s="61" customFormat="1">
      <c r="A204" s="4" t="s">
        <v>586</v>
      </c>
      <c r="B204" s="4" t="s">
        <v>97</v>
      </c>
      <c r="C204" s="4" t="s">
        <v>589</v>
      </c>
      <c r="D204" s="8">
        <v>344</v>
      </c>
      <c r="E204" s="60">
        <v>15</v>
      </c>
      <c r="F204" s="60">
        <v>7</v>
      </c>
      <c r="G204" s="60" t="s">
        <v>35</v>
      </c>
    </row>
    <row r="205" spans="1:7" s="61" customFormat="1">
      <c r="A205" s="4" t="s">
        <v>587</v>
      </c>
      <c r="B205" s="4" t="s">
        <v>97</v>
      </c>
      <c r="C205" s="4" t="s">
        <v>590</v>
      </c>
      <c r="D205" s="8">
        <v>344</v>
      </c>
      <c r="E205" s="60">
        <v>5</v>
      </c>
      <c r="F205" s="60">
        <v>7</v>
      </c>
      <c r="G205" s="60" t="s">
        <v>35</v>
      </c>
    </row>
    <row r="206" spans="1:7" s="61" customFormat="1">
      <c r="A206" s="4" t="s">
        <v>167</v>
      </c>
      <c r="B206" s="4" t="s">
        <v>97</v>
      </c>
      <c r="C206" s="4" t="s">
        <v>591</v>
      </c>
      <c r="D206" s="8">
        <v>345</v>
      </c>
      <c r="E206" s="60">
        <v>10</v>
      </c>
      <c r="F206" s="60">
        <v>5</v>
      </c>
      <c r="G206" s="60" t="s">
        <v>35</v>
      </c>
    </row>
    <row r="207" spans="1:7" s="61" customFormat="1">
      <c r="A207" s="4" t="s">
        <v>592</v>
      </c>
      <c r="B207" s="4" t="s">
        <v>97</v>
      </c>
      <c r="C207" s="4" t="s">
        <v>593</v>
      </c>
      <c r="D207" s="8">
        <v>345</v>
      </c>
      <c r="E207" s="60">
        <v>5</v>
      </c>
      <c r="F207" s="60">
        <v>5</v>
      </c>
      <c r="G207" s="60" t="s">
        <v>35</v>
      </c>
    </row>
    <row r="208" spans="1:7" s="61" customFormat="1">
      <c r="A208" s="4" t="s">
        <v>168</v>
      </c>
      <c r="B208" s="4" t="s">
        <v>97</v>
      </c>
      <c r="C208" s="4" t="s">
        <v>595</v>
      </c>
      <c r="D208" s="8">
        <v>346</v>
      </c>
      <c r="E208" s="60">
        <v>5</v>
      </c>
      <c r="F208" s="60">
        <v>5</v>
      </c>
      <c r="G208" s="60" t="s">
        <v>35</v>
      </c>
    </row>
    <row r="209" spans="1:7" s="61" customFormat="1">
      <c r="A209" s="4" t="s">
        <v>594</v>
      </c>
      <c r="B209" s="4" t="s">
        <v>97</v>
      </c>
      <c r="C209" s="4" t="s">
        <v>596</v>
      </c>
      <c r="D209" s="8">
        <v>346</v>
      </c>
      <c r="E209" s="60">
        <v>7</v>
      </c>
      <c r="F209" s="60">
        <v>5</v>
      </c>
      <c r="G209" s="60" t="s">
        <v>35</v>
      </c>
    </row>
    <row r="210" spans="1:7" s="61" customFormat="1">
      <c r="A210" s="4" t="s">
        <v>597</v>
      </c>
      <c r="B210" s="4" t="s">
        <v>97</v>
      </c>
      <c r="C210" s="4" t="s">
        <v>598</v>
      </c>
      <c r="D210" s="8">
        <v>346</v>
      </c>
      <c r="E210" s="60">
        <v>10</v>
      </c>
      <c r="F210" s="60">
        <v>5</v>
      </c>
      <c r="G210" s="60" t="s">
        <v>35</v>
      </c>
    </row>
    <row r="211" spans="1:7" s="61" customFormat="1">
      <c r="A211" s="4" t="s">
        <v>169</v>
      </c>
      <c r="B211" s="4" t="s">
        <v>97</v>
      </c>
      <c r="C211" s="4" t="s">
        <v>113</v>
      </c>
      <c r="D211" s="8">
        <v>347</v>
      </c>
      <c r="E211" s="60">
        <v>15</v>
      </c>
      <c r="F211" s="60">
        <v>5</v>
      </c>
      <c r="G211" s="60" t="s">
        <v>35</v>
      </c>
    </row>
    <row r="212" spans="1:7" s="61" customFormat="1">
      <c r="A212" s="4" t="s">
        <v>170</v>
      </c>
      <c r="B212" s="4" t="s">
        <v>97</v>
      </c>
      <c r="C212" s="4" t="s">
        <v>115</v>
      </c>
      <c r="D212" s="8">
        <v>348</v>
      </c>
      <c r="E212" s="60">
        <v>10</v>
      </c>
      <c r="F212" s="60">
        <v>5</v>
      </c>
      <c r="G212" s="60" t="s">
        <v>35</v>
      </c>
    </row>
    <row r="213" spans="1:7" s="61" customFormat="1">
      <c r="A213" s="7" t="s">
        <v>171</v>
      </c>
      <c r="B213" s="7" t="s">
        <v>23</v>
      </c>
      <c r="C213" s="7" t="s">
        <v>24</v>
      </c>
      <c r="D213" s="8">
        <v>351</v>
      </c>
      <c r="E213" s="60">
        <v>50</v>
      </c>
      <c r="F213" s="60">
        <v>50</v>
      </c>
      <c r="G213" s="60" t="s">
        <v>25</v>
      </c>
    </row>
    <row r="214" spans="1:7" s="61" customFormat="1">
      <c r="A214" s="7" t="s">
        <v>173</v>
      </c>
      <c r="B214" s="7" t="s">
        <v>174</v>
      </c>
      <c r="C214" s="7" t="s">
        <v>30</v>
      </c>
      <c r="D214" s="8">
        <v>353</v>
      </c>
      <c r="E214" s="60">
        <v>0</v>
      </c>
      <c r="F214" s="60">
        <v>0</v>
      </c>
      <c r="G214" s="60" t="s">
        <v>25</v>
      </c>
    </row>
    <row r="215" spans="1:7" s="61" customFormat="1">
      <c r="A215" s="7" t="s">
        <v>191</v>
      </c>
      <c r="B215" s="7" t="s">
        <v>153</v>
      </c>
      <c r="C215" s="7" t="s">
        <v>30</v>
      </c>
      <c r="D215" s="8">
        <v>353</v>
      </c>
      <c r="E215" s="60">
        <v>0</v>
      </c>
      <c r="F215" s="60">
        <v>0</v>
      </c>
      <c r="G215" s="60" t="s">
        <v>25</v>
      </c>
    </row>
    <row r="216" spans="1:7" s="61" customFormat="1">
      <c r="A216" s="7" t="s">
        <v>201</v>
      </c>
      <c r="B216" s="7" t="s">
        <v>97</v>
      </c>
      <c r="C216" s="7" t="s">
        <v>30</v>
      </c>
      <c r="D216" s="8">
        <v>353</v>
      </c>
      <c r="E216" s="60">
        <v>0</v>
      </c>
      <c r="F216" s="60">
        <v>0</v>
      </c>
      <c r="G216" s="60" t="s">
        <v>25</v>
      </c>
    </row>
    <row r="217" spans="1:7" s="61" customFormat="1">
      <c r="A217" s="7" t="s">
        <v>175</v>
      </c>
      <c r="B217" s="7" t="s">
        <v>174</v>
      </c>
      <c r="C217" s="7" t="s">
        <v>70</v>
      </c>
      <c r="D217" s="8">
        <v>354</v>
      </c>
      <c r="E217" s="60">
        <v>25</v>
      </c>
      <c r="F217" s="60">
        <v>39</v>
      </c>
      <c r="G217" s="60" t="s">
        <v>25</v>
      </c>
    </row>
    <row r="218" spans="1:7" s="61" customFormat="1">
      <c r="A218" s="7" t="s">
        <v>192</v>
      </c>
      <c r="B218" s="7" t="s">
        <v>153</v>
      </c>
      <c r="C218" s="7" t="s">
        <v>70</v>
      </c>
      <c r="D218" s="8">
        <v>354</v>
      </c>
      <c r="E218" s="60">
        <v>40</v>
      </c>
      <c r="F218" s="60">
        <v>39</v>
      </c>
      <c r="G218" s="60" t="s">
        <v>25</v>
      </c>
    </row>
    <row r="219" spans="1:7" s="61" customFormat="1">
      <c r="A219" s="7" t="s">
        <v>202</v>
      </c>
      <c r="B219" s="7" t="s">
        <v>97</v>
      </c>
      <c r="C219" s="7" t="s">
        <v>70</v>
      </c>
      <c r="D219" s="8">
        <v>354</v>
      </c>
      <c r="E219" s="60">
        <v>40</v>
      </c>
      <c r="F219" s="60">
        <v>39</v>
      </c>
      <c r="G219" s="60" t="s">
        <v>25</v>
      </c>
    </row>
    <row r="220" spans="1:7" s="61" customFormat="1">
      <c r="A220" s="7" t="s">
        <v>176</v>
      </c>
      <c r="B220" s="7" t="s">
        <v>174</v>
      </c>
      <c r="C220" s="7" t="s">
        <v>177</v>
      </c>
      <c r="D220" s="8">
        <v>355</v>
      </c>
      <c r="E220" s="60">
        <v>35</v>
      </c>
      <c r="F220" s="60">
        <v>25</v>
      </c>
      <c r="G220" s="60" t="s">
        <v>35</v>
      </c>
    </row>
    <row r="221" spans="1:7" s="61" customFormat="1">
      <c r="A221" s="7" t="s">
        <v>193</v>
      </c>
      <c r="B221" s="7" t="s">
        <v>153</v>
      </c>
      <c r="C221" s="7" t="s">
        <v>177</v>
      </c>
      <c r="D221" s="8">
        <v>355</v>
      </c>
      <c r="E221" s="60">
        <v>35</v>
      </c>
      <c r="F221" s="60">
        <v>25</v>
      </c>
      <c r="G221" s="60" t="s">
        <v>35</v>
      </c>
    </row>
    <row r="222" spans="1:7" s="61" customFormat="1">
      <c r="A222" s="7" t="s">
        <v>178</v>
      </c>
      <c r="B222" s="7" t="s">
        <v>174</v>
      </c>
      <c r="C222" s="7" t="s">
        <v>179</v>
      </c>
      <c r="D222" s="8">
        <v>360</v>
      </c>
      <c r="E222" s="60">
        <v>70</v>
      </c>
      <c r="F222" s="60">
        <v>25</v>
      </c>
      <c r="G222" s="60" t="s">
        <v>35</v>
      </c>
    </row>
    <row r="223" spans="1:7" s="61" customFormat="1">
      <c r="A223" s="7" t="s">
        <v>180</v>
      </c>
      <c r="B223" s="7" t="s">
        <v>174</v>
      </c>
      <c r="C223" s="7" t="s">
        <v>181</v>
      </c>
      <c r="D223" s="8">
        <v>361</v>
      </c>
      <c r="E223" s="60">
        <v>70</v>
      </c>
      <c r="F223" s="60">
        <v>25</v>
      </c>
      <c r="G223" s="60" t="s">
        <v>35</v>
      </c>
    </row>
    <row r="224" spans="1:7" s="61" customFormat="1">
      <c r="A224" s="7" t="s">
        <v>599</v>
      </c>
      <c r="B224" s="7" t="s">
        <v>174</v>
      </c>
      <c r="C224" s="7" t="s">
        <v>600</v>
      </c>
      <c r="D224" s="8">
        <v>361</v>
      </c>
      <c r="E224" s="60">
        <v>70</v>
      </c>
      <c r="F224" s="60">
        <v>25</v>
      </c>
      <c r="G224" s="60" t="s">
        <v>35</v>
      </c>
    </row>
    <row r="225" spans="1:7" s="61" customFormat="1">
      <c r="A225" s="7" t="s">
        <v>601</v>
      </c>
      <c r="B225" s="7" t="s">
        <v>174</v>
      </c>
      <c r="C225" s="7" t="s">
        <v>603</v>
      </c>
      <c r="D225" s="8">
        <v>361</v>
      </c>
      <c r="E225" s="60">
        <v>70</v>
      </c>
      <c r="F225" s="60">
        <v>25</v>
      </c>
      <c r="G225" s="60" t="s">
        <v>35</v>
      </c>
    </row>
    <row r="226" spans="1:7" s="61" customFormat="1">
      <c r="A226" s="7" t="s">
        <v>602</v>
      </c>
      <c r="B226" s="7" t="s">
        <v>174</v>
      </c>
      <c r="C226" s="7" t="s">
        <v>604</v>
      </c>
      <c r="D226" s="8">
        <v>361</v>
      </c>
      <c r="E226" s="60">
        <v>70</v>
      </c>
      <c r="F226" s="60">
        <v>25</v>
      </c>
      <c r="G226" s="60" t="s">
        <v>35</v>
      </c>
    </row>
    <row r="227" spans="1:7" s="61" customFormat="1">
      <c r="A227" s="7" t="s">
        <v>182</v>
      </c>
      <c r="B227" s="7" t="s">
        <v>174</v>
      </c>
      <c r="C227" s="7" t="s">
        <v>183</v>
      </c>
      <c r="D227" s="8">
        <v>362</v>
      </c>
      <c r="E227" s="60">
        <v>30</v>
      </c>
      <c r="F227" s="60">
        <v>25</v>
      </c>
      <c r="G227" s="60" t="s">
        <v>35</v>
      </c>
    </row>
    <row r="228" spans="1:7" s="61" customFormat="1">
      <c r="A228" s="7" t="s">
        <v>184</v>
      </c>
      <c r="B228" s="7" t="s">
        <v>174</v>
      </c>
      <c r="C228" s="7" t="s">
        <v>185</v>
      </c>
      <c r="D228" s="8">
        <v>363</v>
      </c>
      <c r="E228" s="60">
        <v>30</v>
      </c>
      <c r="F228" s="60">
        <v>25</v>
      </c>
      <c r="G228" s="60" t="s">
        <v>35</v>
      </c>
    </row>
    <row r="229" spans="1:7" s="61" customFormat="1">
      <c r="A229" s="7" t="s">
        <v>186</v>
      </c>
      <c r="B229" s="7" t="s">
        <v>174</v>
      </c>
      <c r="C229" s="7" t="s">
        <v>537</v>
      </c>
      <c r="D229" s="8">
        <v>364</v>
      </c>
      <c r="E229" s="60">
        <v>15</v>
      </c>
      <c r="F229" s="60">
        <v>25</v>
      </c>
      <c r="G229" s="60" t="s">
        <v>35</v>
      </c>
    </row>
    <row r="230" spans="1:7" s="61" customFormat="1">
      <c r="A230" s="7" t="s">
        <v>536</v>
      </c>
      <c r="B230" s="7" t="s">
        <v>174</v>
      </c>
      <c r="C230" s="7" t="s">
        <v>538</v>
      </c>
      <c r="D230" s="8">
        <v>364</v>
      </c>
      <c r="E230" s="60">
        <v>10</v>
      </c>
      <c r="F230" s="60">
        <v>25</v>
      </c>
      <c r="G230" s="60" t="s">
        <v>35</v>
      </c>
    </row>
    <row r="231" spans="1:7" s="61" customFormat="1">
      <c r="A231" s="7" t="s">
        <v>539</v>
      </c>
      <c r="B231" s="7" t="s">
        <v>174</v>
      </c>
      <c r="C231" s="7" t="s">
        <v>542</v>
      </c>
      <c r="D231" s="8">
        <v>364</v>
      </c>
      <c r="E231" s="60">
        <v>25</v>
      </c>
      <c r="F231" s="60">
        <v>25</v>
      </c>
      <c r="G231" s="60" t="s">
        <v>35</v>
      </c>
    </row>
    <row r="232" spans="1:7" s="61" customFormat="1">
      <c r="A232" s="7" t="s">
        <v>541</v>
      </c>
      <c r="B232" s="7" t="s">
        <v>174</v>
      </c>
      <c r="C232" s="7" t="s">
        <v>544</v>
      </c>
      <c r="D232" s="8">
        <v>364</v>
      </c>
      <c r="E232" s="60">
        <v>25</v>
      </c>
      <c r="F232" s="60">
        <v>25</v>
      </c>
      <c r="G232" s="60" t="s">
        <v>35</v>
      </c>
    </row>
    <row r="233" spans="1:7" s="61" customFormat="1">
      <c r="A233" s="7" t="s">
        <v>543</v>
      </c>
      <c r="B233" s="7" t="s">
        <v>174</v>
      </c>
      <c r="C233" s="7" t="s">
        <v>540</v>
      </c>
      <c r="D233" s="8">
        <v>364</v>
      </c>
      <c r="E233" s="60">
        <v>50</v>
      </c>
      <c r="F233" s="60">
        <v>25</v>
      </c>
      <c r="G233" s="60" t="s">
        <v>35</v>
      </c>
    </row>
    <row r="234" spans="1:7" s="61" customFormat="1">
      <c r="A234" s="7" t="s">
        <v>187</v>
      </c>
      <c r="B234" s="7" t="s">
        <v>174</v>
      </c>
      <c r="C234" s="7" t="s">
        <v>188</v>
      </c>
      <c r="D234" s="8">
        <v>365</v>
      </c>
      <c r="E234" s="60">
        <v>15</v>
      </c>
      <c r="F234" s="60">
        <v>25</v>
      </c>
      <c r="G234" s="60" t="s">
        <v>35</v>
      </c>
    </row>
    <row r="235" spans="1:7" s="61" customFormat="1">
      <c r="A235" s="7" t="s">
        <v>194</v>
      </c>
      <c r="B235" s="7" t="s">
        <v>153</v>
      </c>
      <c r="C235" s="7" t="s">
        <v>195</v>
      </c>
      <c r="D235" s="8">
        <v>380</v>
      </c>
      <c r="E235" s="60">
        <v>50</v>
      </c>
      <c r="F235" s="60">
        <v>25</v>
      </c>
      <c r="G235" s="60" t="s">
        <v>35</v>
      </c>
    </row>
    <row r="236" spans="1:7" s="61" customFormat="1">
      <c r="A236" s="7" t="s">
        <v>196</v>
      </c>
      <c r="B236" s="7" t="s">
        <v>153</v>
      </c>
      <c r="C236" s="7" t="s">
        <v>197</v>
      </c>
      <c r="D236" s="8">
        <v>381</v>
      </c>
      <c r="E236" s="60">
        <v>10</v>
      </c>
      <c r="F236" s="60">
        <v>25</v>
      </c>
      <c r="G236" s="60" t="s">
        <v>35</v>
      </c>
    </row>
    <row r="237" spans="1:7" s="61" customFormat="1">
      <c r="A237" s="7" t="s">
        <v>198</v>
      </c>
      <c r="B237" s="7" t="s">
        <v>153</v>
      </c>
      <c r="C237" s="7" t="s">
        <v>199</v>
      </c>
      <c r="D237" s="8">
        <v>382</v>
      </c>
      <c r="E237" s="60">
        <v>30</v>
      </c>
      <c r="F237" s="60">
        <v>25</v>
      </c>
      <c r="G237" s="60" t="s">
        <v>35</v>
      </c>
    </row>
    <row r="238" spans="1:7" s="61" customFormat="1">
      <c r="A238" s="4" t="s">
        <v>172</v>
      </c>
      <c r="B238" s="7" t="s">
        <v>23</v>
      </c>
      <c r="C238" s="4" t="s">
        <v>27</v>
      </c>
      <c r="D238" s="8">
        <v>389</v>
      </c>
      <c r="E238" s="60">
        <v>5</v>
      </c>
      <c r="F238" s="60">
        <v>7</v>
      </c>
      <c r="G238" s="60" t="s">
        <v>25</v>
      </c>
    </row>
    <row r="239" spans="1:7" s="61" customFormat="1">
      <c r="A239" s="4" t="s">
        <v>189</v>
      </c>
      <c r="B239" s="7" t="s">
        <v>174</v>
      </c>
      <c r="C239" s="4" t="s">
        <v>190</v>
      </c>
      <c r="D239" s="8">
        <v>389</v>
      </c>
      <c r="E239" s="60">
        <v>5</v>
      </c>
      <c r="F239" s="60">
        <v>5</v>
      </c>
      <c r="G239" s="60" t="s">
        <v>35</v>
      </c>
    </row>
    <row r="240" spans="1:7" s="61" customFormat="1">
      <c r="A240" s="4" t="s">
        <v>200</v>
      </c>
      <c r="B240" s="7" t="s">
        <v>153</v>
      </c>
      <c r="C240" s="4" t="s">
        <v>190</v>
      </c>
      <c r="D240" s="8">
        <v>389</v>
      </c>
      <c r="E240" s="60">
        <v>10</v>
      </c>
      <c r="F240" s="60">
        <v>5</v>
      </c>
      <c r="G240" s="60" t="s">
        <v>35</v>
      </c>
    </row>
    <row r="241" spans="1:7" s="61" customFormat="1">
      <c r="A241" s="4" t="s">
        <v>203</v>
      </c>
      <c r="B241" s="7" t="s">
        <v>97</v>
      </c>
      <c r="C241" s="4" t="s">
        <v>607</v>
      </c>
      <c r="D241" s="8">
        <v>390</v>
      </c>
      <c r="E241" s="60">
        <v>5</v>
      </c>
      <c r="F241" s="60">
        <v>5</v>
      </c>
      <c r="G241" s="60" t="s">
        <v>35</v>
      </c>
    </row>
    <row r="242" spans="1:7" s="61" customFormat="1">
      <c r="A242" s="4" t="s">
        <v>605</v>
      </c>
      <c r="B242" s="7" t="s">
        <v>97</v>
      </c>
      <c r="C242" s="4" t="s">
        <v>608</v>
      </c>
      <c r="D242" s="8">
        <v>390</v>
      </c>
      <c r="E242" s="60">
        <v>10</v>
      </c>
      <c r="F242" s="60">
        <v>7</v>
      </c>
      <c r="G242" s="60" t="s">
        <v>35</v>
      </c>
    </row>
    <row r="243" spans="1:7" s="61" customFormat="1">
      <c r="A243" s="4" t="s">
        <v>606</v>
      </c>
      <c r="B243" s="7" t="s">
        <v>97</v>
      </c>
      <c r="C243" s="4" t="s">
        <v>609</v>
      </c>
      <c r="D243" s="8">
        <v>390</v>
      </c>
      <c r="E243" s="60">
        <v>5</v>
      </c>
      <c r="F243" s="60">
        <v>7</v>
      </c>
      <c r="G243" s="60" t="s">
        <v>35</v>
      </c>
    </row>
    <row r="244" spans="1:7" s="61" customFormat="1">
      <c r="A244" s="4" t="s">
        <v>204</v>
      </c>
      <c r="B244" s="7" t="s">
        <v>97</v>
      </c>
      <c r="C244" s="4" t="s">
        <v>576</v>
      </c>
      <c r="D244" s="8">
        <v>391</v>
      </c>
      <c r="E244" s="60">
        <v>10</v>
      </c>
      <c r="F244" s="60">
        <v>5</v>
      </c>
      <c r="G244" s="60" t="s">
        <v>35</v>
      </c>
    </row>
    <row r="245" spans="1:7" s="61" customFormat="1">
      <c r="A245" s="4" t="s">
        <v>610</v>
      </c>
      <c r="B245" s="7" t="s">
        <v>97</v>
      </c>
      <c r="C245" s="4" t="s">
        <v>612</v>
      </c>
      <c r="D245" s="8">
        <v>391</v>
      </c>
      <c r="E245" s="60">
        <v>5</v>
      </c>
      <c r="F245" s="60">
        <v>5</v>
      </c>
      <c r="G245" s="60" t="s">
        <v>35</v>
      </c>
    </row>
    <row r="246" spans="1:7" s="61" customFormat="1">
      <c r="A246" s="4" t="s">
        <v>611</v>
      </c>
      <c r="B246" s="7" t="s">
        <v>97</v>
      </c>
      <c r="C246" s="4" t="s">
        <v>577</v>
      </c>
      <c r="D246" s="8">
        <v>391</v>
      </c>
      <c r="E246" s="60">
        <v>15</v>
      </c>
      <c r="F246" s="60">
        <v>7</v>
      </c>
      <c r="G246" s="60" t="s">
        <v>35</v>
      </c>
    </row>
    <row r="247" spans="1:7" s="61" customFormat="1">
      <c r="A247" s="4" t="s">
        <v>205</v>
      </c>
      <c r="B247" s="7" t="s">
        <v>97</v>
      </c>
      <c r="C247" s="4" t="s">
        <v>103</v>
      </c>
      <c r="D247" s="8">
        <v>392</v>
      </c>
      <c r="E247" s="60">
        <v>10</v>
      </c>
      <c r="F247" s="60">
        <v>7</v>
      </c>
      <c r="G247" s="60" t="s">
        <v>35</v>
      </c>
    </row>
    <row r="248" spans="1:7" s="61" customFormat="1">
      <c r="A248" s="4" t="s">
        <v>206</v>
      </c>
      <c r="B248" s="7" t="s">
        <v>97</v>
      </c>
      <c r="C248" s="4" t="s">
        <v>614</v>
      </c>
      <c r="D248" s="8">
        <v>393</v>
      </c>
      <c r="E248" s="60">
        <v>7</v>
      </c>
      <c r="F248" s="60">
        <v>7</v>
      </c>
      <c r="G248" s="60" t="s">
        <v>35</v>
      </c>
    </row>
    <row r="249" spans="1:7" s="61" customFormat="1">
      <c r="A249" s="4" t="s">
        <v>613</v>
      </c>
      <c r="B249" s="7" t="s">
        <v>97</v>
      </c>
      <c r="C249" s="4" t="s">
        <v>615</v>
      </c>
      <c r="D249" s="8">
        <v>393</v>
      </c>
      <c r="E249" s="60">
        <v>5</v>
      </c>
      <c r="F249" s="60">
        <v>7</v>
      </c>
      <c r="G249" s="60" t="s">
        <v>35</v>
      </c>
    </row>
    <row r="250" spans="1:7" s="61" customFormat="1">
      <c r="A250" s="4" t="s">
        <v>207</v>
      </c>
      <c r="B250" s="7" t="s">
        <v>97</v>
      </c>
      <c r="C250" s="4" t="s">
        <v>107</v>
      </c>
      <c r="D250" s="8">
        <v>394</v>
      </c>
      <c r="E250" s="60">
        <v>7</v>
      </c>
      <c r="F250" s="60">
        <v>7</v>
      </c>
      <c r="G250" s="60" t="s">
        <v>35</v>
      </c>
    </row>
    <row r="251" spans="1:7" s="61" customFormat="1">
      <c r="A251" s="4" t="s">
        <v>208</v>
      </c>
      <c r="B251" s="7" t="s">
        <v>97</v>
      </c>
      <c r="C251" s="4" t="s">
        <v>591</v>
      </c>
      <c r="D251" s="8">
        <v>395</v>
      </c>
      <c r="E251" s="60">
        <v>10</v>
      </c>
      <c r="F251" s="60">
        <v>5</v>
      </c>
      <c r="G251" s="60" t="s">
        <v>35</v>
      </c>
    </row>
    <row r="252" spans="1:7" s="61" customFormat="1">
      <c r="A252" s="4" t="s">
        <v>616</v>
      </c>
      <c r="B252" s="7" t="s">
        <v>97</v>
      </c>
      <c r="C252" s="4" t="s">
        <v>618</v>
      </c>
      <c r="D252" s="8">
        <v>395</v>
      </c>
      <c r="E252" s="60">
        <v>7</v>
      </c>
      <c r="F252" s="60">
        <v>5</v>
      </c>
      <c r="G252" s="60" t="s">
        <v>35</v>
      </c>
    </row>
    <row r="253" spans="1:7" s="61" customFormat="1">
      <c r="A253" s="4" t="s">
        <v>617</v>
      </c>
      <c r="B253" s="7" t="s">
        <v>97</v>
      </c>
      <c r="C253" s="4" t="s">
        <v>593</v>
      </c>
      <c r="D253" s="8">
        <v>395</v>
      </c>
      <c r="E253" s="60">
        <v>5</v>
      </c>
      <c r="F253" s="60">
        <v>5</v>
      </c>
      <c r="G253" s="60" t="s">
        <v>35</v>
      </c>
    </row>
    <row r="254" spans="1:7" s="61" customFormat="1">
      <c r="A254" s="4" t="s">
        <v>209</v>
      </c>
      <c r="B254" s="7" t="s">
        <v>97</v>
      </c>
      <c r="C254" s="4" t="s">
        <v>595</v>
      </c>
      <c r="D254" s="8">
        <v>396</v>
      </c>
      <c r="E254" s="60">
        <v>7</v>
      </c>
      <c r="F254" s="60">
        <v>5</v>
      </c>
      <c r="G254" s="60" t="s">
        <v>35</v>
      </c>
    </row>
    <row r="255" spans="1:7" s="61" customFormat="1">
      <c r="A255" s="4" t="s">
        <v>487</v>
      </c>
      <c r="B255" s="7" t="s">
        <v>97</v>
      </c>
      <c r="C255" s="4" t="s">
        <v>485</v>
      </c>
      <c r="D255" s="8">
        <v>396</v>
      </c>
      <c r="E255" s="60">
        <v>15</v>
      </c>
      <c r="F255" s="60">
        <v>5</v>
      </c>
      <c r="G255" s="60" t="s">
        <v>35</v>
      </c>
    </row>
    <row r="256" spans="1:7" s="61" customFormat="1">
      <c r="A256" s="4" t="s">
        <v>619</v>
      </c>
      <c r="B256" s="7" t="s">
        <v>97</v>
      </c>
      <c r="C256" s="4" t="s">
        <v>598</v>
      </c>
      <c r="D256" s="8">
        <v>396</v>
      </c>
      <c r="E256" s="60">
        <v>10</v>
      </c>
      <c r="F256" s="60">
        <v>7</v>
      </c>
      <c r="G256" s="60" t="s">
        <v>35</v>
      </c>
    </row>
    <row r="257" spans="1:7" s="61" customFormat="1">
      <c r="A257" s="4" t="s">
        <v>620</v>
      </c>
      <c r="B257" s="7" t="s">
        <v>97</v>
      </c>
      <c r="C257" s="4" t="s">
        <v>596</v>
      </c>
      <c r="D257" s="8">
        <v>396</v>
      </c>
      <c r="E257" s="60">
        <v>7</v>
      </c>
      <c r="F257" s="60">
        <v>7</v>
      </c>
      <c r="G257" s="60" t="s">
        <v>35</v>
      </c>
    </row>
    <row r="258" spans="1:7" s="61" customFormat="1">
      <c r="A258" s="4" t="s">
        <v>210</v>
      </c>
      <c r="B258" s="7" t="s">
        <v>97</v>
      </c>
      <c r="C258" s="4" t="s">
        <v>113</v>
      </c>
      <c r="D258" s="8">
        <v>397</v>
      </c>
      <c r="E258" s="60">
        <v>7</v>
      </c>
      <c r="F258" s="60">
        <v>5</v>
      </c>
      <c r="G258" s="60" t="s">
        <v>35</v>
      </c>
    </row>
    <row r="259" spans="1:7" s="61" customFormat="1">
      <c r="A259" s="4" t="s">
        <v>211</v>
      </c>
      <c r="B259" s="7" t="s">
        <v>97</v>
      </c>
      <c r="C259" s="4" t="s">
        <v>115</v>
      </c>
      <c r="D259" s="8">
        <v>398</v>
      </c>
      <c r="E259" s="60">
        <v>15</v>
      </c>
      <c r="F259" s="60">
        <v>5</v>
      </c>
      <c r="G259" s="60" t="s">
        <v>35</v>
      </c>
    </row>
    <row r="260" spans="1:7">
      <c r="A260" s="4"/>
      <c r="B260" s="5"/>
      <c r="C260" s="5"/>
      <c r="D260" s="6"/>
      <c r="E260" s="1"/>
    </row>
    <row r="261" spans="1:7">
      <c r="A261" s="4"/>
      <c r="B261" s="5"/>
      <c r="C261" s="5"/>
      <c r="D261" s="6"/>
      <c r="E261" s="1"/>
    </row>
    <row r="262" spans="1:7">
      <c r="A262" s="4"/>
      <c r="B262" s="5"/>
      <c r="C262" s="5"/>
      <c r="D262" s="6"/>
      <c r="E262" s="1"/>
    </row>
    <row r="263" spans="1:7">
      <c r="A263" s="4"/>
      <c r="B263" s="5"/>
      <c r="C263" s="5"/>
      <c r="D263" s="6"/>
      <c r="E263" s="1"/>
    </row>
    <row r="264" spans="1:7">
      <c r="A264" s="5"/>
      <c r="B264" s="5"/>
      <c r="C264" s="5"/>
      <c r="D264" s="6"/>
      <c r="E264" s="1"/>
    </row>
    <row r="265" spans="1:7">
      <c r="A265" s="4"/>
      <c r="B265" s="5"/>
      <c r="C265" s="5"/>
      <c r="D265" s="6"/>
      <c r="E265" s="1"/>
    </row>
    <row r="266" spans="1:7">
      <c r="A266" s="4"/>
      <c r="B266" s="5"/>
      <c r="C266" s="5"/>
      <c r="D266" s="6"/>
      <c r="E266" s="1"/>
    </row>
    <row r="267" spans="1:7">
      <c r="A267" s="4"/>
      <c r="B267" s="5"/>
      <c r="C267" s="5"/>
      <c r="D267" s="6"/>
      <c r="E267" s="1"/>
    </row>
    <row r="268" spans="1:7">
      <c r="A268" s="4"/>
      <c r="B268" s="5"/>
      <c r="C268" s="5"/>
      <c r="D268" s="6"/>
      <c r="E268" s="1"/>
    </row>
    <row r="269" spans="1:7">
      <c r="A269" s="4"/>
      <c r="B269" s="7"/>
      <c r="C269" s="5"/>
      <c r="D269" s="6"/>
      <c r="E269" s="1"/>
    </row>
    <row r="270" spans="1:7">
      <c r="A270" s="4"/>
      <c r="B270" s="9"/>
      <c r="C270" s="5"/>
      <c r="D270" s="6"/>
      <c r="E270" s="1"/>
    </row>
    <row r="271" spans="1:7">
      <c r="A271" s="4"/>
      <c r="B271" s="9"/>
      <c r="C271" s="5"/>
      <c r="D271" s="6"/>
      <c r="E271" s="1"/>
    </row>
    <row r="272" spans="1:7">
      <c r="A272" s="5"/>
      <c r="B272" s="5"/>
      <c r="C272" s="5"/>
      <c r="D272" s="6"/>
      <c r="E272" s="1"/>
    </row>
    <row r="273" spans="1:5">
      <c r="A273" s="4"/>
      <c r="B273" s="9"/>
      <c r="C273" s="5"/>
      <c r="D273" s="6"/>
      <c r="E273" s="1"/>
    </row>
    <row r="274" spans="1:5">
      <c r="A274" s="4"/>
      <c r="B274" s="5"/>
      <c r="C274" s="5"/>
      <c r="D274" s="6"/>
      <c r="E274" s="1"/>
    </row>
    <row r="275" spans="1:5">
      <c r="A275" s="4"/>
      <c r="B275" s="5"/>
      <c r="C275" s="5"/>
      <c r="D275" s="6"/>
      <c r="E275" s="1"/>
    </row>
    <row r="276" spans="1:5">
      <c r="A276" s="7"/>
      <c r="B276" s="5"/>
      <c r="C276" s="9"/>
      <c r="D276" s="6"/>
      <c r="E276" s="1"/>
    </row>
    <row r="277" spans="1:5">
      <c r="A277" s="4"/>
      <c r="B277" s="5"/>
      <c r="C277" s="5"/>
      <c r="E277" s="1"/>
    </row>
    <row r="278" spans="1:5">
      <c r="A278" s="4"/>
      <c r="B278" s="5"/>
      <c r="C278" s="5"/>
      <c r="D278" s="1"/>
      <c r="E278" s="1"/>
    </row>
    <row r="279" spans="1:5">
      <c r="A279" s="4"/>
      <c r="B279" s="5"/>
      <c r="C279" s="5"/>
      <c r="D279" s="1"/>
      <c r="E279" s="1"/>
    </row>
  </sheetData>
  <phoneticPr fontId="2" type="noConversion"/>
  <pageMargins left="0.75" right="0.75" top="1" bottom="1" header="0.5" footer="0.5"/>
  <pageSetup scale="76" orientation="portrait" r:id="rId1"/>
  <headerFooter alignWithMargins="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enableFormatConditionsCalculation="0">
    <tabColor indexed="10"/>
  </sheetPr>
  <dimension ref="A1:BQ602"/>
  <sheetViews>
    <sheetView topLeftCell="A37" workbookViewId="0">
      <selection activeCell="B8" sqref="B8:D8"/>
    </sheetView>
  </sheetViews>
  <sheetFormatPr defaultRowHeight="12.75"/>
  <cols>
    <col min="1" max="1" width="24.140625" style="10" customWidth="1"/>
    <col min="2" max="2" width="19" style="10" customWidth="1"/>
    <col min="3" max="3" width="9.140625" style="10"/>
    <col min="4" max="4" width="22.42578125" style="10" customWidth="1"/>
    <col min="5" max="5" width="21.5703125" style="10" customWidth="1"/>
    <col min="6" max="6" width="13.28515625" style="10" customWidth="1"/>
    <col min="7" max="16384" width="9.140625" style="10"/>
  </cols>
  <sheetData>
    <row r="1" spans="1:69">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row>
    <row r="2" spans="1:69" ht="15.75">
      <c r="D2" s="22"/>
      <c r="E2" s="23"/>
      <c r="F2" s="45"/>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row>
    <row r="3" spans="1:69">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row>
    <row r="4" spans="1:69" ht="15.75">
      <c r="D4" s="22"/>
      <c r="E4" s="23"/>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row>
    <row r="5" spans="1:69" ht="20.25">
      <c r="B5" s="114"/>
      <c r="C5" s="114"/>
      <c r="D5" s="114"/>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row>
    <row r="6" spans="1:69" ht="20.25">
      <c r="B6" s="114" t="s">
        <v>489</v>
      </c>
      <c r="C6" s="114"/>
      <c r="D6" s="114"/>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row>
    <row r="7" spans="1:69" ht="15">
      <c r="B7" s="116" t="s">
        <v>490</v>
      </c>
      <c r="C7" s="116"/>
      <c r="D7" s="116"/>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row>
    <row r="8" spans="1:69">
      <c r="A8" s="52" t="s">
        <v>448</v>
      </c>
      <c r="B8" s="122"/>
      <c r="C8" s="122"/>
      <c r="D8" s="122"/>
      <c r="E8" s="23"/>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row>
    <row r="9" spans="1:69" ht="15">
      <c r="A9" s="56" t="s">
        <v>413</v>
      </c>
      <c r="B9" s="27"/>
      <c r="D9" s="24"/>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row>
    <row r="10" spans="1:69">
      <c r="A10" s="56" t="s">
        <v>404</v>
      </c>
      <c r="B10" s="123"/>
      <c r="C10" s="123"/>
      <c r="D10" s="123"/>
      <c r="E10" s="123"/>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row>
    <row r="11" spans="1:69">
      <c r="A11" s="11"/>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row>
    <row r="12" spans="1:69" ht="79.5" customHeight="1">
      <c r="A12" s="57" t="s">
        <v>491</v>
      </c>
      <c r="B12" s="123"/>
      <c r="C12" s="123"/>
      <c r="D12" s="123"/>
      <c r="E12" s="123"/>
      <c r="F12" s="46"/>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row>
    <row r="13" spans="1:69">
      <c r="A13" s="11"/>
      <c r="D13" s="41"/>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row>
    <row r="14" spans="1:69" ht="21" customHeight="1">
      <c r="A14" s="56" t="s">
        <v>375</v>
      </c>
      <c r="B14" s="10">
        <v>1</v>
      </c>
      <c r="D14" s="56" t="s">
        <v>4</v>
      </c>
      <c r="E14" s="48">
        <v>1</v>
      </c>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row>
    <row r="15" spans="1:69">
      <c r="A15" s="11"/>
      <c r="D15" s="11" t="s">
        <v>374</v>
      </c>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row>
    <row r="16" spans="1:69" ht="19.5" customHeight="1">
      <c r="A16" s="56" t="s">
        <v>403</v>
      </c>
      <c r="D16" s="56" t="s">
        <v>5</v>
      </c>
      <c r="E16" s="27"/>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row>
    <row r="17" spans="1:69" ht="19.5" customHeight="1">
      <c r="A17" s="56" t="s">
        <v>362</v>
      </c>
      <c r="B17" s="27"/>
      <c r="D17" s="11"/>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row>
    <row r="18" spans="1:69">
      <c r="A18" s="11"/>
      <c r="D18" s="11"/>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row>
    <row r="19" spans="1:69" ht="19.5" customHeight="1">
      <c r="A19" s="56" t="s">
        <v>376</v>
      </c>
      <c r="B19" s="26">
        <v>39448</v>
      </c>
      <c r="D19" s="56" t="s">
        <v>492</v>
      </c>
      <c r="E19" s="26">
        <v>39448</v>
      </c>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row>
    <row r="20" spans="1:69" ht="16.5" customHeight="1">
      <c r="A20" s="42"/>
      <c r="B20" s="53"/>
      <c r="D20" s="42"/>
      <c r="E20" s="53"/>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row>
    <row r="21" spans="1:69" ht="19.5" customHeight="1">
      <c r="A21" s="58" t="s">
        <v>500</v>
      </c>
      <c r="B21" s="58" t="s">
        <v>502</v>
      </c>
      <c r="C21" s="58" t="s">
        <v>498</v>
      </c>
      <c r="D21" s="58" t="s">
        <v>501</v>
      </c>
      <c r="E21" s="58" t="s">
        <v>499</v>
      </c>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row>
    <row r="22" spans="1:69" ht="19.5" customHeight="1">
      <c r="A22" s="54"/>
      <c r="C22" s="55"/>
      <c r="D22" s="55"/>
      <c r="E22" s="49"/>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row>
    <row r="23" spans="1:69" ht="19.5" customHeight="1">
      <c r="A23" s="54"/>
      <c r="C23" s="55"/>
      <c r="D23" s="55"/>
      <c r="E23" s="49"/>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row>
    <row r="24" spans="1:69" ht="19.5" customHeight="1">
      <c r="A24" s="54"/>
      <c r="C24" s="55"/>
      <c r="D24" s="55"/>
      <c r="E24" s="49"/>
      <c r="F24" s="18" t="s">
        <v>374</v>
      </c>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row>
    <row r="25" spans="1:69" ht="19.5" customHeight="1">
      <c r="A25" s="54"/>
      <c r="C25" s="55"/>
      <c r="D25" s="55"/>
      <c r="E25" s="49"/>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row>
    <row r="26" spans="1:69" ht="19.5" customHeight="1">
      <c r="A26" s="54"/>
      <c r="C26" s="55"/>
      <c r="D26" s="55"/>
      <c r="E26" s="49"/>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row>
    <row r="27" spans="1:69" ht="16.5" thickBot="1">
      <c r="A27" s="25"/>
      <c r="D27" s="11" t="s">
        <v>493</v>
      </c>
      <c r="E27" s="29">
        <f>SUM(E22:E26)</f>
        <v>0</v>
      </c>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row>
    <row r="28" spans="1:69" ht="13.5" thickTop="1">
      <c r="A28" s="56" t="s">
        <v>495</v>
      </c>
      <c r="B28" s="49"/>
      <c r="D28" s="30" t="s">
        <v>494</v>
      </c>
      <c r="E28" s="31">
        <f>B28-E27</f>
        <v>0</v>
      </c>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row>
    <row r="29" spans="1:69">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row>
    <row r="30" spans="1:69" ht="31.5" customHeight="1">
      <c r="A30" s="124" t="s">
        <v>402</v>
      </c>
      <c r="B30" s="125"/>
      <c r="C30" s="113"/>
      <c r="D30" s="113"/>
      <c r="E30" s="113"/>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row>
    <row r="31" spans="1:69" ht="13.5" thickBot="1">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row>
    <row r="32" spans="1:69" ht="13.5" thickBot="1">
      <c r="A32" s="59" t="s">
        <v>407</v>
      </c>
      <c r="C32" s="113"/>
      <c r="D32" s="113"/>
      <c r="E32" s="113"/>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row>
    <row r="33" spans="1:69" ht="13.5" thickBot="1">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row>
    <row r="34" spans="1:69" ht="13.5" thickBot="1">
      <c r="A34" s="59" t="s">
        <v>408</v>
      </c>
      <c r="B34" s="27"/>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row>
    <row r="35" spans="1:69">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row>
    <row r="36" spans="1:69" ht="16.5">
      <c r="A36" s="109" t="s">
        <v>427</v>
      </c>
      <c r="B36" s="109"/>
      <c r="C36" s="109"/>
      <c r="D36" s="109"/>
      <c r="E36" s="109"/>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row>
    <row r="37" spans="1:69">
      <c r="A37" s="38" t="s">
        <v>401</v>
      </c>
      <c r="B37" s="39"/>
      <c r="C37" s="39"/>
      <c r="D37" s="38" t="s">
        <v>396</v>
      </c>
      <c r="E37" s="40"/>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row>
    <row r="38" spans="1:69" ht="19.5" customHeight="1">
      <c r="A38" s="33" t="s">
        <v>397</v>
      </c>
      <c r="B38" s="32"/>
      <c r="C38" s="32"/>
      <c r="D38" s="33" t="s">
        <v>496</v>
      </c>
      <c r="E38" s="34"/>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row>
    <row r="39" spans="1:69" ht="19.5" customHeight="1">
      <c r="A39" s="35" t="s">
        <v>398</v>
      </c>
      <c r="B39" s="36"/>
      <c r="C39" s="36"/>
      <c r="D39" s="35" t="s">
        <v>497</v>
      </c>
      <c r="E39" s="37"/>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row>
    <row r="40" spans="1:69">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row>
    <row r="41" spans="1:69">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row>
    <row r="42" spans="1:69">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row>
    <row r="43" spans="1:69">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row>
    <row r="44" spans="1:69">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row>
    <row r="45" spans="1:69">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row>
    <row r="46" spans="1:69">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row>
    <row r="47" spans="1:69">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row>
    <row r="48" spans="1:69">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row>
    <row r="49" spans="1:6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row>
    <row r="50" spans="1:69">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row>
    <row r="51" spans="1:69">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row>
    <row r="52" spans="1:69">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row>
    <row r="53" spans="1:69">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row>
    <row r="54" spans="1:69">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row>
    <row r="55" spans="1:69">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row>
    <row r="56" spans="1:69">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row>
    <row r="57" spans="1:69">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row>
    <row r="58" spans="1:69">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row>
    <row r="59" spans="1:6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row>
    <row r="60" spans="1:69">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row>
    <row r="61" spans="1:69">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row>
    <row r="62" spans="1:69">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row>
    <row r="63" spans="1:69">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row>
    <row r="64" spans="1:69">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row>
    <row r="65" spans="1:69">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row>
    <row r="66" spans="1:69">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row>
    <row r="67" spans="1:69">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row>
    <row r="68" spans="1:69">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row>
    <row r="69" spans="1: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row>
    <row r="70" spans="1:69">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row>
    <row r="71" spans="1:69">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row>
    <row r="72" spans="1:69">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row>
    <row r="73" spans="1:69">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row>
    <row r="74" spans="1:69">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row>
    <row r="75" spans="1:69">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row>
    <row r="76" spans="1:69">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row>
    <row r="77" spans="1:69">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row>
    <row r="78" spans="1:69">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row>
    <row r="79" spans="1:6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row>
    <row r="80" spans="1:69">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row>
    <row r="81" spans="1:69">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row>
    <row r="82" spans="1:69">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row>
    <row r="83" spans="1:69">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row>
    <row r="84" spans="1:69">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row>
    <row r="85" spans="1:69">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row>
    <row r="86" spans="1:69">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row>
    <row r="87" spans="1:69">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row>
    <row r="88" spans="1:69">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row>
    <row r="89" spans="1:6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row>
    <row r="90" spans="1:69">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row>
    <row r="91" spans="1:69">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row>
    <row r="92" spans="1:69">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row>
    <row r="93" spans="1:69">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row>
    <row r="94" spans="1:69">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row>
    <row r="95" spans="1:69">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row>
    <row r="96" spans="1:69">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row>
    <row r="97" spans="1:69">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row>
    <row r="98" spans="1:69">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row>
    <row r="99" spans="1:6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row>
    <row r="100" spans="1:69">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row>
    <row r="101" spans="1:69">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row>
    <row r="102" spans="1:69">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row>
    <row r="103" spans="1:69">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row>
    <row r="104" spans="1:69">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row>
    <row r="105" spans="1:69">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row>
    <row r="106" spans="1:69">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row>
    <row r="107" spans="1:69">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row>
    <row r="108" spans="1:69">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row>
    <row r="109" spans="1:6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row>
    <row r="110" spans="1:69">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row>
    <row r="111" spans="1:69">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row>
    <row r="112" spans="1:69">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row>
    <row r="113" spans="1:55">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row>
    <row r="114" spans="1:55">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row>
    <row r="115" spans="1:5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row>
    <row r="116" spans="1:55">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row>
    <row r="117" spans="1:55">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row>
    <row r="118" spans="1:55">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row>
    <row r="119" spans="1:55">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row>
    <row r="120" spans="1:55">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row>
    <row r="121" spans="1:55">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row>
    <row r="122" spans="1:55">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row>
    <row r="123" spans="1:55">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row>
    <row r="124" spans="1:55">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row>
    <row r="125" spans="1:5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row>
    <row r="126" spans="1:55">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row>
    <row r="127" spans="1:55">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row>
    <row r="128" spans="1:55">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row>
    <row r="129" spans="1:55">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row>
    <row r="130" spans="1:55">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row>
    <row r="131" spans="1:55">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row>
    <row r="132" spans="1:55">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row>
    <row r="133" spans="1:55">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row>
    <row r="134" spans="1:55">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row>
    <row r="135" spans="1:5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row>
    <row r="136" spans="1:55">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row>
    <row r="137" spans="1:55">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row>
    <row r="138" spans="1:55">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row>
    <row r="139" spans="1:55">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row>
    <row r="140" spans="1:55">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row>
    <row r="141" spans="1:55">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row>
    <row r="142" spans="1:55">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row>
    <row r="143" spans="1:55">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row>
    <row r="144" spans="1:55">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row>
    <row r="145" spans="1:5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row>
    <row r="146" spans="1:55">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row>
    <row r="147" spans="1:55">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row>
    <row r="148" spans="1:55">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row>
    <row r="149" spans="1:55">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row>
    <row r="150" spans="1:55">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row>
    <row r="151" spans="1:55">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row>
    <row r="152" spans="1:55">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row>
    <row r="153" spans="1:55">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row>
    <row r="154" spans="1:55">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row>
    <row r="155" spans="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row>
    <row r="156" spans="1:55">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row>
    <row r="157" spans="1:55">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row>
    <row r="158" spans="1:55">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row>
    <row r="159" spans="1:55">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row>
    <row r="160" spans="1:55">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row>
    <row r="161" spans="1:55">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row>
    <row r="162" spans="1:55">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row>
    <row r="163" spans="1:55">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row>
    <row r="164" spans="1:55">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row>
    <row r="165" spans="1:5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row>
    <row r="166" spans="1:55">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row>
    <row r="167" spans="1:55">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row>
    <row r="168" spans="1:55">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row>
    <row r="169" spans="1:55">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row>
    <row r="170" spans="1:55">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row>
    <row r="171" spans="1:55">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row>
    <row r="172" spans="1:55">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row>
    <row r="173" spans="1:55">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row>
    <row r="174" spans="1:55">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row>
    <row r="175" spans="1:5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row>
    <row r="176" spans="1:55">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row>
    <row r="177" spans="1:55">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row>
    <row r="178" spans="1:55">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row>
    <row r="179" spans="1:55">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row>
    <row r="180" spans="1:55">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row>
    <row r="181" spans="1:55">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row>
    <row r="182" spans="1:55">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row>
    <row r="183" spans="1:55">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row>
    <row r="184" spans="1:55">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row>
    <row r="185" spans="1:5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row>
    <row r="186" spans="1:55">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row>
    <row r="187" spans="1:55">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row>
    <row r="188" spans="1:55">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row>
    <row r="189" spans="1:55">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row>
    <row r="190" spans="1:55">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row>
    <row r="191" spans="1:55">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row>
    <row r="192" spans="1:55">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row>
    <row r="193" spans="1:55">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row>
    <row r="194" spans="1:55">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row>
    <row r="195" spans="1:5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row>
    <row r="196" spans="1:55">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row>
    <row r="197" spans="1:55">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row>
    <row r="198" spans="1:55">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row>
    <row r="199" spans="1:55">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row>
    <row r="200" spans="1:55">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row>
    <row r="201" spans="1:55">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row>
    <row r="202" spans="1:55">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row>
    <row r="203" spans="1:55">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row>
    <row r="204" spans="1:55">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row>
    <row r="205" spans="1:5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row>
    <row r="206" spans="1:55">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row>
    <row r="207" spans="1:55">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row>
    <row r="208" spans="1:55">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row>
    <row r="209" spans="1:55">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row>
    <row r="210" spans="1:55">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row>
    <row r="211" spans="1:55">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row>
    <row r="212" spans="1:55">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row>
    <row r="213" spans="1:55">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row>
    <row r="214" spans="1:55">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row>
    <row r="215" spans="1:5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row>
    <row r="216" spans="1:55">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row>
    <row r="217" spans="1:55">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row>
    <row r="218" spans="1:55">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row>
    <row r="219" spans="1:55">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row>
    <row r="220" spans="1:55">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row>
    <row r="221" spans="1:55">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row>
    <row r="222" spans="1:55">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row>
    <row r="223" spans="1:55">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row>
    <row r="224" spans="1:55">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row>
    <row r="225" spans="1:5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row>
    <row r="226" spans="1:55">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row>
    <row r="227" spans="1:55">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row>
    <row r="228" spans="1:55">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row>
    <row r="229" spans="1:55">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row>
    <row r="230" spans="1:55">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row>
    <row r="231" spans="1:55">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row>
    <row r="232" spans="1:55">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row>
    <row r="233" spans="1:55">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row>
    <row r="234" spans="1:55">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row>
    <row r="235" spans="1:5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row>
    <row r="236" spans="1:55">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row>
    <row r="237" spans="1:55">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row>
    <row r="238" spans="1:55">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row>
    <row r="239" spans="1:55">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row>
    <row r="240" spans="1:55">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row>
    <row r="241" spans="1:55">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row>
    <row r="242" spans="1:55">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row>
    <row r="243" spans="1:55">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row>
    <row r="244" spans="1:55">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row>
    <row r="245" spans="1:5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row>
    <row r="246" spans="1:55">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row>
    <row r="247" spans="1:55">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row>
    <row r="248" spans="1:55">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row>
    <row r="249" spans="1:55">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row>
    <row r="250" spans="1:55">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row>
    <row r="251" spans="1:55">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row>
    <row r="252" spans="1:55">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row>
    <row r="253" spans="1:55">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row>
    <row r="254" spans="1:55">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row>
    <row r="255" spans="1: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row>
    <row r="256" spans="1:55">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row>
    <row r="257" spans="1:55">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row>
    <row r="258" spans="1:55">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row>
    <row r="259" spans="1:55">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row>
    <row r="260" spans="1:55">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row>
    <row r="261" spans="1:55">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row>
    <row r="262" spans="1:55">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row>
    <row r="263" spans="1:55">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row>
    <row r="264" spans="1:55">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row>
    <row r="265" spans="1:5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row>
    <row r="266" spans="1:55">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row>
    <row r="267" spans="1:55">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row>
    <row r="268" spans="1:55">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row>
    <row r="269" spans="1:55">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row>
    <row r="270" spans="1:55">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row>
    <row r="271" spans="1:55">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row>
    <row r="272" spans="1:55">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row>
    <row r="273" spans="1:55">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row>
    <row r="274" spans="1:55">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row>
    <row r="275" spans="1:5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row>
    <row r="276" spans="1:55">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row>
    <row r="277" spans="1:55">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row>
    <row r="278" spans="1:55">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row>
    <row r="279" spans="1:55">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row>
    <row r="280" spans="1:55">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row>
    <row r="281" spans="1:55">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row>
    <row r="282" spans="1:55">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row>
    <row r="283" spans="1:55">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row>
    <row r="284" spans="1:55">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row>
    <row r="285" spans="1:5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row>
    <row r="286" spans="1:55">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row>
    <row r="287" spans="1:55">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row>
    <row r="288" spans="1:55">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row>
    <row r="289" spans="1:55">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row>
    <row r="290" spans="1:55">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row>
    <row r="291" spans="1:55">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row>
    <row r="292" spans="1:55">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row>
    <row r="293" spans="1:55">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row>
    <row r="294" spans="1:55">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row>
    <row r="295" spans="1:5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row>
    <row r="296" spans="1:55">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row>
    <row r="297" spans="1:55">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row>
    <row r="298" spans="1:55">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row>
    <row r="299" spans="1:55">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row>
    <row r="300" spans="1:55">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row>
    <row r="301" spans="1:55">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row>
    <row r="302" spans="1:55">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row>
    <row r="303" spans="1:55">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row>
    <row r="304" spans="1:55">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row>
    <row r="305" spans="1:5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row>
    <row r="306" spans="1:55">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row>
    <row r="307" spans="1:55">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row>
    <row r="308" spans="1:55">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row>
    <row r="309" spans="1:55">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row>
    <row r="310" spans="1:55">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row>
    <row r="311" spans="1:55">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row>
    <row r="312" spans="1:55">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row>
    <row r="313" spans="1:55">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row>
    <row r="314" spans="1:55">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row>
    <row r="315" spans="1:5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row>
    <row r="316" spans="1:55">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row>
    <row r="317" spans="1:55">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row>
    <row r="318" spans="1:55">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row>
    <row r="319" spans="1:55">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row>
    <row r="320" spans="1:55">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row>
    <row r="321" spans="1:55">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row>
    <row r="322" spans="1:55">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row>
    <row r="323" spans="1:55">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row>
    <row r="324" spans="1:55">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row>
    <row r="325" spans="1:5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row>
    <row r="326" spans="1:55">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row>
    <row r="327" spans="1:55">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row>
    <row r="328" spans="1:55">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row>
    <row r="329" spans="1:55">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row>
    <row r="330" spans="1:55">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row>
    <row r="331" spans="1:55">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row>
    <row r="332" spans="1:55">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row>
    <row r="333" spans="1:55">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row>
    <row r="334" spans="1:55">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row>
    <row r="335" spans="1:5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row>
    <row r="336" spans="1:55">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row>
    <row r="337" spans="1:55">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row>
    <row r="338" spans="1:55">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row>
    <row r="339" spans="1:55">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row>
    <row r="340" spans="1:55">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row>
    <row r="341" spans="1:55">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row>
    <row r="342" spans="1:55">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row>
    <row r="343" spans="1:55">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row>
    <row r="344" spans="1:55">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row>
    <row r="345" spans="1:5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row>
    <row r="346" spans="1:55">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row>
    <row r="347" spans="1:55">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row>
    <row r="348" spans="1:55">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row>
    <row r="349" spans="1:55">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row>
    <row r="350" spans="1:55">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row>
    <row r="351" spans="1:55">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row>
    <row r="352" spans="1:55">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row>
    <row r="353" spans="1:55">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row>
    <row r="354" spans="1:55">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row>
    <row r="355" spans="1: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row>
    <row r="356" spans="1:55">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row>
    <row r="357" spans="1:55">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row>
    <row r="358" spans="1:55">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row>
    <row r="359" spans="1:55">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row>
    <row r="360" spans="1:55">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row>
    <row r="361" spans="1:55">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row>
    <row r="362" spans="1:55">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row>
    <row r="363" spans="1:55">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row>
    <row r="364" spans="1:55">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row>
    <row r="365" spans="1:5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row>
    <row r="366" spans="1:55">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row>
    <row r="367" spans="1:55">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row>
    <row r="368" spans="1:55">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row>
    <row r="369" spans="1:55">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row>
    <row r="370" spans="1:55">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row>
    <row r="371" spans="1:55">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row>
    <row r="372" spans="1:55">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row>
    <row r="373" spans="1:55">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row>
    <row r="374" spans="1:55">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row>
    <row r="375" spans="1:5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row>
    <row r="376" spans="1:55">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row>
    <row r="377" spans="1:55">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row>
    <row r="378" spans="1:55">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row>
    <row r="379" spans="1:55">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row>
    <row r="380" spans="1:55">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row>
    <row r="381" spans="1:55">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row>
    <row r="382" spans="1:55">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row>
    <row r="383" spans="1:55">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row>
    <row r="384" spans="1:55">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row>
    <row r="385" spans="1:5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row>
    <row r="386" spans="1:55">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row>
    <row r="387" spans="1:55">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row>
    <row r="388" spans="1:55">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row>
    <row r="389" spans="1:55">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row>
    <row r="390" spans="1:55">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row>
    <row r="391" spans="1:55">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row>
    <row r="392" spans="1:55">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row>
    <row r="393" spans="1:55">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row>
    <row r="394" spans="1:55">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row>
    <row r="395" spans="1:5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row>
    <row r="396" spans="1:55">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row>
    <row r="397" spans="1:55">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row>
    <row r="398" spans="1:55">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row>
    <row r="399" spans="1:55">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row>
    <row r="400" spans="1:55">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row>
    <row r="401" spans="1:55">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row>
    <row r="402" spans="1:55">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row>
    <row r="403" spans="1:55">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row>
    <row r="404" spans="1:55">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row>
    <row r="405" spans="1:5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row>
    <row r="406" spans="1:55">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row>
    <row r="407" spans="1:55">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row>
    <row r="408" spans="1:55">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row>
    <row r="409" spans="1:55">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row>
    <row r="410" spans="1:55">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row>
    <row r="411" spans="1:55">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row>
    <row r="412" spans="1:55">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row>
    <row r="413" spans="1:55">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row>
    <row r="414" spans="1:55">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row>
    <row r="415" spans="1:5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row>
    <row r="416" spans="1:55">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row>
    <row r="417" spans="1:55">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row>
    <row r="418" spans="1:55">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row>
    <row r="419" spans="1:55">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row>
    <row r="420" spans="1:55">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row>
    <row r="421" spans="1:55">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row>
    <row r="422" spans="1:55">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row>
    <row r="423" spans="1:55">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row>
    <row r="424" spans="1:55">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row>
    <row r="425" spans="1:5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row>
    <row r="426" spans="1:55">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row>
    <row r="427" spans="1:55">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row>
    <row r="428" spans="1:55">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row>
    <row r="429" spans="1:55">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row>
    <row r="430" spans="1:55">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row>
    <row r="431" spans="1:55">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row>
    <row r="432" spans="1:55">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row>
    <row r="433" spans="1:55">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row>
    <row r="434" spans="1:55">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row>
    <row r="435" spans="1:5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row>
    <row r="436" spans="1:55">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row>
    <row r="437" spans="1:55">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row>
    <row r="438" spans="1:55">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row>
    <row r="439" spans="1:55">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row>
    <row r="440" spans="1:55">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row>
    <row r="441" spans="1:55">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row>
    <row r="442" spans="1:55">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row>
    <row r="443" spans="1:55">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row>
    <row r="444" spans="1:55">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row>
    <row r="445" spans="1:5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row>
    <row r="446" spans="1:55">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row>
    <row r="447" spans="1:55">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row>
    <row r="448" spans="1:55">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row>
    <row r="449" spans="1:55">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row>
    <row r="450" spans="1:55">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row>
    <row r="451" spans="1:55">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row>
    <row r="452" spans="1:55">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row>
    <row r="453" spans="1:55">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row>
    <row r="454" spans="1:55">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row>
    <row r="455" spans="1: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row>
    <row r="456" spans="1:55">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row>
    <row r="457" spans="1:55">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row>
    <row r="458" spans="1:55">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row>
    <row r="459" spans="1:55">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row>
    <row r="460" spans="1:55">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row>
    <row r="461" spans="1:55">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row>
    <row r="462" spans="1:55">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row>
    <row r="463" spans="1:55">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row>
    <row r="464" spans="1:55">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row>
    <row r="465" spans="1:5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row>
    <row r="466" spans="1:55">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row>
    <row r="467" spans="1:55">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row>
    <row r="468" spans="1:55">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row>
    <row r="469" spans="1:55">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row>
    <row r="470" spans="1:55">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row>
    <row r="471" spans="1:55">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row>
    <row r="472" spans="1:55">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row>
    <row r="473" spans="1:55">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row>
    <row r="474" spans="1:55">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row>
    <row r="475" spans="1:5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row>
    <row r="476" spans="1:55">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row>
    <row r="477" spans="1:55">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row>
    <row r="478" spans="1:55">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row>
    <row r="479" spans="1:55">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row>
    <row r="480" spans="1:55">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row>
    <row r="481" spans="1:55">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row>
    <row r="482" spans="1:55">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row>
    <row r="483" spans="1:55">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row>
    <row r="484" spans="1:55">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row>
    <row r="485" spans="1:5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row>
    <row r="486" spans="1:55">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row>
    <row r="487" spans="1:55">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row>
    <row r="488" spans="1:55">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row>
    <row r="489" spans="1:55">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row>
    <row r="490" spans="1:55">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row>
    <row r="491" spans="1:55">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row>
    <row r="492" spans="1:55">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row>
    <row r="493" spans="1:55">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row>
    <row r="494" spans="1:55">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row>
    <row r="495" spans="1:5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row>
    <row r="496" spans="1:55">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row>
    <row r="497" spans="1:55">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row>
    <row r="498" spans="1:55">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row>
    <row r="499" spans="1:55">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row>
    <row r="500" spans="1:55">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row>
    <row r="501" spans="1:55">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row>
    <row r="502" spans="1:55">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row>
    <row r="503" spans="1:55">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row>
    <row r="504" spans="1:55">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row>
    <row r="505" spans="1:5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row>
    <row r="506" spans="1:55">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row>
    <row r="507" spans="1:55">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row>
    <row r="508" spans="1:55">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row>
    <row r="509" spans="1:55">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row>
    <row r="510" spans="1:55">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row>
    <row r="511" spans="1:55">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row>
    <row r="512" spans="1:55">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row>
    <row r="513" spans="1:55">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row>
    <row r="514" spans="1:55">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row>
    <row r="515" spans="1:5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row>
    <row r="516" spans="1:55">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row>
    <row r="517" spans="1:55">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row>
    <row r="518" spans="1:55">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row>
    <row r="519" spans="1:55">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row>
    <row r="520" spans="1:55">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row>
    <row r="521" spans="1:55">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row>
    <row r="522" spans="1:55">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row>
    <row r="523" spans="1:55">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row>
    <row r="524" spans="1:55">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row>
    <row r="525" spans="1:5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row>
    <row r="526" spans="1:55">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row>
    <row r="527" spans="1:55">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row>
    <row r="528" spans="1:55">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row>
    <row r="529" spans="1:55">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row>
    <row r="530" spans="1:55">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row>
    <row r="531" spans="1:55">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row>
    <row r="532" spans="1:55">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row>
    <row r="533" spans="1:55">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row>
    <row r="534" spans="1:55">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row>
    <row r="535" spans="1:5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row>
    <row r="536" spans="1:55">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row>
    <row r="537" spans="1:55">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row>
    <row r="538" spans="1:55">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row>
    <row r="539" spans="1:55">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row>
    <row r="540" spans="1:55">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row>
    <row r="541" spans="1:55">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row>
    <row r="542" spans="1:55">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row>
    <row r="543" spans="1:55">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row>
    <row r="544" spans="1:55">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row>
    <row r="545" spans="1:5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row>
    <row r="546" spans="1:55">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row>
    <row r="547" spans="1:55">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row>
    <row r="548" spans="1:55">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row>
    <row r="549" spans="1:55">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row>
    <row r="550" spans="1:55">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row>
    <row r="551" spans="1:55">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row>
    <row r="552" spans="1:55">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row>
    <row r="553" spans="1:55">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row>
    <row r="554" spans="1:55">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row>
    <row r="555" spans="1: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row>
    <row r="556" spans="1:55">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row>
    <row r="557" spans="1:55">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row>
    <row r="558" spans="1:55">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row>
    <row r="559" spans="1:55">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row>
    <row r="560" spans="1:55">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row>
    <row r="561" spans="1:55">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row>
    <row r="562" spans="1:55">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row>
    <row r="563" spans="1:55">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row>
    <row r="564" spans="1:55">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row>
    <row r="565" spans="1:5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row>
    <row r="566" spans="1:55">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row>
    <row r="567" spans="1:55">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row>
    <row r="568" spans="1:55">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row>
    <row r="569" spans="1:55">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row>
    <row r="570" spans="1:55">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row>
    <row r="571" spans="1:55">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row>
    <row r="572" spans="1:55">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row>
    <row r="573" spans="1:55">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row>
    <row r="574" spans="1:55">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row>
    <row r="575" spans="1:5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row>
    <row r="576" spans="1:55">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row>
    <row r="577" spans="1:55">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row>
    <row r="578" spans="1:55">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row>
    <row r="579" spans="1:55">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row>
    <row r="580" spans="1:55">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row>
    <row r="581" spans="1:55">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row>
    <row r="582" spans="1:55">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row>
    <row r="583" spans="1:55">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row>
    <row r="584" spans="1:55">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row>
    <row r="585" spans="1:5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row>
    <row r="586" spans="1:55">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row>
    <row r="587" spans="1:55">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row>
    <row r="588" spans="1:55">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row>
    <row r="589" spans="1:55">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row>
    <row r="590" spans="1:55">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row>
    <row r="591" spans="1:55">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row>
    <row r="592" spans="1:55">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row>
    <row r="593" spans="1:55">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row>
    <row r="594" spans="1:55">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row>
    <row r="595" spans="1:5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row>
    <row r="596" spans="1:55">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row>
    <row r="597" spans="1:55">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row>
    <row r="598" spans="1:55">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row>
    <row r="599" spans="1:55">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row>
    <row r="600" spans="1:55">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row>
    <row r="601" spans="1:55">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row>
    <row r="602" spans="1:55">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row>
  </sheetData>
  <mergeCells count="10">
    <mergeCell ref="A36:E36"/>
    <mergeCell ref="A30:B30"/>
    <mergeCell ref="C30:E30"/>
    <mergeCell ref="C32:E32"/>
    <mergeCell ref="B5:D5"/>
    <mergeCell ref="B6:D6"/>
    <mergeCell ref="B7:D7"/>
    <mergeCell ref="B8:D8"/>
    <mergeCell ref="B12:E12"/>
    <mergeCell ref="B10:E10"/>
  </mergeCells>
  <phoneticPr fontId="2" type="noConversion"/>
  <conditionalFormatting sqref="B10:E10 B12:E12">
    <cfRule type="cellIs" dxfId="5" priority="1" stopIfTrue="1" operator="equal">
      <formula>$Z1</formula>
    </cfRule>
  </conditionalFormatting>
  <conditionalFormatting sqref="C30:E30 C32:E32 B34 E16 B17 B28 B9 A22:A26 C22:E26">
    <cfRule type="cellIs" dxfId="4" priority="2" stopIfTrue="1" operator="equal">
      <formula>$Z$1</formula>
    </cfRule>
  </conditionalFormatting>
  <conditionalFormatting sqref="B19:B20 E19:E20">
    <cfRule type="cellIs" dxfId="3" priority="3" stopIfTrue="1" operator="greaterThan">
      <formula>43831</formula>
    </cfRule>
    <cfRule type="cellIs" dxfId="2" priority="4" stopIfTrue="1" operator="lessThan">
      <formula>39448</formula>
    </cfRule>
    <cfRule type="cellIs" dxfId="1" priority="5" stopIfTrue="1" operator="equal">
      <formula>39448</formula>
    </cfRule>
  </conditionalFormatting>
  <conditionalFormatting sqref="B8:D8">
    <cfRule type="cellIs" dxfId="0" priority="6" stopIfTrue="1" operator="equal">
      <formula>$Y$20999</formula>
    </cfRule>
  </conditionalFormatting>
  <hyperlinks>
    <hyperlink ref="A17" location="Instructions!B137" tooltip="Based on the selection in the &quot;Requested By&quot; field, enter the cooresponding information" display="Requested by Description:"/>
    <hyperlink ref="A16" location="Instructions!B135" tooltip="Using the drop down menu, select the applicable option (1. Original Contract, 2. Contract Mod, 3. COR MOD, 4. Other MOD, 5. Corporate, 6. An Individual).  Only one selection is permitted per JC Form. Data in this field should correspond with those in the " display="Requested by:"/>
    <hyperlink ref="A14" location="Instructions!B131" tooltip="Using the drop down menu, select the applicable Division (Corporate, Fort Wainwright, Fort Richardson or Fort Greely).  Only one selection is permitted per Form." display="Division:"/>
    <hyperlink ref="D14" location="Instructions!B133" tooltip="Using the drop down menu, select the applicable Utility (Corporate, Natural Gas, Water, Waste Water, Electric Distribution, Central Heating Plant).  Only one selection is permitted per Form." display="Utility:"/>
    <hyperlink ref="D16" location="Instructions!B146" tooltip="Enter the name of the Final Project Manager/Requestor for this job. " display="Project Manager:"/>
    <hyperlink ref="A10" location="Instructions!B127" tooltip="Enter the Job # of the job that is due to be completed" display="Job Description (Short):"/>
    <hyperlink ref="A12" location="Instructions!B129" tooltip="Explain what the project is setting out to achieve.  Be specific." display="Describe Job (Long):"/>
    <hyperlink ref="A19" location="Instructions!B148" tooltip="Enter the start date of the project.  This is the date that we began spending money (manpower, supplies, contracts, etc.)." display="Start Date:"/>
    <hyperlink ref="D19" location="Instructions!B150" tooltip="Enter the actual or pending end of construction date. (Date facility is expected to be &quot;used &amp; useful&quot; and placed into service.) " display="Final Completion Date:"/>
    <hyperlink ref="A28" location="Instructions!B168" tooltip="Enter the final cost of the entire job.  The total of all subclass costs should be the same as the full cost  for the Job.  A listing of expected/outstanding expenses should be provided to Accounting asap." display="Final Cost:"/>
    <hyperlink ref="A30:B30" location="Instructions!B171" tooltip="List the associated capital items that were removed from service (demolished, retired, scrapped, sold, etc.) due to the completion of this job. Please include description, age, size, quantity, manufacturer, location, etc." display="Description of retirements:"/>
    <hyperlink ref="A32" location="Instructions!B173" tooltip="List any additional comments, pictures, maps, etc. for reference in the Continuing Property Record file." display="Additional comments:"/>
    <hyperlink ref="A34" location="Instructions!B175" tooltip="Enter your name " display="Your name:"/>
    <hyperlink ref="B21" location="Instructions!B161" tooltip="Enter one or more retirement units if known. " display="Subclass"/>
    <hyperlink ref="E21" location="Instructions!B165" tooltip="Enter the final cost of each of the retirement units if known.  The total of all subclass costs should be the same as the full final cost for the Job." display="Subclass Final Cost"/>
    <hyperlink ref="C21" location="Instructions!B155" tooltip="Enter the cost estimate of each of the retirement units if known.  The total of all subclass estimates should be the same as the full cost estimate for the Job." display="Qty"/>
    <hyperlink ref="A21" location="Instructions!B152" tooltip="Enter brief description of acquisition for each subclass row selected." display="Short Description"/>
    <hyperlink ref="D21" location="Instructions!B158" tooltip="If you feel the estimated useful GAAP life listed in the Subclass tab is not appropriate for this asset, please enter your best estimate for the useful life." display="Expected Life (yrs)"/>
    <hyperlink ref="B6:D6" location="Instructions!B89" tooltip="Job Completion Form" display="Job Completion form"/>
    <hyperlink ref="A9" location="Instructions!B125" tooltip="Enter the Job # of the job that is due to be completed" display="Job #:"/>
  </hyperlinks>
  <printOptions horizontalCentered="1"/>
  <pageMargins left="0.66" right="0.32" top="0.6" bottom="0.71" header="0.42" footer="0.39"/>
  <pageSetup orientation="portrait" r:id="rId1"/>
  <headerFooter alignWithMargins="0">
    <oddFooter>&amp;L&amp;8&amp;Z&amp;F&amp;R&amp;8&amp;D&amp;T</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8194" r:id="rId4" name="Drop Down 2">
              <controlPr defaultSize="0" autoLine="0" autoPict="0">
                <anchor moveWithCells="1">
                  <from>
                    <xdr:col>1</xdr:col>
                    <xdr:colOff>28575</xdr:colOff>
                    <xdr:row>13</xdr:row>
                    <xdr:rowOff>28575</xdr:rowOff>
                  </from>
                  <to>
                    <xdr:col>2</xdr:col>
                    <xdr:colOff>38100</xdr:colOff>
                    <xdr:row>13</xdr:row>
                    <xdr:rowOff>228600</xdr:rowOff>
                  </to>
                </anchor>
              </controlPr>
            </control>
          </mc:Choice>
        </mc:AlternateContent>
        <mc:AlternateContent xmlns:mc="http://schemas.openxmlformats.org/markup-compatibility/2006">
          <mc:Choice Requires="x14">
            <control shapeId="8195" r:id="rId5" name="Drop Down 3">
              <controlPr defaultSize="0" autoLine="0" autoPict="0">
                <anchor moveWithCells="1">
                  <from>
                    <xdr:col>1</xdr:col>
                    <xdr:colOff>28575</xdr:colOff>
                    <xdr:row>15</xdr:row>
                    <xdr:rowOff>28575</xdr:rowOff>
                  </from>
                  <to>
                    <xdr:col>2</xdr:col>
                    <xdr:colOff>38100</xdr:colOff>
                    <xdr:row>15</xdr:row>
                    <xdr:rowOff>228600</xdr:rowOff>
                  </to>
                </anchor>
              </controlPr>
            </control>
          </mc:Choice>
        </mc:AlternateContent>
        <mc:AlternateContent xmlns:mc="http://schemas.openxmlformats.org/markup-compatibility/2006">
          <mc:Choice Requires="x14">
            <control shapeId="8196" r:id="rId6" name="Drop Down 4">
              <controlPr defaultSize="0" autoLine="0" autoPict="0">
                <anchor moveWithCells="1">
                  <from>
                    <xdr:col>4</xdr:col>
                    <xdr:colOff>28575</xdr:colOff>
                    <xdr:row>13</xdr:row>
                    <xdr:rowOff>28575</xdr:rowOff>
                  </from>
                  <to>
                    <xdr:col>4</xdr:col>
                    <xdr:colOff>1304925</xdr:colOff>
                    <xdr:row>13</xdr:row>
                    <xdr:rowOff>228600</xdr:rowOff>
                  </to>
                </anchor>
              </controlPr>
            </control>
          </mc:Choice>
        </mc:AlternateContent>
        <mc:AlternateContent xmlns:mc="http://schemas.openxmlformats.org/markup-compatibility/2006">
          <mc:Choice Requires="x14">
            <control shapeId="8197" r:id="rId7" name="Drop Down 5">
              <controlPr defaultSize="0" autoLine="0" autoPict="0">
                <anchor moveWithCells="1">
                  <from>
                    <xdr:col>1</xdr:col>
                    <xdr:colOff>28575</xdr:colOff>
                    <xdr:row>21</xdr:row>
                    <xdr:rowOff>28575</xdr:rowOff>
                  </from>
                  <to>
                    <xdr:col>2</xdr:col>
                    <xdr:colOff>38100</xdr:colOff>
                    <xdr:row>21</xdr:row>
                    <xdr:rowOff>228600</xdr:rowOff>
                  </to>
                </anchor>
              </controlPr>
            </control>
          </mc:Choice>
        </mc:AlternateContent>
        <mc:AlternateContent xmlns:mc="http://schemas.openxmlformats.org/markup-compatibility/2006">
          <mc:Choice Requires="x14">
            <control shapeId="8198" r:id="rId8" name="Drop Down 6">
              <controlPr defaultSize="0" autoLine="0" autoPict="0">
                <anchor moveWithCells="1">
                  <from>
                    <xdr:col>1</xdr:col>
                    <xdr:colOff>28575</xdr:colOff>
                    <xdr:row>22</xdr:row>
                    <xdr:rowOff>28575</xdr:rowOff>
                  </from>
                  <to>
                    <xdr:col>2</xdr:col>
                    <xdr:colOff>38100</xdr:colOff>
                    <xdr:row>22</xdr:row>
                    <xdr:rowOff>228600</xdr:rowOff>
                  </to>
                </anchor>
              </controlPr>
            </control>
          </mc:Choice>
        </mc:AlternateContent>
        <mc:AlternateContent xmlns:mc="http://schemas.openxmlformats.org/markup-compatibility/2006">
          <mc:Choice Requires="x14">
            <control shapeId="8199" r:id="rId9" name="Drop Down 7">
              <controlPr defaultSize="0" autoLine="0" autoPict="0">
                <anchor moveWithCells="1">
                  <from>
                    <xdr:col>1</xdr:col>
                    <xdr:colOff>28575</xdr:colOff>
                    <xdr:row>23</xdr:row>
                    <xdr:rowOff>28575</xdr:rowOff>
                  </from>
                  <to>
                    <xdr:col>2</xdr:col>
                    <xdr:colOff>38100</xdr:colOff>
                    <xdr:row>23</xdr:row>
                    <xdr:rowOff>228600</xdr:rowOff>
                  </to>
                </anchor>
              </controlPr>
            </control>
          </mc:Choice>
        </mc:AlternateContent>
        <mc:AlternateContent xmlns:mc="http://schemas.openxmlformats.org/markup-compatibility/2006">
          <mc:Choice Requires="x14">
            <control shapeId="8200" r:id="rId10" name="Drop Down 8">
              <controlPr defaultSize="0" autoLine="0" autoPict="0">
                <anchor moveWithCells="1">
                  <from>
                    <xdr:col>1</xdr:col>
                    <xdr:colOff>28575</xdr:colOff>
                    <xdr:row>24</xdr:row>
                    <xdr:rowOff>28575</xdr:rowOff>
                  </from>
                  <to>
                    <xdr:col>2</xdr:col>
                    <xdr:colOff>38100</xdr:colOff>
                    <xdr:row>24</xdr:row>
                    <xdr:rowOff>228600</xdr:rowOff>
                  </to>
                </anchor>
              </controlPr>
            </control>
          </mc:Choice>
        </mc:AlternateContent>
        <mc:AlternateContent xmlns:mc="http://schemas.openxmlformats.org/markup-compatibility/2006">
          <mc:Choice Requires="x14">
            <control shapeId="8201" r:id="rId11" name="Drop Down 9">
              <controlPr defaultSize="0" autoLine="0" autoPict="0">
                <anchor moveWithCells="1">
                  <from>
                    <xdr:col>1</xdr:col>
                    <xdr:colOff>28575</xdr:colOff>
                    <xdr:row>25</xdr:row>
                    <xdr:rowOff>28575</xdr:rowOff>
                  </from>
                  <to>
                    <xdr:col>2</xdr:col>
                    <xdr:colOff>38100</xdr:colOff>
                    <xdr:row>25</xdr:row>
                    <xdr:rowOff>228600</xdr:rowOff>
                  </to>
                </anchor>
              </controlPr>
            </control>
          </mc:Choice>
        </mc:AlternateContent>
        <mc:AlternateContent xmlns:mc="http://schemas.openxmlformats.org/markup-compatibility/2006">
          <mc:Choice Requires="x14">
            <control shapeId="8203" r:id="rId12" name="Drop Down 11">
              <controlPr defaultSize="0" autoLine="0" autoPict="0">
                <anchor moveWithCells="1">
                  <from>
                    <xdr:col>1</xdr:col>
                    <xdr:colOff>28575</xdr:colOff>
                    <xdr:row>22</xdr:row>
                    <xdr:rowOff>28575</xdr:rowOff>
                  </from>
                  <to>
                    <xdr:col>2</xdr:col>
                    <xdr:colOff>38100</xdr:colOff>
                    <xdr:row>22</xdr:row>
                    <xdr:rowOff>228600</xdr:rowOff>
                  </to>
                </anchor>
              </controlPr>
            </control>
          </mc:Choice>
        </mc:AlternateContent>
        <mc:AlternateContent xmlns:mc="http://schemas.openxmlformats.org/markup-compatibility/2006">
          <mc:Choice Requires="x14">
            <control shapeId="8204" r:id="rId13" name="Drop Down 12">
              <controlPr defaultSize="0" autoLine="0" autoPict="0">
                <anchor moveWithCells="1">
                  <from>
                    <xdr:col>1</xdr:col>
                    <xdr:colOff>28575</xdr:colOff>
                    <xdr:row>23</xdr:row>
                    <xdr:rowOff>28575</xdr:rowOff>
                  </from>
                  <to>
                    <xdr:col>2</xdr:col>
                    <xdr:colOff>38100</xdr:colOff>
                    <xdr:row>23</xdr:row>
                    <xdr:rowOff>228600</xdr:rowOff>
                  </to>
                </anchor>
              </controlPr>
            </control>
          </mc:Choice>
        </mc:AlternateContent>
        <mc:AlternateContent xmlns:mc="http://schemas.openxmlformats.org/markup-compatibility/2006">
          <mc:Choice Requires="x14">
            <control shapeId="8205" r:id="rId14" name="Drop Down 13">
              <controlPr defaultSize="0" autoLine="0" autoPict="0">
                <anchor moveWithCells="1">
                  <from>
                    <xdr:col>1</xdr:col>
                    <xdr:colOff>28575</xdr:colOff>
                    <xdr:row>24</xdr:row>
                    <xdr:rowOff>28575</xdr:rowOff>
                  </from>
                  <to>
                    <xdr:col>2</xdr:col>
                    <xdr:colOff>38100</xdr:colOff>
                    <xdr:row>24</xdr:row>
                    <xdr:rowOff>228600</xdr:rowOff>
                  </to>
                </anchor>
              </controlPr>
            </control>
          </mc:Choice>
        </mc:AlternateContent>
        <mc:AlternateContent xmlns:mc="http://schemas.openxmlformats.org/markup-compatibility/2006">
          <mc:Choice Requires="x14">
            <control shapeId="8206" r:id="rId15" name="Drop Down 14">
              <controlPr defaultSize="0" autoLine="0" autoPict="0">
                <anchor moveWithCells="1">
                  <from>
                    <xdr:col>1</xdr:col>
                    <xdr:colOff>28575</xdr:colOff>
                    <xdr:row>25</xdr:row>
                    <xdr:rowOff>28575</xdr:rowOff>
                  </from>
                  <to>
                    <xdr:col>2</xdr:col>
                    <xdr:colOff>38100</xdr:colOff>
                    <xdr:row>25</xdr:row>
                    <xdr:rowOff>228600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60"/>
  <sheetViews>
    <sheetView workbookViewId="0">
      <selection activeCell="G3" sqref="G3:I260"/>
    </sheetView>
  </sheetViews>
  <sheetFormatPr defaultRowHeight="12.75"/>
  <cols>
    <col min="1" max="1" width="16.140625" bestFit="1" customWidth="1"/>
    <col min="3" max="3" width="21.42578125" bestFit="1" customWidth="1"/>
    <col min="5" max="5" width="19.7109375" bestFit="1" customWidth="1"/>
    <col min="7" max="7" width="17.140625" customWidth="1"/>
    <col min="8" max="8" width="33.5703125" customWidth="1"/>
    <col min="9" max="9" width="32.5703125" customWidth="1"/>
    <col min="11" max="11" width="20.42578125" customWidth="1"/>
    <col min="16" max="16" width="16.140625" bestFit="1" customWidth="1"/>
    <col min="18" max="18" width="21.42578125" bestFit="1" customWidth="1"/>
  </cols>
  <sheetData>
    <row r="1" spans="1:18">
      <c r="A1" s="3" t="s">
        <v>377</v>
      </c>
      <c r="B1" s="2"/>
      <c r="C1" s="3" t="s">
        <v>378</v>
      </c>
      <c r="E1" s="3" t="s">
        <v>388</v>
      </c>
      <c r="G1" s="3" t="s">
        <v>15</v>
      </c>
      <c r="H1" s="3" t="s">
        <v>16</v>
      </c>
      <c r="I1" s="3" t="s">
        <v>17</v>
      </c>
      <c r="K1" s="3" t="s">
        <v>392</v>
      </c>
      <c r="M1" s="3" t="s">
        <v>431</v>
      </c>
      <c r="N1" s="3"/>
      <c r="O1" s="3" t="s">
        <v>445</v>
      </c>
      <c r="P1" s="3" t="s">
        <v>377</v>
      </c>
      <c r="Q1" s="3" t="s">
        <v>446</v>
      </c>
      <c r="R1" s="3" t="s">
        <v>378</v>
      </c>
    </row>
    <row r="2" spans="1:18">
      <c r="A2" s="3"/>
      <c r="B2" s="2"/>
      <c r="C2" s="3"/>
      <c r="E2" s="3"/>
      <c r="G2" s="3"/>
      <c r="H2" s="3"/>
      <c r="I2" s="3"/>
      <c r="K2" s="3"/>
      <c r="M2" s="3"/>
      <c r="N2" s="3"/>
      <c r="O2" s="3"/>
      <c r="P2" s="3"/>
      <c r="Q2" s="3"/>
      <c r="R2" s="3"/>
    </row>
    <row r="3" spans="1:18">
      <c r="A3" s="5" t="s">
        <v>379</v>
      </c>
      <c r="B3" s="5"/>
      <c r="C3" s="5" t="s">
        <v>387</v>
      </c>
      <c r="D3" s="5"/>
      <c r="E3" s="5" t="s">
        <v>349</v>
      </c>
      <c r="G3" s="7" t="s">
        <v>215</v>
      </c>
      <c r="H3" s="9" t="s">
        <v>216</v>
      </c>
      <c r="I3" s="9" t="s">
        <v>217</v>
      </c>
      <c r="K3" s="9" t="s">
        <v>393</v>
      </c>
      <c r="M3" s="9" t="s">
        <v>432</v>
      </c>
      <c r="N3" s="9"/>
      <c r="O3">
        <v>1</v>
      </c>
      <c r="P3" s="5" t="s">
        <v>394</v>
      </c>
      <c r="Q3">
        <v>1</v>
      </c>
      <c r="R3" s="5" t="s">
        <v>394</v>
      </c>
    </row>
    <row r="4" spans="1:18">
      <c r="A4" s="5" t="s">
        <v>382</v>
      </c>
      <c r="B4" s="5"/>
      <c r="C4" s="5" t="s">
        <v>379</v>
      </c>
      <c r="D4" s="5"/>
      <c r="E4" s="5" t="s">
        <v>354</v>
      </c>
      <c r="G4" s="7" t="s">
        <v>219</v>
      </c>
      <c r="H4" s="9" t="s">
        <v>216</v>
      </c>
      <c r="I4" s="9" t="s">
        <v>220</v>
      </c>
      <c r="K4" s="9" t="s">
        <v>394</v>
      </c>
      <c r="M4" s="9" t="s">
        <v>433</v>
      </c>
      <c r="N4" s="9"/>
      <c r="O4">
        <v>2</v>
      </c>
      <c r="P4" s="5" t="s">
        <v>379</v>
      </c>
      <c r="Q4">
        <v>2</v>
      </c>
      <c r="R4" s="5" t="s">
        <v>387</v>
      </c>
    </row>
    <row r="5" spans="1:18">
      <c r="A5" s="5" t="s">
        <v>381</v>
      </c>
      <c r="B5" s="5"/>
      <c r="C5" s="5" t="s">
        <v>386</v>
      </c>
      <c r="D5" s="5"/>
      <c r="E5" s="5" t="s">
        <v>350</v>
      </c>
      <c r="G5" s="7" t="s">
        <v>249</v>
      </c>
      <c r="H5" s="5" t="s">
        <v>250</v>
      </c>
      <c r="I5" s="5" t="s">
        <v>251</v>
      </c>
      <c r="O5">
        <v>3</v>
      </c>
      <c r="P5" s="5" t="s">
        <v>382</v>
      </c>
      <c r="Q5">
        <v>3</v>
      </c>
      <c r="R5" s="5" t="s">
        <v>379</v>
      </c>
    </row>
    <row r="6" spans="1:18">
      <c r="A6" s="5" t="s">
        <v>380</v>
      </c>
      <c r="B6" s="5"/>
      <c r="C6" s="5" t="s">
        <v>383</v>
      </c>
      <c r="D6" s="5"/>
      <c r="E6" s="5" t="s">
        <v>351</v>
      </c>
      <c r="G6" s="7" t="s">
        <v>221</v>
      </c>
      <c r="H6" s="9" t="s">
        <v>216</v>
      </c>
      <c r="I6" s="5" t="s">
        <v>222</v>
      </c>
      <c r="O6">
        <v>4</v>
      </c>
      <c r="P6" s="5" t="s">
        <v>381</v>
      </c>
      <c r="Q6">
        <v>4</v>
      </c>
      <c r="R6" s="5" t="s">
        <v>386</v>
      </c>
    </row>
    <row r="7" spans="1:18">
      <c r="A7" s="5"/>
      <c r="B7" s="5"/>
      <c r="C7" s="5" t="s">
        <v>385</v>
      </c>
      <c r="D7" s="5"/>
      <c r="E7" s="5" t="s">
        <v>352</v>
      </c>
      <c r="G7" s="7" t="s">
        <v>223</v>
      </c>
      <c r="H7" s="9" t="s">
        <v>216</v>
      </c>
      <c r="I7" s="5" t="s">
        <v>224</v>
      </c>
      <c r="O7">
        <v>5</v>
      </c>
      <c r="P7" s="5" t="s">
        <v>380</v>
      </c>
      <c r="Q7">
        <v>5</v>
      </c>
      <c r="R7" s="5" t="s">
        <v>383</v>
      </c>
    </row>
    <row r="8" spans="1:18">
      <c r="A8" s="5"/>
      <c r="B8" s="5"/>
      <c r="C8" s="5" t="s">
        <v>384</v>
      </c>
      <c r="D8" s="5"/>
      <c r="E8" s="5" t="s">
        <v>353</v>
      </c>
      <c r="G8" s="7" t="s">
        <v>225</v>
      </c>
      <c r="H8" s="9" t="s">
        <v>216</v>
      </c>
      <c r="I8" s="5" t="s">
        <v>226</v>
      </c>
      <c r="P8" s="5"/>
      <c r="Q8" s="5">
        <v>6</v>
      </c>
      <c r="R8" s="5" t="s">
        <v>385</v>
      </c>
    </row>
    <row r="9" spans="1:18">
      <c r="G9" s="7" t="s">
        <v>266</v>
      </c>
      <c r="H9" s="5" t="s">
        <v>68</v>
      </c>
      <c r="I9" s="5" t="s">
        <v>270</v>
      </c>
      <c r="Q9">
        <v>7</v>
      </c>
      <c r="R9" s="5" t="s">
        <v>384</v>
      </c>
    </row>
    <row r="10" spans="1:18">
      <c r="G10" s="7" t="s">
        <v>269</v>
      </c>
      <c r="H10" s="5" t="s">
        <v>68</v>
      </c>
      <c r="I10" s="9" t="s">
        <v>267</v>
      </c>
    </row>
    <row r="11" spans="1:18">
      <c r="G11" s="7" t="s">
        <v>551</v>
      </c>
      <c r="H11" s="5" t="s">
        <v>68</v>
      </c>
      <c r="I11" s="9" t="s">
        <v>552</v>
      </c>
    </row>
    <row r="12" spans="1:18">
      <c r="G12" s="7" t="s">
        <v>271</v>
      </c>
      <c r="H12" s="5" t="s">
        <v>68</v>
      </c>
      <c r="I12" s="9" t="s">
        <v>272</v>
      </c>
    </row>
    <row r="13" spans="1:18">
      <c r="G13" s="7" t="s">
        <v>474</v>
      </c>
      <c r="H13" s="5" t="s">
        <v>68</v>
      </c>
      <c r="I13" s="9" t="s">
        <v>476</v>
      </c>
    </row>
    <row r="14" spans="1:18">
      <c r="G14" s="7" t="s">
        <v>475</v>
      </c>
      <c r="H14" s="5" t="s">
        <v>68</v>
      </c>
      <c r="I14" s="9" t="s">
        <v>477</v>
      </c>
    </row>
    <row r="15" spans="1:18">
      <c r="G15" s="7" t="s">
        <v>273</v>
      </c>
      <c r="H15" s="5" t="s">
        <v>68</v>
      </c>
      <c r="I15" s="9" t="s">
        <v>274</v>
      </c>
    </row>
    <row r="16" spans="1:18">
      <c r="G16" s="7" t="s">
        <v>478</v>
      </c>
      <c r="H16" s="5" t="s">
        <v>68</v>
      </c>
      <c r="I16" s="9" t="s">
        <v>481</v>
      </c>
    </row>
    <row r="17" spans="7:9">
      <c r="G17" s="7" t="s">
        <v>479</v>
      </c>
      <c r="H17" s="5" t="s">
        <v>68</v>
      </c>
      <c r="I17" s="9" t="s">
        <v>482</v>
      </c>
    </row>
    <row r="18" spans="7:9">
      <c r="G18" s="7" t="s">
        <v>480</v>
      </c>
      <c r="H18" s="9" t="s">
        <v>68</v>
      </c>
      <c r="I18" s="9" t="s">
        <v>483</v>
      </c>
    </row>
    <row r="19" spans="7:9">
      <c r="G19" s="7" t="s">
        <v>227</v>
      </c>
      <c r="H19" s="9" t="s">
        <v>216</v>
      </c>
      <c r="I19" s="9" t="s">
        <v>143</v>
      </c>
    </row>
    <row r="20" spans="7:9">
      <c r="G20" s="7" t="s">
        <v>228</v>
      </c>
      <c r="H20" s="9" t="s">
        <v>216</v>
      </c>
      <c r="I20" s="9" t="s">
        <v>229</v>
      </c>
    </row>
    <row r="21" spans="7:9">
      <c r="G21" s="7" t="s">
        <v>230</v>
      </c>
      <c r="H21" s="9" t="s">
        <v>216</v>
      </c>
      <c r="I21" s="9" t="s">
        <v>231</v>
      </c>
    </row>
    <row r="22" spans="7:9">
      <c r="G22" s="7" t="s">
        <v>467</v>
      </c>
      <c r="H22" s="9" t="s">
        <v>216</v>
      </c>
      <c r="I22" s="9" t="s">
        <v>465</v>
      </c>
    </row>
    <row r="23" spans="7:9">
      <c r="G23" s="7" t="s">
        <v>468</v>
      </c>
      <c r="H23" s="9" t="s">
        <v>216</v>
      </c>
      <c r="I23" s="9" t="s">
        <v>48</v>
      </c>
    </row>
    <row r="24" spans="7:9">
      <c r="G24" s="7" t="s">
        <v>469</v>
      </c>
      <c r="H24" s="9" t="s">
        <v>216</v>
      </c>
      <c r="I24" s="9" t="s">
        <v>466</v>
      </c>
    </row>
    <row r="25" spans="7:9">
      <c r="G25" s="7" t="s">
        <v>232</v>
      </c>
      <c r="H25" s="9" t="s">
        <v>216</v>
      </c>
      <c r="I25" s="9" t="s">
        <v>233</v>
      </c>
    </row>
    <row r="26" spans="7:9">
      <c r="G26" s="7" t="s">
        <v>234</v>
      </c>
      <c r="H26" s="9" t="s">
        <v>216</v>
      </c>
      <c r="I26" s="9" t="s">
        <v>41</v>
      </c>
    </row>
    <row r="27" spans="7:9">
      <c r="G27" s="4" t="s">
        <v>235</v>
      </c>
      <c r="H27" s="5" t="s">
        <v>216</v>
      </c>
      <c r="I27" s="5" t="s">
        <v>236</v>
      </c>
    </row>
    <row r="28" spans="7:9">
      <c r="G28" s="4" t="s">
        <v>276</v>
      </c>
      <c r="H28" s="5" t="s">
        <v>277</v>
      </c>
      <c r="I28" s="5" t="s">
        <v>278</v>
      </c>
    </row>
    <row r="29" spans="7:9">
      <c r="G29" s="4" t="s">
        <v>279</v>
      </c>
      <c r="H29" s="5" t="s">
        <v>277</v>
      </c>
      <c r="I29" s="5" t="s">
        <v>280</v>
      </c>
    </row>
    <row r="30" spans="7:9">
      <c r="G30" s="4" t="s">
        <v>281</v>
      </c>
      <c r="H30" s="5" t="s">
        <v>277</v>
      </c>
      <c r="I30" s="5" t="s">
        <v>282</v>
      </c>
    </row>
    <row r="31" spans="7:9">
      <c r="G31" s="4" t="s">
        <v>283</v>
      </c>
      <c r="H31" s="5" t="s">
        <v>277</v>
      </c>
      <c r="I31" s="5" t="s">
        <v>284</v>
      </c>
    </row>
    <row r="32" spans="7:9">
      <c r="G32" s="4" t="s">
        <v>252</v>
      </c>
      <c r="H32" s="5" t="s">
        <v>250</v>
      </c>
      <c r="I32" s="5" t="s">
        <v>253</v>
      </c>
    </row>
    <row r="33" spans="7:9">
      <c r="G33" s="4" t="s">
        <v>254</v>
      </c>
      <c r="H33" s="5" t="s">
        <v>250</v>
      </c>
      <c r="I33" s="5" t="s">
        <v>255</v>
      </c>
    </row>
    <row r="34" spans="7:9">
      <c r="G34" s="4" t="s">
        <v>256</v>
      </c>
      <c r="H34" s="5" t="s">
        <v>250</v>
      </c>
      <c r="I34" s="5" t="s">
        <v>257</v>
      </c>
    </row>
    <row r="35" spans="7:9">
      <c r="G35" s="4" t="s">
        <v>472</v>
      </c>
      <c r="H35" s="5" t="s">
        <v>250</v>
      </c>
      <c r="I35" s="5" t="s">
        <v>473</v>
      </c>
    </row>
    <row r="36" spans="7:9">
      <c r="G36" s="4" t="s">
        <v>258</v>
      </c>
      <c r="H36" s="5" t="s">
        <v>250</v>
      </c>
      <c r="I36" s="5" t="s">
        <v>259</v>
      </c>
    </row>
    <row r="37" spans="7:9">
      <c r="G37" s="4" t="s">
        <v>260</v>
      </c>
      <c r="H37" s="5" t="s">
        <v>250</v>
      </c>
      <c r="I37" s="5" t="s">
        <v>261</v>
      </c>
    </row>
    <row r="38" spans="7:9">
      <c r="G38" s="4" t="s">
        <v>262</v>
      </c>
      <c r="H38" s="5" t="s">
        <v>250</v>
      </c>
      <c r="I38" s="5" t="s">
        <v>263</v>
      </c>
    </row>
    <row r="39" spans="7:9">
      <c r="G39" s="4" t="s">
        <v>264</v>
      </c>
      <c r="H39" s="5" t="s">
        <v>250</v>
      </c>
      <c r="I39" s="5" t="s">
        <v>265</v>
      </c>
    </row>
    <row r="40" spans="7:9">
      <c r="G40" s="4" t="s">
        <v>240</v>
      </c>
      <c r="H40" s="5" t="s">
        <v>241</v>
      </c>
      <c r="I40" s="5" t="s">
        <v>242</v>
      </c>
    </row>
    <row r="41" spans="7:9">
      <c r="G41" s="4" t="s">
        <v>243</v>
      </c>
      <c r="H41" s="5" t="s">
        <v>241</v>
      </c>
      <c r="I41" s="5" t="s">
        <v>244</v>
      </c>
    </row>
    <row r="42" spans="7:9">
      <c r="G42" s="4" t="s">
        <v>245</v>
      </c>
      <c r="H42" s="5" t="s">
        <v>241</v>
      </c>
      <c r="I42" s="5" t="s">
        <v>246</v>
      </c>
    </row>
    <row r="43" spans="7:9">
      <c r="G43" s="4" t="s">
        <v>470</v>
      </c>
      <c r="H43" s="5" t="s">
        <v>241</v>
      </c>
      <c r="I43" s="5" t="s">
        <v>471</v>
      </c>
    </row>
    <row r="44" spans="7:9">
      <c r="G44" s="4" t="s">
        <v>247</v>
      </c>
      <c r="H44" s="5" t="s">
        <v>241</v>
      </c>
      <c r="I44" s="5" t="s">
        <v>248</v>
      </c>
    </row>
    <row r="45" spans="7:9">
      <c r="G45" s="5" t="s">
        <v>212</v>
      </c>
      <c r="H45" s="5" t="s">
        <v>23</v>
      </c>
      <c r="I45" s="5" t="s">
        <v>24</v>
      </c>
    </row>
    <row r="46" spans="7:9">
      <c r="G46" s="5" t="s">
        <v>214</v>
      </c>
      <c r="H46" s="5" t="s">
        <v>23</v>
      </c>
      <c r="I46" s="5" t="s">
        <v>27</v>
      </c>
    </row>
    <row r="47" spans="7:9">
      <c r="G47" s="4" t="s">
        <v>285</v>
      </c>
      <c r="H47" s="9" t="s">
        <v>97</v>
      </c>
      <c r="I47" s="5" t="s">
        <v>30</v>
      </c>
    </row>
    <row r="48" spans="7:9">
      <c r="G48" s="4" t="s">
        <v>238</v>
      </c>
      <c r="H48" s="5" t="s">
        <v>216</v>
      </c>
      <c r="I48" s="5" t="s">
        <v>30</v>
      </c>
    </row>
    <row r="49" spans="7:9">
      <c r="G49" s="5" t="s">
        <v>275</v>
      </c>
      <c r="H49" s="5" t="s">
        <v>68</v>
      </c>
      <c r="I49" s="5" t="s">
        <v>70</v>
      </c>
    </row>
    <row r="50" spans="7:9">
      <c r="G50" s="4" t="s">
        <v>286</v>
      </c>
      <c r="H50" s="9" t="s">
        <v>97</v>
      </c>
      <c r="I50" s="5" t="s">
        <v>70</v>
      </c>
    </row>
    <row r="51" spans="7:9">
      <c r="G51" s="4" t="s">
        <v>239</v>
      </c>
      <c r="H51" s="9" t="s">
        <v>216</v>
      </c>
      <c r="I51" s="5" t="s">
        <v>464</v>
      </c>
    </row>
    <row r="52" spans="7:9">
      <c r="G52" s="5" t="s">
        <v>462</v>
      </c>
      <c r="H52" s="5" t="s">
        <v>216</v>
      </c>
      <c r="I52" s="5" t="s">
        <v>463</v>
      </c>
    </row>
    <row r="53" spans="7:9">
      <c r="G53" s="5" t="s">
        <v>287</v>
      </c>
      <c r="H53" s="5" t="s">
        <v>97</v>
      </c>
      <c r="I53" s="5" t="s">
        <v>288</v>
      </c>
    </row>
    <row r="54" spans="7:9">
      <c r="G54" s="5" t="s">
        <v>289</v>
      </c>
      <c r="H54" s="5" t="s">
        <v>97</v>
      </c>
      <c r="I54" s="5" t="s">
        <v>101</v>
      </c>
    </row>
    <row r="55" spans="7:9">
      <c r="G55" s="5" t="s">
        <v>291</v>
      </c>
      <c r="H55" s="5" t="s">
        <v>97</v>
      </c>
      <c r="I55" s="5" t="s">
        <v>292</v>
      </c>
    </row>
    <row r="56" spans="7:9">
      <c r="G56" s="5" t="s">
        <v>293</v>
      </c>
      <c r="H56" s="5" t="s">
        <v>97</v>
      </c>
      <c r="I56" s="5" t="s">
        <v>294</v>
      </c>
    </row>
    <row r="57" spans="7:9">
      <c r="G57" s="5" t="s">
        <v>295</v>
      </c>
      <c r="H57" s="5" t="s">
        <v>97</v>
      </c>
      <c r="I57" s="5" t="s">
        <v>296</v>
      </c>
    </row>
    <row r="58" spans="7:9">
      <c r="G58" s="5" t="s">
        <v>297</v>
      </c>
      <c r="H58" s="5" t="s">
        <v>97</v>
      </c>
      <c r="I58" s="5" t="s">
        <v>298</v>
      </c>
    </row>
    <row r="59" spans="7:9">
      <c r="G59" s="5" t="s">
        <v>299</v>
      </c>
      <c r="H59" s="5" t="s">
        <v>97</v>
      </c>
      <c r="I59" s="5" t="s">
        <v>300</v>
      </c>
    </row>
    <row r="60" spans="7:9">
      <c r="G60" s="5" t="s">
        <v>484</v>
      </c>
      <c r="H60" s="5" t="s">
        <v>97</v>
      </c>
      <c r="I60" s="5" t="s">
        <v>485</v>
      </c>
    </row>
    <row r="61" spans="7:9">
      <c r="G61" s="5" t="s">
        <v>301</v>
      </c>
      <c r="H61" s="5" t="s">
        <v>97</v>
      </c>
      <c r="I61" s="5" t="s">
        <v>113</v>
      </c>
    </row>
    <row r="62" spans="7:9">
      <c r="G62" s="4" t="s">
        <v>302</v>
      </c>
      <c r="H62" s="5" t="s">
        <v>97</v>
      </c>
      <c r="I62" s="5" t="s">
        <v>115</v>
      </c>
    </row>
    <row r="63" spans="7:9">
      <c r="G63" s="4" t="s">
        <v>550</v>
      </c>
      <c r="H63" s="5" t="s">
        <v>97</v>
      </c>
      <c r="I63" s="5" t="s">
        <v>105</v>
      </c>
    </row>
    <row r="64" spans="7:9">
      <c r="G64" s="4" t="s">
        <v>22</v>
      </c>
      <c r="H64" s="5" t="s">
        <v>23</v>
      </c>
      <c r="I64" s="5" t="s">
        <v>24</v>
      </c>
    </row>
    <row r="65" spans="7:9">
      <c r="G65" s="4" t="s">
        <v>26</v>
      </c>
      <c r="H65" s="5" t="s">
        <v>23</v>
      </c>
      <c r="I65" s="5" t="s">
        <v>27</v>
      </c>
    </row>
    <row r="66" spans="7:9">
      <c r="G66" s="4" t="s">
        <v>28</v>
      </c>
      <c r="H66" s="5" t="s">
        <v>29</v>
      </c>
      <c r="I66" s="5" t="s">
        <v>30</v>
      </c>
    </row>
    <row r="67" spans="7:9">
      <c r="G67" s="4" t="s">
        <v>31</v>
      </c>
      <c r="H67" s="5" t="s">
        <v>29</v>
      </c>
      <c r="I67" s="5" t="s">
        <v>32</v>
      </c>
    </row>
    <row r="68" spans="7:9">
      <c r="G68" s="4" t="s">
        <v>33</v>
      </c>
      <c r="H68" s="5" t="s">
        <v>29</v>
      </c>
      <c r="I68" s="5" t="s">
        <v>34</v>
      </c>
    </row>
    <row r="69" spans="7:9">
      <c r="G69" s="4" t="s">
        <v>36</v>
      </c>
      <c r="H69" s="5" t="s">
        <v>29</v>
      </c>
      <c r="I69" s="5" t="s">
        <v>37</v>
      </c>
    </row>
    <row r="70" spans="7:9">
      <c r="G70" s="4" t="s">
        <v>38</v>
      </c>
      <c r="H70" s="5" t="s">
        <v>29</v>
      </c>
      <c r="I70" s="5" t="s">
        <v>39</v>
      </c>
    </row>
    <row r="71" spans="7:9">
      <c r="G71" s="4" t="s">
        <v>40</v>
      </c>
      <c r="H71" s="5" t="s">
        <v>29</v>
      </c>
      <c r="I71" s="5" t="s">
        <v>41</v>
      </c>
    </row>
    <row r="72" spans="7:9">
      <c r="G72" s="4" t="s">
        <v>42</v>
      </c>
      <c r="H72" s="5" t="s">
        <v>29</v>
      </c>
      <c r="I72" s="5" t="s">
        <v>43</v>
      </c>
    </row>
    <row r="73" spans="7:9">
      <c r="G73" s="4" t="s">
        <v>44</v>
      </c>
      <c r="H73" s="5" t="s">
        <v>29</v>
      </c>
      <c r="I73" s="5" t="s">
        <v>45</v>
      </c>
    </row>
    <row r="74" spans="7:9">
      <c r="G74" s="4" t="s">
        <v>46</v>
      </c>
      <c r="H74" s="5" t="s">
        <v>47</v>
      </c>
      <c r="I74" s="5" t="s">
        <v>48</v>
      </c>
    </row>
    <row r="75" spans="7:9">
      <c r="G75" s="4" t="s">
        <v>623</v>
      </c>
      <c r="H75" s="5" t="s">
        <v>47</v>
      </c>
      <c r="I75" s="5" t="s">
        <v>41</v>
      </c>
    </row>
    <row r="76" spans="7:9">
      <c r="G76" s="4" t="s">
        <v>49</v>
      </c>
      <c r="H76" s="5" t="s">
        <v>50</v>
      </c>
      <c r="I76" s="5" t="s">
        <v>30</v>
      </c>
    </row>
    <row r="77" spans="7:9">
      <c r="G77" s="4" t="s">
        <v>51</v>
      </c>
      <c r="H77" s="5" t="s">
        <v>50</v>
      </c>
      <c r="I77" s="5" t="s">
        <v>52</v>
      </c>
    </row>
    <row r="78" spans="7:9">
      <c r="G78" s="4" t="s">
        <v>53</v>
      </c>
      <c r="H78" s="5" t="s">
        <v>50</v>
      </c>
      <c r="I78" s="5" t="s">
        <v>54</v>
      </c>
    </row>
    <row r="79" spans="7:9">
      <c r="G79" s="4" t="s">
        <v>55</v>
      </c>
      <c r="H79" s="5" t="s">
        <v>50</v>
      </c>
      <c r="I79" s="5" t="s">
        <v>56</v>
      </c>
    </row>
    <row r="80" spans="7:9">
      <c r="G80" s="4" t="s">
        <v>57</v>
      </c>
      <c r="H80" s="5" t="s">
        <v>50</v>
      </c>
      <c r="I80" s="5" t="s">
        <v>58</v>
      </c>
    </row>
    <row r="81" spans="7:9">
      <c r="G81" s="4" t="s">
        <v>59</v>
      </c>
      <c r="H81" s="5" t="s">
        <v>50</v>
      </c>
      <c r="I81" s="5" t="s">
        <v>60</v>
      </c>
    </row>
    <row r="82" spans="7:9">
      <c r="G82" s="4" t="s">
        <v>61</v>
      </c>
      <c r="H82" s="5" t="s">
        <v>50</v>
      </c>
      <c r="I82" s="5" t="s">
        <v>62</v>
      </c>
    </row>
    <row r="83" spans="7:9">
      <c r="G83" s="4" t="s">
        <v>63</v>
      </c>
      <c r="H83" s="5" t="s">
        <v>50</v>
      </c>
      <c r="I83" s="5" t="s">
        <v>64</v>
      </c>
    </row>
    <row r="84" spans="7:9">
      <c r="G84" s="4" t="s">
        <v>65</v>
      </c>
      <c r="H84" s="5" t="s">
        <v>50</v>
      </c>
      <c r="I84" s="5" t="s">
        <v>66</v>
      </c>
    </row>
    <row r="85" spans="7:9">
      <c r="G85" s="4" t="s">
        <v>67</v>
      </c>
      <c r="H85" s="5" t="s">
        <v>68</v>
      </c>
      <c r="I85" s="5" t="s">
        <v>30</v>
      </c>
    </row>
    <row r="86" spans="7:9">
      <c r="G86" s="4" t="s">
        <v>69</v>
      </c>
      <c r="H86" s="5" t="s">
        <v>68</v>
      </c>
      <c r="I86" s="5" t="s">
        <v>70</v>
      </c>
    </row>
    <row r="87" spans="7:9">
      <c r="G87" s="4" t="s">
        <v>71</v>
      </c>
      <c r="H87" s="5" t="s">
        <v>68</v>
      </c>
      <c r="I87" s="5" t="s">
        <v>54</v>
      </c>
    </row>
    <row r="88" spans="7:9">
      <c r="G88" s="5" t="s">
        <v>450</v>
      </c>
      <c r="H88" s="5" t="s">
        <v>68</v>
      </c>
      <c r="I88" s="5" t="s">
        <v>447</v>
      </c>
    </row>
    <row r="89" spans="7:9">
      <c r="G89" s="5" t="s">
        <v>72</v>
      </c>
      <c r="H89" s="5" t="s">
        <v>68</v>
      </c>
      <c r="I89" s="5" t="s">
        <v>73</v>
      </c>
    </row>
    <row r="90" spans="7:9">
      <c r="G90" s="5" t="s">
        <v>74</v>
      </c>
      <c r="H90" s="5" t="s">
        <v>68</v>
      </c>
      <c r="I90" s="5" t="s">
        <v>75</v>
      </c>
    </row>
    <row r="91" spans="7:9">
      <c r="G91" s="5" t="s">
        <v>77</v>
      </c>
      <c r="H91" s="5" t="s">
        <v>68</v>
      </c>
      <c r="I91" s="5" t="s">
        <v>78</v>
      </c>
    </row>
    <row r="92" spans="7:9">
      <c r="G92" s="5" t="s">
        <v>80</v>
      </c>
      <c r="H92" s="5" t="s">
        <v>68</v>
      </c>
      <c r="I92" s="5" t="s">
        <v>62</v>
      </c>
    </row>
    <row r="93" spans="7:9">
      <c r="G93" s="5" t="s">
        <v>82</v>
      </c>
      <c r="H93" s="5" t="s">
        <v>68</v>
      </c>
      <c r="I93" s="5" t="s">
        <v>83</v>
      </c>
    </row>
    <row r="94" spans="7:9">
      <c r="G94" s="5" t="s">
        <v>84</v>
      </c>
      <c r="H94" s="5" t="s">
        <v>68</v>
      </c>
      <c r="I94" s="5" t="s">
        <v>85</v>
      </c>
    </row>
    <row r="95" spans="7:9">
      <c r="G95" s="5" t="s">
        <v>86</v>
      </c>
      <c r="H95" s="5" t="s">
        <v>68</v>
      </c>
      <c r="I95" s="5" t="s">
        <v>87</v>
      </c>
    </row>
    <row r="96" spans="7:9">
      <c r="G96" s="5" t="s">
        <v>88</v>
      </c>
      <c r="H96" s="5" t="s">
        <v>68</v>
      </c>
      <c r="I96" s="5" t="s">
        <v>89</v>
      </c>
    </row>
    <row r="97" spans="7:9">
      <c r="G97" s="5" t="s">
        <v>553</v>
      </c>
      <c r="H97" s="5" t="s">
        <v>68</v>
      </c>
      <c r="I97" s="5" t="s">
        <v>554</v>
      </c>
    </row>
    <row r="98" spans="7:9">
      <c r="G98" s="5" t="s">
        <v>90</v>
      </c>
      <c r="H98" s="5" t="s">
        <v>68</v>
      </c>
      <c r="I98" s="5" t="s">
        <v>91</v>
      </c>
    </row>
    <row r="99" spans="7:9">
      <c r="G99" s="5" t="s">
        <v>92</v>
      </c>
      <c r="H99" s="5" t="s">
        <v>68</v>
      </c>
      <c r="I99" s="5" t="s">
        <v>93</v>
      </c>
    </row>
    <row r="100" spans="7:9">
      <c r="G100" s="5" t="s">
        <v>94</v>
      </c>
      <c r="H100" s="5" t="s">
        <v>68</v>
      </c>
      <c r="I100" s="5" t="s">
        <v>95</v>
      </c>
    </row>
    <row r="101" spans="7:9">
      <c r="G101" s="5" t="s">
        <v>96</v>
      </c>
      <c r="H101" s="5" t="s">
        <v>97</v>
      </c>
      <c r="I101" s="5" t="s">
        <v>30</v>
      </c>
    </row>
    <row r="102" spans="7:9">
      <c r="G102" s="5" t="s">
        <v>98</v>
      </c>
      <c r="H102" s="5" t="s">
        <v>97</v>
      </c>
      <c r="I102" s="5" t="s">
        <v>70</v>
      </c>
    </row>
    <row r="103" spans="7:9">
      <c r="G103" s="5" t="s">
        <v>99</v>
      </c>
      <c r="H103" s="5" t="s">
        <v>97</v>
      </c>
      <c r="I103" s="5" t="s">
        <v>559</v>
      </c>
    </row>
    <row r="104" spans="7:9">
      <c r="G104" s="5" t="s">
        <v>561</v>
      </c>
      <c r="H104" s="5" t="s">
        <v>97</v>
      </c>
      <c r="I104" s="5" t="s">
        <v>560</v>
      </c>
    </row>
    <row r="105" spans="7:9">
      <c r="G105" s="5" t="s">
        <v>100</v>
      </c>
      <c r="H105" s="5" t="s">
        <v>97</v>
      </c>
      <c r="I105" s="5" t="s">
        <v>101</v>
      </c>
    </row>
    <row r="106" spans="7:9">
      <c r="G106" s="5" t="s">
        <v>102</v>
      </c>
      <c r="H106" s="5" t="s">
        <v>97</v>
      </c>
      <c r="I106" s="5" t="s">
        <v>103</v>
      </c>
    </row>
    <row r="107" spans="7:9">
      <c r="G107" s="5" t="s">
        <v>104</v>
      </c>
      <c r="H107" s="5" t="s">
        <v>97</v>
      </c>
      <c r="I107" s="5" t="s">
        <v>105</v>
      </c>
    </row>
    <row r="108" spans="7:9">
      <c r="G108" s="5" t="s">
        <v>106</v>
      </c>
      <c r="H108" s="5" t="s">
        <v>97</v>
      </c>
      <c r="I108" s="5" t="s">
        <v>107</v>
      </c>
    </row>
    <row r="109" spans="7:9">
      <c r="G109" s="5" t="s">
        <v>108</v>
      </c>
      <c r="H109" s="5" t="s">
        <v>97</v>
      </c>
      <c r="I109" s="5" t="s">
        <v>109</v>
      </c>
    </row>
    <row r="110" spans="7:9">
      <c r="G110" s="5" t="s">
        <v>110</v>
      </c>
      <c r="H110" s="5" t="s">
        <v>97</v>
      </c>
      <c r="I110" s="5" t="s">
        <v>111</v>
      </c>
    </row>
    <row r="111" spans="7:9">
      <c r="G111" s="5" t="s">
        <v>112</v>
      </c>
      <c r="H111" s="5" t="s">
        <v>97</v>
      </c>
      <c r="I111" s="5" t="s">
        <v>113</v>
      </c>
    </row>
    <row r="112" spans="7:9">
      <c r="G112" s="5" t="s">
        <v>114</v>
      </c>
      <c r="H112" s="5" t="s">
        <v>97</v>
      </c>
      <c r="I112" s="5" t="s">
        <v>115</v>
      </c>
    </row>
    <row r="113" spans="7:9">
      <c r="G113" s="5" t="s">
        <v>621</v>
      </c>
      <c r="H113" s="5" t="s">
        <v>23</v>
      </c>
      <c r="I113" s="5" t="s">
        <v>24</v>
      </c>
    </row>
    <row r="114" spans="7:9">
      <c r="G114" s="5" t="s">
        <v>451</v>
      </c>
      <c r="H114" s="5" t="s">
        <v>97</v>
      </c>
      <c r="I114" s="5" t="s">
        <v>30</v>
      </c>
    </row>
    <row r="115" spans="7:9">
      <c r="G115" s="5" t="s">
        <v>452</v>
      </c>
      <c r="H115" s="5" t="s">
        <v>97</v>
      </c>
      <c r="I115" s="5" t="s">
        <v>70</v>
      </c>
    </row>
    <row r="116" spans="7:9">
      <c r="G116" s="5" t="s">
        <v>453</v>
      </c>
      <c r="H116" s="5" t="s">
        <v>97</v>
      </c>
      <c r="I116" s="5" t="s">
        <v>559</v>
      </c>
    </row>
    <row r="117" spans="7:9">
      <c r="G117" s="5" t="s">
        <v>558</v>
      </c>
      <c r="H117" s="5" t="s">
        <v>97</v>
      </c>
      <c r="I117" s="5" t="s">
        <v>560</v>
      </c>
    </row>
    <row r="118" spans="7:9">
      <c r="G118" s="5" t="s">
        <v>454</v>
      </c>
      <c r="H118" s="5" t="s">
        <v>97</v>
      </c>
      <c r="I118" s="5" t="s">
        <v>101</v>
      </c>
    </row>
    <row r="119" spans="7:9">
      <c r="G119" s="7" t="s">
        <v>455</v>
      </c>
      <c r="H119" s="9" t="s">
        <v>97</v>
      </c>
      <c r="I119" s="9" t="s">
        <v>103</v>
      </c>
    </row>
    <row r="120" spans="7:9">
      <c r="G120" s="4" t="s">
        <v>456</v>
      </c>
      <c r="H120" s="5" t="s">
        <v>97</v>
      </c>
      <c r="I120" s="5" t="s">
        <v>105</v>
      </c>
    </row>
    <row r="121" spans="7:9">
      <c r="G121" s="4" t="s">
        <v>457</v>
      </c>
      <c r="H121" s="5" t="s">
        <v>97</v>
      </c>
      <c r="I121" s="5" t="s">
        <v>107</v>
      </c>
    </row>
    <row r="122" spans="7:9">
      <c r="G122" s="4" t="s">
        <v>458</v>
      </c>
      <c r="H122" s="5" t="s">
        <v>97</v>
      </c>
      <c r="I122" s="5" t="s">
        <v>109</v>
      </c>
    </row>
    <row r="123" spans="7:9">
      <c r="G123" s="4" t="s">
        <v>459</v>
      </c>
      <c r="H123" s="5" t="s">
        <v>97</v>
      </c>
      <c r="I123" s="5" t="s">
        <v>111</v>
      </c>
    </row>
    <row r="124" spans="7:9">
      <c r="G124" s="4" t="s">
        <v>460</v>
      </c>
      <c r="H124" s="5" t="s">
        <v>97</v>
      </c>
      <c r="I124" s="5" t="s">
        <v>113</v>
      </c>
    </row>
    <row r="125" spans="7:9">
      <c r="G125" s="4" t="s">
        <v>461</v>
      </c>
      <c r="H125" s="5" t="s">
        <v>97</v>
      </c>
      <c r="I125" s="5" t="s">
        <v>115</v>
      </c>
    </row>
    <row r="126" spans="7:9">
      <c r="G126" s="4" t="s">
        <v>303</v>
      </c>
      <c r="H126" s="5" t="s">
        <v>23</v>
      </c>
      <c r="I126" s="5" t="s">
        <v>24</v>
      </c>
    </row>
    <row r="127" spans="7:9">
      <c r="G127" s="4" t="s">
        <v>304</v>
      </c>
      <c r="H127" s="5" t="s">
        <v>23</v>
      </c>
      <c r="I127" s="5" t="s">
        <v>27</v>
      </c>
    </row>
    <row r="128" spans="7:9">
      <c r="G128" s="4" t="s">
        <v>305</v>
      </c>
      <c r="H128" s="5" t="s">
        <v>68</v>
      </c>
      <c r="I128" s="5" t="s">
        <v>30</v>
      </c>
    </row>
    <row r="129" spans="7:9">
      <c r="G129" s="4" t="s">
        <v>306</v>
      </c>
      <c r="H129" s="5" t="s">
        <v>68</v>
      </c>
      <c r="I129" s="5" t="s">
        <v>70</v>
      </c>
    </row>
    <row r="130" spans="7:9">
      <c r="G130" s="4" t="s">
        <v>307</v>
      </c>
      <c r="H130" s="5" t="s">
        <v>68</v>
      </c>
      <c r="I130" s="5" t="s">
        <v>308</v>
      </c>
    </row>
    <row r="131" spans="7:9">
      <c r="G131" s="4" t="s">
        <v>310</v>
      </c>
      <c r="H131" s="5" t="s">
        <v>68</v>
      </c>
      <c r="I131" s="5" t="s">
        <v>311</v>
      </c>
    </row>
    <row r="132" spans="7:9">
      <c r="G132" s="4" t="s">
        <v>312</v>
      </c>
      <c r="H132" s="5" t="s">
        <v>68</v>
      </c>
      <c r="I132" s="5" t="s">
        <v>313</v>
      </c>
    </row>
    <row r="133" spans="7:9">
      <c r="G133" s="4" t="s">
        <v>486</v>
      </c>
      <c r="H133" s="5" t="s">
        <v>68</v>
      </c>
      <c r="I133" s="5" t="s">
        <v>485</v>
      </c>
    </row>
    <row r="134" spans="7:9">
      <c r="G134" s="4" t="s">
        <v>314</v>
      </c>
      <c r="H134" s="5" t="s">
        <v>68</v>
      </c>
      <c r="I134" s="5" t="s">
        <v>315</v>
      </c>
    </row>
    <row r="135" spans="7:9">
      <c r="G135" s="4" t="s">
        <v>316</v>
      </c>
      <c r="H135" s="5" t="s">
        <v>68</v>
      </c>
      <c r="I135" s="5" t="s">
        <v>87</v>
      </c>
    </row>
    <row r="136" spans="7:9">
      <c r="G136" s="4" t="s">
        <v>317</v>
      </c>
      <c r="H136" s="5" t="s">
        <v>68</v>
      </c>
      <c r="I136" s="5" t="s">
        <v>89</v>
      </c>
    </row>
    <row r="137" spans="7:9">
      <c r="G137" s="4" t="s">
        <v>318</v>
      </c>
      <c r="H137" s="5" t="s">
        <v>68</v>
      </c>
      <c r="I137" s="5" t="s">
        <v>319</v>
      </c>
    </row>
    <row r="138" spans="7:9">
      <c r="G138" s="4" t="s">
        <v>320</v>
      </c>
      <c r="H138" s="5" t="s">
        <v>68</v>
      </c>
      <c r="I138" s="5" t="s">
        <v>321</v>
      </c>
    </row>
    <row r="139" spans="7:9">
      <c r="G139" s="4" t="s">
        <v>322</v>
      </c>
      <c r="H139" s="5" t="s">
        <v>68</v>
      </c>
      <c r="I139" s="5" t="s">
        <v>323</v>
      </c>
    </row>
    <row r="140" spans="7:9">
      <c r="G140" s="4" t="s">
        <v>324</v>
      </c>
      <c r="H140" s="5" t="s">
        <v>68</v>
      </c>
      <c r="I140" s="5" t="s">
        <v>325</v>
      </c>
    </row>
    <row r="141" spans="7:9">
      <c r="G141" s="4" t="s">
        <v>326</v>
      </c>
      <c r="H141" s="5" t="s">
        <v>68</v>
      </c>
      <c r="I141" s="5" t="s">
        <v>327</v>
      </c>
    </row>
    <row r="142" spans="7:9">
      <c r="G142" s="4" t="s">
        <v>328</v>
      </c>
      <c r="H142" s="5" t="s">
        <v>68</v>
      </c>
      <c r="I142" s="5" t="s">
        <v>329</v>
      </c>
    </row>
    <row r="143" spans="7:9">
      <c r="G143" s="4" t="s">
        <v>330</v>
      </c>
      <c r="H143" s="5" t="s">
        <v>97</v>
      </c>
      <c r="I143" s="5" t="s">
        <v>30</v>
      </c>
    </row>
    <row r="144" spans="7:9">
      <c r="G144" s="4" t="s">
        <v>331</v>
      </c>
      <c r="H144" s="5" t="s">
        <v>97</v>
      </c>
      <c r="I144" s="5" t="s">
        <v>70</v>
      </c>
    </row>
    <row r="145" spans="7:9">
      <c r="G145" s="4" t="s">
        <v>332</v>
      </c>
      <c r="H145" s="5" t="s">
        <v>97</v>
      </c>
      <c r="I145" s="5" t="s">
        <v>559</v>
      </c>
    </row>
    <row r="146" spans="7:9">
      <c r="G146" s="4" t="s">
        <v>573</v>
      </c>
      <c r="H146" s="5" t="s">
        <v>97</v>
      </c>
      <c r="I146" s="5" t="s">
        <v>572</v>
      </c>
    </row>
    <row r="147" spans="7:9">
      <c r="G147" s="4" t="s">
        <v>333</v>
      </c>
      <c r="H147" s="5" t="s">
        <v>97</v>
      </c>
      <c r="I147" s="5" t="s">
        <v>101</v>
      </c>
    </row>
    <row r="148" spans="7:9">
      <c r="G148" s="4" t="s">
        <v>334</v>
      </c>
      <c r="H148" s="5" t="s">
        <v>97</v>
      </c>
      <c r="I148" s="5" t="s">
        <v>103</v>
      </c>
    </row>
    <row r="149" spans="7:9">
      <c r="G149" s="4" t="s">
        <v>335</v>
      </c>
      <c r="H149" s="5" t="s">
        <v>97</v>
      </c>
      <c r="I149" s="5" t="s">
        <v>105</v>
      </c>
    </row>
    <row r="150" spans="7:9">
      <c r="G150" s="4" t="s">
        <v>336</v>
      </c>
      <c r="H150" s="5" t="s">
        <v>97</v>
      </c>
      <c r="I150" s="5" t="s">
        <v>107</v>
      </c>
    </row>
    <row r="151" spans="7:9">
      <c r="G151" s="4" t="s">
        <v>337</v>
      </c>
      <c r="H151" s="5" t="s">
        <v>97</v>
      </c>
      <c r="I151" s="5" t="s">
        <v>109</v>
      </c>
    </row>
    <row r="152" spans="7:9">
      <c r="G152" s="4" t="s">
        <v>338</v>
      </c>
      <c r="H152" s="5" t="s">
        <v>97</v>
      </c>
      <c r="I152" s="5" t="s">
        <v>111</v>
      </c>
    </row>
    <row r="153" spans="7:9">
      <c r="G153" s="4" t="s">
        <v>339</v>
      </c>
      <c r="H153" s="5" t="s">
        <v>97</v>
      </c>
      <c r="I153" s="5" t="s">
        <v>113</v>
      </c>
    </row>
    <row r="154" spans="7:9">
      <c r="G154" s="4" t="s">
        <v>340</v>
      </c>
      <c r="H154" s="5" t="s">
        <v>97</v>
      </c>
      <c r="I154" s="5" t="s">
        <v>115</v>
      </c>
    </row>
    <row r="155" spans="7:9">
      <c r="G155" s="4" t="s">
        <v>116</v>
      </c>
      <c r="H155" s="5" t="s">
        <v>23</v>
      </c>
      <c r="I155" s="5" t="s">
        <v>24</v>
      </c>
    </row>
    <row r="156" spans="7:9">
      <c r="G156" s="4" t="s">
        <v>134</v>
      </c>
      <c r="H156" s="5" t="s">
        <v>135</v>
      </c>
      <c r="I156" s="5" t="s">
        <v>136</v>
      </c>
    </row>
    <row r="157" spans="7:9">
      <c r="G157" s="4" t="s">
        <v>152</v>
      </c>
      <c r="H157" s="5" t="s">
        <v>153</v>
      </c>
      <c r="I157" s="5" t="s">
        <v>30</v>
      </c>
    </row>
    <row r="158" spans="7:9">
      <c r="G158" s="4" t="s">
        <v>118</v>
      </c>
      <c r="H158" s="5" t="s">
        <v>68</v>
      </c>
      <c r="I158" s="5" t="s">
        <v>30</v>
      </c>
    </row>
    <row r="159" spans="7:9">
      <c r="G159" s="4" t="s">
        <v>160</v>
      </c>
      <c r="H159" s="5" t="s">
        <v>97</v>
      </c>
      <c r="I159" s="5" t="s">
        <v>30</v>
      </c>
    </row>
    <row r="160" spans="7:9">
      <c r="G160" s="4" t="s">
        <v>137</v>
      </c>
      <c r="H160" s="5" t="s">
        <v>135</v>
      </c>
      <c r="I160" s="5" t="s">
        <v>70</v>
      </c>
    </row>
    <row r="161" spans="7:9">
      <c r="G161" s="4" t="s">
        <v>562</v>
      </c>
      <c r="H161" s="5" t="s">
        <v>135</v>
      </c>
      <c r="I161" s="5" t="s">
        <v>563</v>
      </c>
    </row>
    <row r="162" spans="7:9">
      <c r="G162" s="4" t="s">
        <v>154</v>
      </c>
      <c r="H162" s="5" t="s">
        <v>153</v>
      </c>
      <c r="I162" s="5" t="s">
        <v>70</v>
      </c>
    </row>
    <row r="163" spans="7:9">
      <c r="G163" s="4" t="s">
        <v>119</v>
      </c>
      <c r="H163" s="5" t="s">
        <v>68</v>
      </c>
      <c r="I163" s="5" t="s">
        <v>70</v>
      </c>
    </row>
    <row r="164" spans="7:9">
      <c r="G164" s="4" t="s">
        <v>161</v>
      </c>
      <c r="H164" s="5" t="s">
        <v>97</v>
      </c>
      <c r="I164" s="5" t="s">
        <v>70</v>
      </c>
    </row>
    <row r="165" spans="7:9">
      <c r="G165" s="4" t="s">
        <v>138</v>
      </c>
      <c r="H165" s="5" t="s">
        <v>135</v>
      </c>
      <c r="I165" s="5" t="s">
        <v>139</v>
      </c>
    </row>
    <row r="166" spans="7:9">
      <c r="G166" s="4" t="s">
        <v>140</v>
      </c>
      <c r="H166" s="5" t="s">
        <v>135</v>
      </c>
      <c r="I166" s="5" t="s">
        <v>141</v>
      </c>
    </row>
    <row r="167" spans="7:9">
      <c r="G167" s="4" t="s">
        <v>142</v>
      </c>
      <c r="H167" s="5" t="s">
        <v>135</v>
      </c>
      <c r="I167" s="5" t="s">
        <v>143</v>
      </c>
    </row>
    <row r="168" spans="7:9">
      <c r="G168" s="4" t="s">
        <v>144</v>
      </c>
      <c r="H168" s="5" t="s">
        <v>135</v>
      </c>
      <c r="I168" s="5" t="s">
        <v>145</v>
      </c>
    </row>
    <row r="169" spans="7:9">
      <c r="G169" s="4" t="s">
        <v>146</v>
      </c>
      <c r="H169" s="5" t="s">
        <v>135</v>
      </c>
      <c r="I169" s="5" t="s">
        <v>147</v>
      </c>
    </row>
    <row r="170" spans="7:9">
      <c r="G170" s="4" t="s">
        <v>148</v>
      </c>
      <c r="H170" s="5" t="s">
        <v>135</v>
      </c>
      <c r="I170" s="5" t="s">
        <v>149</v>
      </c>
    </row>
    <row r="171" spans="7:9">
      <c r="G171" s="4" t="s">
        <v>150</v>
      </c>
      <c r="H171" s="5" t="s">
        <v>135</v>
      </c>
      <c r="I171" s="5" t="s">
        <v>121</v>
      </c>
    </row>
    <row r="172" spans="7:9">
      <c r="G172" s="4" t="s">
        <v>155</v>
      </c>
      <c r="H172" s="5" t="s">
        <v>153</v>
      </c>
      <c r="I172" s="5" t="s">
        <v>121</v>
      </c>
    </row>
    <row r="173" spans="7:9">
      <c r="G173" s="4" t="s">
        <v>564</v>
      </c>
      <c r="H173" s="5" t="s">
        <v>153</v>
      </c>
      <c r="I173" s="5" t="s">
        <v>565</v>
      </c>
    </row>
    <row r="174" spans="7:9">
      <c r="G174" s="4" t="s">
        <v>566</v>
      </c>
      <c r="H174" s="5" t="s">
        <v>153</v>
      </c>
      <c r="I174" s="5" t="s">
        <v>568</v>
      </c>
    </row>
    <row r="175" spans="7:9">
      <c r="G175" s="4" t="s">
        <v>567</v>
      </c>
      <c r="H175" s="5" t="s">
        <v>153</v>
      </c>
      <c r="I175" s="5" t="s">
        <v>569</v>
      </c>
    </row>
    <row r="176" spans="7:9">
      <c r="G176" s="4" t="s">
        <v>120</v>
      </c>
      <c r="H176" s="5" t="s">
        <v>68</v>
      </c>
      <c r="I176" s="5" t="s">
        <v>570</v>
      </c>
    </row>
    <row r="177" spans="7:9">
      <c r="G177" s="4" t="s">
        <v>488</v>
      </c>
      <c r="H177" s="5" t="s">
        <v>68</v>
      </c>
      <c r="I177" s="5" t="s">
        <v>485</v>
      </c>
    </row>
    <row r="178" spans="7:9">
      <c r="G178" s="4" t="s">
        <v>545</v>
      </c>
      <c r="H178" s="5" t="s">
        <v>68</v>
      </c>
      <c r="I178" s="5" t="s">
        <v>546</v>
      </c>
    </row>
    <row r="179" spans="7:9">
      <c r="G179" s="5" t="s">
        <v>547</v>
      </c>
      <c r="H179" s="5" t="s">
        <v>68</v>
      </c>
      <c r="I179" s="5" t="s">
        <v>548</v>
      </c>
    </row>
    <row r="180" spans="7:9">
      <c r="G180" s="5" t="s">
        <v>622</v>
      </c>
      <c r="H180" s="5" t="s">
        <v>68</v>
      </c>
      <c r="I180" s="5" t="s">
        <v>549</v>
      </c>
    </row>
    <row r="181" spans="7:9">
      <c r="G181" s="5" t="s">
        <v>156</v>
      </c>
      <c r="H181" s="5" t="s">
        <v>153</v>
      </c>
      <c r="I181" s="5" t="s">
        <v>157</v>
      </c>
    </row>
    <row r="182" spans="7:9">
      <c r="G182" s="5" t="s">
        <v>122</v>
      </c>
      <c r="H182" s="5" t="s">
        <v>68</v>
      </c>
      <c r="I182" s="5" t="s">
        <v>123</v>
      </c>
    </row>
    <row r="183" spans="7:9">
      <c r="G183" s="5" t="s">
        <v>124</v>
      </c>
      <c r="H183" s="5" t="s">
        <v>68</v>
      </c>
      <c r="I183" s="5" t="s">
        <v>125</v>
      </c>
    </row>
    <row r="184" spans="7:9">
      <c r="G184" s="5" t="s">
        <v>126</v>
      </c>
      <c r="H184" s="5" t="s">
        <v>68</v>
      </c>
      <c r="I184" s="5" t="s">
        <v>87</v>
      </c>
    </row>
    <row r="185" spans="7:9">
      <c r="G185" s="5" t="s">
        <v>127</v>
      </c>
      <c r="H185" s="5" t="s">
        <v>68</v>
      </c>
      <c r="I185" s="5" t="s">
        <v>556</v>
      </c>
    </row>
    <row r="186" spans="7:9">
      <c r="G186" s="7" t="s">
        <v>555</v>
      </c>
      <c r="H186" s="7" t="s">
        <v>68</v>
      </c>
      <c r="I186" s="7" t="s">
        <v>89</v>
      </c>
    </row>
    <row r="187" spans="7:9">
      <c r="G187" s="7" t="s">
        <v>557</v>
      </c>
      <c r="H187" s="7" t="s">
        <v>68</v>
      </c>
      <c r="I187" s="7" t="s">
        <v>554</v>
      </c>
    </row>
    <row r="188" spans="7:9">
      <c r="G188" s="7" t="s">
        <v>128</v>
      </c>
      <c r="H188" s="9" t="s">
        <v>68</v>
      </c>
      <c r="I188" s="9" t="s">
        <v>129</v>
      </c>
    </row>
    <row r="189" spans="7:9">
      <c r="G189" s="7" t="s">
        <v>130</v>
      </c>
      <c r="H189" s="9" t="s">
        <v>68</v>
      </c>
      <c r="I189" s="9" t="s">
        <v>131</v>
      </c>
    </row>
    <row r="190" spans="7:9">
      <c r="G190" s="7" t="s">
        <v>117</v>
      </c>
      <c r="H190" s="9" t="s">
        <v>23</v>
      </c>
      <c r="I190" s="9" t="s">
        <v>27</v>
      </c>
    </row>
    <row r="191" spans="7:9">
      <c r="G191" s="7" t="s">
        <v>151</v>
      </c>
      <c r="H191" s="9" t="s">
        <v>135</v>
      </c>
      <c r="I191" s="9" t="s">
        <v>133</v>
      </c>
    </row>
    <row r="192" spans="7:9">
      <c r="G192" s="7" t="s">
        <v>159</v>
      </c>
      <c r="H192" s="9" t="s">
        <v>153</v>
      </c>
      <c r="I192" s="9" t="s">
        <v>133</v>
      </c>
    </row>
    <row r="193" spans="7:9">
      <c r="G193" s="7" t="s">
        <v>132</v>
      </c>
      <c r="H193" s="9" t="s">
        <v>68</v>
      </c>
      <c r="I193" s="9" t="s">
        <v>133</v>
      </c>
    </row>
    <row r="194" spans="7:9">
      <c r="G194" s="7" t="s">
        <v>162</v>
      </c>
      <c r="H194" s="9" t="s">
        <v>97</v>
      </c>
      <c r="I194" s="9" t="s">
        <v>559</v>
      </c>
    </row>
    <row r="195" spans="7:9">
      <c r="G195" s="7" t="s">
        <v>571</v>
      </c>
      <c r="H195" s="9" t="s">
        <v>97</v>
      </c>
      <c r="I195" s="9" t="s">
        <v>572</v>
      </c>
    </row>
    <row r="196" spans="7:9">
      <c r="G196" s="7" t="s">
        <v>163</v>
      </c>
      <c r="H196" s="9" t="s">
        <v>97</v>
      </c>
      <c r="I196" s="9" t="s">
        <v>576</v>
      </c>
    </row>
    <row r="197" spans="7:9">
      <c r="G197" s="7" t="s">
        <v>574</v>
      </c>
      <c r="H197" s="9" t="s">
        <v>97</v>
      </c>
      <c r="I197" s="9" t="s">
        <v>577</v>
      </c>
    </row>
    <row r="198" spans="7:9">
      <c r="G198" s="7" t="s">
        <v>575</v>
      </c>
      <c r="H198" s="9" t="s">
        <v>97</v>
      </c>
      <c r="I198" s="9" t="s">
        <v>578</v>
      </c>
    </row>
    <row r="199" spans="7:9">
      <c r="G199" s="7" t="s">
        <v>164</v>
      </c>
      <c r="H199" s="9" t="s">
        <v>97</v>
      </c>
      <c r="I199" s="9" t="s">
        <v>103</v>
      </c>
    </row>
    <row r="200" spans="7:9">
      <c r="G200" s="7" t="s">
        <v>165</v>
      </c>
      <c r="H200" s="9" t="s">
        <v>97</v>
      </c>
      <c r="I200" s="9" t="s">
        <v>582</v>
      </c>
    </row>
    <row r="201" spans="7:9">
      <c r="G201" s="7" t="s">
        <v>579</v>
      </c>
      <c r="H201" s="9" t="s">
        <v>97</v>
      </c>
      <c r="I201" s="9" t="s">
        <v>583</v>
      </c>
    </row>
    <row r="202" spans="7:9">
      <c r="G202" s="7" t="s">
        <v>580</v>
      </c>
      <c r="H202" s="9" t="s">
        <v>97</v>
      </c>
      <c r="I202" s="9" t="s">
        <v>584</v>
      </c>
    </row>
    <row r="203" spans="7:9">
      <c r="G203" s="7" t="s">
        <v>581</v>
      </c>
      <c r="H203" s="9" t="s">
        <v>97</v>
      </c>
      <c r="I203" s="9" t="s">
        <v>585</v>
      </c>
    </row>
    <row r="204" spans="7:9">
      <c r="G204" s="4" t="s">
        <v>166</v>
      </c>
      <c r="H204" s="7" t="s">
        <v>97</v>
      </c>
      <c r="I204" s="5" t="s">
        <v>588</v>
      </c>
    </row>
    <row r="205" spans="7:9">
      <c r="G205" s="4" t="s">
        <v>586</v>
      </c>
      <c r="H205" s="9" t="s">
        <v>97</v>
      </c>
      <c r="I205" s="5" t="s">
        <v>589</v>
      </c>
    </row>
    <row r="206" spans="7:9">
      <c r="G206" s="4" t="s">
        <v>587</v>
      </c>
      <c r="H206" s="9" t="s">
        <v>97</v>
      </c>
      <c r="I206" s="5" t="s">
        <v>590</v>
      </c>
    </row>
    <row r="207" spans="7:9">
      <c r="G207" s="4" t="s">
        <v>167</v>
      </c>
      <c r="H207" s="9" t="s">
        <v>97</v>
      </c>
      <c r="I207" s="5" t="s">
        <v>591</v>
      </c>
    </row>
    <row r="208" spans="7:9">
      <c r="G208" s="4" t="s">
        <v>592</v>
      </c>
      <c r="H208" s="9" t="s">
        <v>97</v>
      </c>
      <c r="I208" s="5" t="s">
        <v>593</v>
      </c>
    </row>
    <row r="209" spans="7:9">
      <c r="G209" s="4" t="s">
        <v>168</v>
      </c>
      <c r="H209" s="9" t="s">
        <v>97</v>
      </c>
      <c r="I209" s="5" t="s">
        <v>595</v>
      </c>
    </row>
    <row r="210" spans="7:9">
      <c r="G210" s="4" t="s">
        <v>594</v>
      </c>
      <c r="H210" s="9" t="s">
        <v>97</v>
      </c>
      <c r="I210" s="5" t="s">
        <v>596</v>
      </c>
    </row>
    <row r="211" spans="7:9">
      <c r="G211" s="4" t="s">
        <v>597</v>
      </c>
      <c r="H211" s="9" t="s">
        <v>97</v>
      </c>
      <c r="I211" s="5" t="s">
        <v>598</v>
      </c>
    </row>
    <row r="212" spans="7:9">
      <c r="G212" s="4" t="s">
        <v>169</v>
      </c>
      <c r="H212" s="9" t="s">
        <v>97</v>
      </c>
      <c r="I212" s="5" t="s">
        <v>113</v>
      </c>
    </row>
    <row r="213" spans="7:9">
      <c r="G213" s="4" t="s">
        <v>170</v>
      </c>
      <c r="H213" s="9" t="s">
        <v>97</v>
      </c>
      <c r="I213" s="5" t="s">
        <v>115</v>
      </c>
    </row>
    <row r="214" spans="7:9">
      <c r="G214" s="4" t="s">
        <v>171</v>
      </c>
      <c r="H214" s="9" t="s">
        <v>23</v>
      </c>
      <c r="I214" s="5" t="s">
        <v>24</v>
      </c>
    </row>
    <row r="215" spans="7:9">
      <c r="G215" s="4" t="s">
        <v>173</v>
      </c>
      <c r="H215" s="9" t="s">
        <v>174</v>
      </c>
      <c r="I215" s="5" t="s">
        <v>30</v>
      </c>
    </row>
    <row r="216" spans="7:9">
      <c r="G216" s="4" t="s">
        <v>191</v>
      </c>
      <c r="H216" s="9" t="s">
        <v>153</v>
      </c>
      <c r="I216" s="5" t="s">
        <v>30</v>
      </c>
    </row>
    <row r="217" spans="7:9">
      <c r="G217" s="4" t="s">
        <v>201</v>
      </c>
      <c r="H217" s="5" t="s">
        <v>97</v>
      </c>
      <c r="I217" s="5" t="s">
        <v>30</v>
      </c>
    </row>
    <row r="218" spans="7:9">
      <c r="G218" s="4" t="s">
        <v>175</v>
      </c>
      <c r="H218" s="5" t="s">
        <v>174</v>
      </c>
      <c r="I218" s="5" t="s">
        <v>70</v>
      </c>
    </row>
    <row r="219" spans="7:9">
      <c r="G219" s="4" t="s">
        <v>192</v>
      </c>
      <c r="H219" s="5" t="s">
        <v>153</v>
      </c>
      <c r="I219" s="5" t="s">
        <v>70</v>
      </c>
    </row>
    <row r="220" spans="7:9">
      <c r="G220" s="4" t="s">
        <v>202</v>
      </c>
      <c r="H220" s="5" t="s">
        <v>97</v>
      </c>
      <c r="I220" s="5" t="s">
        <v>70</v>
      </c>
    </row>
    <row r="221" spans="7:9">
      <c r="G221" s="5" t="s">
        <v>176</v>
      </c>
      <c r="H221" s="5" t="s">
        <v>174</v>
      </c>
      <c r="I221" s="5" t="s">
        <v>177</v>
      </c>
    </row>
    <row r="222" spans="7:9">
      <c r="G222" s="4" t="s">
        <v>193</v>
      </c>
      <c r="H222" s="5" t="s">
        <v>153</v>
      </c>
      <c r="I222" s="5" t="s">
        <v>177</v>
      </c>
    </row>
    <row r="223" spans="7:9">
      <c r="G223" s="4" t="s">
        <v>178</v>
      </c>
      <c r="H223" s="5" t="s">
        <v>174</v>
      </c>
      <c r="I223" s="5" t="s">
        <v>179</v>
      </c>
    </row>
    <row r="224" spans="7:9">
      <c r="G224" s="4" t="s">
        <v>180</v>
      </c>
      <c r="H224" s="5" t="s">
        <v>174</v>
      </c>
      <c r="I224" s="5" t="s">
        <v>181</v>
      </c>
    </row>
    <row r="225" spans="7:9">
      <c r="G225" s="4" t="s">
        <v>599</v>
      </c>
      <c r="H225" s="5" t="s">
        <v>174</v>
      </c>
      <c r="I225" s="5" t="s">
        <v>600</v>
      </c>
    </row>
    <row r="226" spans="7:9">
      <c r="G226" s="4" t="s">
        <v>601</v>
      </c>
      <c r="H226" s="7" t="s">
        <v>174</v>
      </c>
      <c r="I226" s="5" t="s">
        <v>603</v>
      </c>
    </row>
    <row r="227" spans="7:9">
      <c r="G227" s="4" t="s">
        <v>602</v>
      </c>
      <c r="H227" s="9" t="s">
        <v>174</v>
      </c>
      <c r="I227" s="5" t="s">
        <v>604</v>
      </c>
    </row>
    <row r="228" spans="7:9">
      <c r="G228" s="4" t="s">
        <v>182</v>
      </c>
      <c r="H228" s="9" t="s">
        <v>174</v>
      </c>
      <c r="I228" s="5" t="s">
        <v>183</v>
      </c>
    </row>
    <row r="229" spans="7:9">
      <c r="G229" s="5" t="s">
        <v>184</v>
      </c>
      <c r="H229" s="5" t="s">
        <v>174</v>
      </c>
      <c r="I229" s="5" t="s">
        <v>185</v>
      </c>
    </row>
    <row r="230" spans="7:9">
      <c r="G230" s="4" t="s">
        <v>186</v>
      </c>
      <c r="H230" s="9" t="s">
        <v>174</v>
      </c>
      <c r="I230" s="5" t="s">
        <v>537</v>
      </c>
    </row>
    <row r="231" spans="7:9">
      <c r="G231" s="4" t="s">
        <v>536</v>
      </c>
      <c r="H231" s="5" t="s">
        <v>174</v>
      </c>
      <c r="I231" s="5" t="s">
        <v>538</v>
      </c>
    </row>
    <row r="232" spans="7:9">
      <c r="G232" s="4" t="s">
        <v>539</v>
      </c>
      <c r="H232" s="5" t="s">
        <v>174</v>
      </c>
      <c r="I232" s="5" t="s">
        <v>542</v>
      </c>
    </row>
    <row r="233" spans="7:9">
      <c r="G233" s="7" t="s">
        <v>541</v>
      </c>
      <c r="H233" s="5" t="s">
        <v>174</v>
      </c>
      <c r="I233" s="9" t="s">
        <v>544</v>
      </c>
    </row>
    <row r="234" spans="7:9">
      <c r="G234" s="4" t="s">
        <v>543</v>
      </c>
      <c r="H234" s="5" t="s">
        <v>174</v>
      </c>
      <c r="I234" s="5" t="s">
        <v>540</v>
      </c>
    </row>
    <row r="235" spans="7:9">
      <c r="G235" s="4" t="s">
        <v>187</v>
      </c>
      <c r="H235" s="5" t="s">
        <v>174</v>
      </c>
      <c r="I235" s="5" t="s">
        <v>188</v>
      </c>
    </row>
    <row r="236" spans="7:9">
      <c r="G236" s="4" t="s">
        <v>194</v>
      </c>
      <c r="H236" s="5" t="s">
        <v>153</v>
      </c>
      <c r="I236" s="5" t="s">
        <v>195</v>
      </c>
    </row>
    <row r="237" spans="7:9">
      <c r="G237" t="s">
        <v>196</v>
      </c>
      <c r="H237" t="s">
        <v>153</v>
      </c>
      <c r="I237" t="s">
        <v>197</v>
      </c>
    </row>
    <row r="238" spans="7:9">
      <c r="G238" t="s">
        <v>198</v>
      </c>
      <c r="H238" t="s">
        <v>153</v>
      </c>
      <c r="I238" t="s">
        <v>199</v>
      </c>
    </row>
    <row r="239" spans="7:9">
      <c r="G239" t="s">
        <v>172</v>
      </c>
      <c r="H239" t="s">
        <v>23</v>
      </c>
      <c r="I239" t="s">
        <v>27</v>
      </c>
    </row>
    <row r="240" spans="7:9">
      <c r="G240" t="s">
        <v>189</v>
      </c>
      <c r="H240" t="s">
        <v>174</v>
      </c>
      <c r="I240" t="s">
        <v>190</v>
      </c>
    </row>
    <row r="241" spans="7:9">
      <c r="G241" t="s">
        <v>200</v>
      </c>
      <c r="H241" t="s">
        <v>153</v>
      </c>
      <c r="I241" t="s">
        <v>190</v>
      </c>
    </row>
    <row r="242" spans="7:9">
      <c r="G242" t="s">
        <v>203</v>
      </c>
      <c r="H242" t="s">
        <v>97</v>
      </c>
      <c r="I242" t="s">
        <v>607</v>
      </c>
    </row>
    <row r="243" spans="7:9">
      <c r="G243" t="s">
        <v>605</v>
      </c>
      <c r="H243" t="s">
        <v>97</v>
      </c>
      <c r="I243" t="s">
        <v>608</v>
      </c>
    </row>
    <row r="244" spans="7:9">
      <c r="G244" t="s">
        <v>606</v>
      </c>
      <c r="H244" t="s">
        <v>97</v>
      </c>
      <c r="I244" t="s">
        <v>609</v>
      </c>
    </row>
    <row r="245" spans="7:9">
      <c r="G245" t="s">
        <v>204</v>
      </c>
      <c r="H245" t="s">
        <v>97</v>
      </c>
      <c r="I245" t="s">
        <v>576</v>
      </c>
    </row>
    <row r="246" spans="7:9">
      <c r="G246" t="s">
        <v>610</v>
      </c>
      <c r="H246" t="s">
        <v>97</v>
      </c>
      <c r="I246" t="s">
        <v>612</v>
      </c>
    </row>
    <row r="247" spans="7:9">
      <c r="G247" t="s">
        <v>611</v>
      </c>
      <c r="H247" t="s">
        <v>97</v>
      </c>
      <c r="I247" t="s">
        <v>577</v>
      </c>
    </row>
    <row r="248" spans="7:9">
      <c r="G248" t="s">
        <v>205</v>
      </c>
      <c r="H248" t="s">
        <v>97</v>
      </c>
      <c r="I248" t="s">
        <v>103</v>
      </c>
    </row>
    <row r="249" spans="7:9">
      <c r="G249" t="s">
        <v>206</v>
      </c>
      <c r="H249" t="s">
        <v>97</v>
      </c>
      <c r="I249" t="s">
        <v>614</v>
      </c>
    </row>
    <row r="250" spans="7:9">
      <c r="G250" t="s">
        <v>613</v>
      </c>
      <c r="H250" t="s">
        <v>97</v>
      </c>
      <c r="I250" t="s">
        <v>615</v>
      </c>
    </row>
    <row r="251" spans="7:9">
      <c r="G251" t="s">
        <v>207</v>
      </c>
      <c r="H251" t="s">
        <v>97</v>
      </c>
      <c r="I251" t="s">
        <v>107</v>
      </c>
    </row>
    <row r="252" spans="7:9">
      <c r="G252" t="s">
        <v>208</v>
      </c>
      <c r="H252" t="s">
        <v>97</v>
      </c>
      <c r="I252" t="s">
        <v>591</v>
      </c>
    </row>
    <row r="253" spans="7:9">
      <c r="G253" t="s">
        <v>616</v>
      </c>
      <c r="H253" t="s">
        <v>97</v>
      </c>
      <c r="I253" t="s">
        <v>618</v>
      </c>
    </row>
    <row r="254" spans="7:9">
      <c r="G254" t="s">
        <v>617</v>
      </c>
      <c r="H254" t="s">
        <v>97</v>
      </c>
      <c r="I254" t="s">
        <v>593</v>
      </c>
    </row>
    <row r="255" spans="7:9">
      <c r="G255" t="s">
        <v>209</v>
      </c>
      <c r="H255" t="s">
        <v>97</v>
      </c>
      <c r="I255" t="s">
        <v>595</v>
      </c>
    </row>
    <row r="256" spans="7:9">
      <c r="G256" t="s">
        <v>487</v>
      </c>
      <c r="H256" t="s">
        <v>97</v>
      </c>
      <c r="I256" t="s">
        <v>485</v>
      </c>
    </row>
    <row r="257" spans="7:9">
      <c r="G257" t="s">
        <v>619</v>
      </c>
      <c r="H257" t="s">
        <v>97</v>
      </c>
      <c r="I257" t="s">
        <v>598</v>
      </c>
    </row>
    <row r="258" spans="7:9">
      <c r="G258" t="s">
        <v>620</v>
      </c>
      <c r="H258" t="s">
        <v>97</v>
      </c>
      <c r="I258" t="s">
        <v>596</v>
      </c>
    </row>
    <row r="259" spans="7:9">
      <c r="G259" t="s">
        <v>210</v>
      </c>
      <c r="H259" t="s">
        <v>97</v>
      </c>
      <c r="I259" t="s">
        <v>113</v>
      </c>
    </row>
    <row r="260" spans="7:9">
      <c r="G260" t="s">
        <v>211</v>
      </c>
      <c r="H260" t="s">
        <v>97</v>
      </c>
      <c r="I260" t="s">
        <v>115</v>
      </c>
    </row>
  </sheetData>
  <phoneticPr fontId="2" type="noConversion"/>
  <pageMargins left="0.75" right="0.75" top="1" bottom="1" header="0.5" footer="0.5"/>
  <pageSetup orientation="portrait" r:id="rId1"/>
  <headerFooter alignWithMargins="0">
    <oddFooter>&amp;L&amp;8&amp;Z&amp;F&amp;R&amp;8&amp;Z&amp;F&amp;F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Instructions</vt:lpstr>
      <vt:lpstr>Job Initiation Form</vt:lpstr>
      <vt:lpstr>CashFlow</vt:lpstr>
      <vt:lpstr>Job Revision Form</vt:lpstr>
      <vt:lpstr>Subclasses</vt:lpstr>
      <vt:lpstr>Job Completion Form</vt:lpstr>
      <vt:lpstr>form picklists</vt:lpstr>
      <vt:lpstr>CashFlow!Print_Area</vt:lpstr>
      <vt:lpstr>Instructions!Print_Area</vt:lpstr>
      <vt:lpstr>'Job Completion Form'!Print_Area</vt:lpstr>
      <vt:lpstr>'Job Initiation Form'!Print_Area</vt:lpstr>
      <vt:lpstr>'Job Revision Form'!Print_Area</vt:lpstr>
      <vt:lpstr>Instructions!Print_Titles</vt:lpstr>
      <vt:lpstr>Subclasses!Print_Titles</vt:lpstr>
    </vt:vector>
  </TitlesOfParts>
  <Manager/>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2008-09-25T00:46:14Z</cp:lastPrinted>
  <dcterms:created xsi:type="dcterms:W3CDTF">2003-02-07T17:16:26Z</dcterms:created>
  <dcterms:modified xsi:type="dcterms:W3CDTF">2011-03-04T18:33:03Z</dcterms:modified>
</cp:coreProperties>
</file>