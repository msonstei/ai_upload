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080" yWindow="-180" windowWidth="13530" windowHeight="10335" tabRatio="661" activeTab="3"/>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25725"/>
</workbook>
</file>

<file path=xl/calcChain.xml><?xml version="1.0" encoding="utf-8"?>
<calcChain xmlns="http://schemas.openxmlformats.org/spreadsheetml/2006/main">
  <c r="G17" i="9"/>
  <c r="E26" i="1"/>
  <c r="B7" i="9"/>
  <c r="B12" s="1"/>
  <c r="E27" i="11"/>
  <c r="E28"/>
  <c r="C3" i="9"/>
  <c r="B5"/>
  <c r="B4"/>
  <c r="N14"/>
  <c r="N26" s="1"/>
  <c r="N29" s="1"/>
  <c r="C2"/>
  <c r="F29"/>
  <c r="C29"/>
  <c r="M29"/>
  <c r="L29"/>
  <c r="K29"/>
  <c r="J29"/>
  <c r="I29"/>
  <c r="H29"/>
  <c r="G29"/>
  <c r="E29"/>
  <c r="D29"/>
  <c r="B29"/>
  <c r="B17"/>
  <c r="C17"/>
  <c r="D17"/>
  <c r="D19" s="1"/>
  <c r="E17"/>
  <c r="F17"/>
  <c r="H17"/>
  <c r="I17"/>
  <c r="J17"/>
  <c r="K17"/>
  <c r="L17"/>
  <c r="M17"/>
  <c r="B8"/>
  <c r="E26" i="10"/>
  <c r="E27" s="1"/>
  <c r="B10" i="9"/>
  <c r="N17" l="1"/>
  <c r="B31" s="1"/>
  <c r="C31" s="1"/>
  <c r="D31" s="1"/>
  <c r="E31" s="1"/>
  <c r="F31" s="1"/>
  <c r="G31" s="1"/>
  <c r="H31" s="1"/>
  <c r="I31" s="1"/>
  <c r="J31" s="1"/>
  <c r="K31" s="1"/>
  <c r="L31" s="1"/>
  <c r="M31" s="1"/>
  <c r="E19"/>
  <c r="F19" s="1"/>
  <c r="G19" s="1"/>
  <c r="H19" s="1"/>
  <c r="I19" s="1"/>
  <c r="J19" s="1"/>
  <c r="K19" s="1"/>
  <c r="L19" s="1"/>
  <c r="M19" s="1"/>
  <c r="B11"/>
  <c r="C10"/>
  <c r="C12"/>
  <c r="C11" l="1"/>
  <c r="D10"/>
  <c r="D12"/>
  <c r="E10" l="1"/>
  <c r="D11"/>
  <c r="E12"/>
  <c r="F10" l="1"/>
  <c r="E11"/>
  <c r="F12"/>
  <c r="G10" l="1"/>
  <c r="G12"/>
  <c r="F11"/>
  <c r="H12" l="1"/>
  <c r="H10"/>
  <c r="G11"/>
  <c r="I12" l="1"/>
  <c r="I10"/>
  <c r="H11"/>
  <c r="J12" l="1"/>
  <c r="I11"/>
  <c r="J10"/>
  <c r="K10" l="1"/>
  <c r="K12"/>
  <c r="J11"/>
  <c r="L10" l="1"/>
  <c r="L12"/>
  <c r="K11"/>
  <c r="M12" l="1"/>
  <c r="L11"/>
  <c r="M10"/>
  <c r="M11" l="1"/>
  <c r="B24"/>
  <c r="B22"/>
  <c r="B23" l="1"/>
  <c r="C22" s="1"/>
  <c r="C24"/>
  <c r="C23" l="1"/>
  <c r="D22" s="1"/>
  <c r="D24"/>
  <c r="D23" l="1"/>
  <c r="E22" s="1"/>
  <c r="E24"/>
  <c r="E23" l="1"/>
  <c r="F22" s="1"/>
  <c r="F24"/>
  <c r="F23" l="1"/>
  <c r="G22" s="1"/>
  <c r="G24"/>
  <c r="G23" l="1"/>
  <c r="H22" s="1"/>
  <c r="H24"/>
  <c r="I24" l="1"/>
  <c r="H23"/>
  <c r="I22" s="1"/>
  <c r="I23" l="1"/>
  <c r="J22" s="1"/>
  <c r="J24"/>
  <c r="J23" l="1"/>
  <c r="K22" s="1"/>
  <c r="K24"/>
  <c r="L24" l="1"/>
  <c r="K23"/>
  <c r="L22" s="1"/>
  <c r="M24" l="1"/>
  <c r="M23" s="1"/>
  <c r="L23"/>
  <c r="M22" s="1"/>
</calcChain>
</file>

<file path=xl/sharedStrings.xml><?xml version="1.0" encoding="utf-8"?>
<sst xmlns="http://schemas.openxmlformats.org/spreadsheetml/2006/main" count="2189" uniqueCount="638">
  <si>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</si>
  <si>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</si>
  <si>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</si>
  <si>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</si>
  <si>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</si>
  <si>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</si>
  <si>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</si>
  <si>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</si>
  <si>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</si>
  <si>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</si>
  <si>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</si>
  <si>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</si>
  <si>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</si>
  <si>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</si>
  <si>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</si>
  <si>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</si>
  <si>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</si>
  <si>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</si>
  <si>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</si>
  <si>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</si>
  <si>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</si>
  <si>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</si>
  <si>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</si>
  <si>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</si>
  <si>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</si>
  <si>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</si>
  <si>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</si>
  <si>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</si>
  <si>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</si>
  <si>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</si>
  <si>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</si>
  <si>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</si>
  <si>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</si>
  <si>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</si>
  <si>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</si>
  <si>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</si>
  <si>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</si>
  <si>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</si>
  <si>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</si>
  <si>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</si>
  <si>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</si>
  <si>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</si>
  <si>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</si>
  <si>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</si>
  <si>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</si>
  <si>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</si>
  <si>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</si>
  <si>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</si>
  <si>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</si>
  <si>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</si>
  <si>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</si>
  <si>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</si>
  <si>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</si>
  <si>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</si>
  <si>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</si>
  <si>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</si>
  <si>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</si>
  <si>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</si>
  <si>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</si>
  <si>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</si>
  <si>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</si>
  <si>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</si>
  <si>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</si>
  <si>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</si>
  <si>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</si>
  <si>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</si>
  <si>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</si>
  <si>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</si>
  <si>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</si>
  <si>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</si>
  <si>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</si>
  <si>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</si>
  <si>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</si>
  <si>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</si>
  <si>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</si>
  <si>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</si>
  <si>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</si>
  <si>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</si>
  <si>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</si>
  <si>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</si>
  <si>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</si>
  <si>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</si>
  <si>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</si>
  <si>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</si>
  <si>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</si>
  <si>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</si>
  <si>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</si>
  <si>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</si>
  <si>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</si>
  <si>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</si>
  <si>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</si>
  <si>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</si>
  <si>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</si>
  <si>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</si>
  <si>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</si>
  <si>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</si>
  <si>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</si>
  <si>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</si>
  <si>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</si>
  <si>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</si>
  <si>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</si>
  <si>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</si>
  <si>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</si>
  <si>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</si>
  <si>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</si>
  <si>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</si>
  <si>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</si>
  <si>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</si>
  <si>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</si>
  <si>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</si>
  <si>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</si>
  <si>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</si>
  <si>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</si>
  <si>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</si>
  <si>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</si>
  <si>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</si>
  <si>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</si>
  <si>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</si>
  <si>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</si>
  <si>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</si>
  <si>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</si>
  <si>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</si>
  <si>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</si>
  <si>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</si>
  <si>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</si>
  <si>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</si>
  <si>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</si>
  <si>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</si>
  <si>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</si>
  <si>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</si>
  <si>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</si>
  <si>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</si>
  <si>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</si>
  <si>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</si>
  <si>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</si>
  <si>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</si>
  <si>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</si>
  <si>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</si>
  <si>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</si>
  <si>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</si>
  <si>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</si>
  <si>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</si>
  <si>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</si>
  <si>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</si>
  <si>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</si>
  <si>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</si>
  <si>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</si>
  <si>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</si>
  <si>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</si>
  <si>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</si>
  <si>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</si>
  <si>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</si>
  <si>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</si>
  <si>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</si>
  <si>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</si>
  <si>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</si>
  <si>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</si>
  <si>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</si>
  <si>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</si>
  <si>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</si>
  <si>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</si>
  <si>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</si>
  <si>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</si>
  <si>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</si>
  <si>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</si>
  <si>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</si>
  <si>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</si>
  <si>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</si>
  <si>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</si>
  <si>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</si>
  <si>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</si>
  <si>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</si>
  <si>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</si>
  <si>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</si>
  <si>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</si>
  <si>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</si>
  <si>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</si>
  <si>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</si>
  <si>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</si>
  <si>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</si>
  <si>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</si>
  <si>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</si>
  <si>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</si>
  <si>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</si>
  <si>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</si>
  <si>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</si>
  <si>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</si>
  <si>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</si>
  <si>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</si>
  <si>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</si>
  <si>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</si>
  <si>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</si>
  <si>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</si>
  <si>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</si>
  <si>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</si>
  <si>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</si>
  <si>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</si>
  <si>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</si>
  <si>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</si>
  <si>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</si>
  <si>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</si>
  <si>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</si>
  <si>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</si>
  <si>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</si>
  <si>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</si>
  <si>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</si>
  <si>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</si>
  <si>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</si>
  <si>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</si>
  <si>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</si>
  <si>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</si>
  <si>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</si>
  <si>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</si>
  <si>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</si>
  <si>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</si>
  <si>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</si>
  <si>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</si>
  <si>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</si>
  <si>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</si>
  <si>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</si>
  <si>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</si>
  <si>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</si>
  <si>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</si>
  <si>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</si>
  <si>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</si>
  <si>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</si>
  <si>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</si>
  <si>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</si>
  <si>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</si>
  <si>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</si>
  <si>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</si>
  <si>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</si>
  <si>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</si>
  <si>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</si>
  <si>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</si>
  <si>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</si>
  <si>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</si>
  <si>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</si>
  <si>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</si>
  <si>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</si>
  <si>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</si>
  <si>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</si>
  <si>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</si>
  <si>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</si>
  <si>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</si>
  <si>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</si>
  <si>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</si>
  <si>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</si>
  <si>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</si>
  <si>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</si>
  <si>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</si>
  <si>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</si>
  <si>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</si>
  <si>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</si>
  <si>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</si>
  <si>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</si>
  <si>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</si>
  <si>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</si>
  <si>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</si>
  <si>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</si>
  <si>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</si>
  <si>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</si>
  <si>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</si>
  <si>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</si>
  <si>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</si>
  <si>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</si>
  <si>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</si>
  <si>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</si>
  <si>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</si>
  <si>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</si>
  <si>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</si>
  <si>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</si>
  <si>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</si>
  <si>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</si>
  <si>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</si>
  <si>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</si>
  <si>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</si>
  <si>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</si>
  <si>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</si>
  <si>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</si>
  <si>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</si>
  <si>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</si>
  <si>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</si>
  <si>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</si>
  <si>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</si>
  <si>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</si>
  <si>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</si>
  <si>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</si>
  <si>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</si>
  <si>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</si>
  <si>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</si>
  <si>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</si>
  <si>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</si>
  <si>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</si>
  <si>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</si>
  <si>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</si>
  <si>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</si>
  <si>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</si>
  <si>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</si>
  <si>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</si>
  <si>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</si>
  <si>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</si>
  <si>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</si>
  <si>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</si>
  <si>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</si>
  <si>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</si>
  <si>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</si>
  <si>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</si>
  <si>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</si>
  <si>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</si>
  <si>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</si>
  <si>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</si>
  <si>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</si>
  <si>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</si>
  <si>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</si>
  <si>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</si>
  <si>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</si>
  <si>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</si>
  <si>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</si>
  <si>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</si>
  <si>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</si>
  <si>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</si>
  <si>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</si>
  <si>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</si>
  <si>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</si>
  <si>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</si>
  <si>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</si>
  <si>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</si>
  <si>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</si>
  <si>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</si>
  <si>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</si>
  <si>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</si>
  <si>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</si>
  <si>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</si>
  <si>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</si>
  <si>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</si>
  <si>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</si>
  <si>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</si>
  <si>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</si>
  <si>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</si>
  <si>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</si>
  <si>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</si>
  <si>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</si>
  <si>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</si>
  <si>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</si>
  <si>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</si>
  <si>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</si>
  <si>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</si>
  <si>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</si>
  <si>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</si>
  <si>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</si>
  <si>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</si>
  <si>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</si>
  <si>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</si>
  <si>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</si>
  <si>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</si>
  <si>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</si>
  <si>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</si>
  <si>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</si>
  <si>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</si>
  <si>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</si>
  <si>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</si>
  <si>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</si>
  <si>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</si>
  <si>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</si>
  <si>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</si>
  <si>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</si>
  <si>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</si>
  <si>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</si>
  <si>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</si>
  <si>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</si>
  <si>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</si>
  <si>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</si>
  <si>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</si>
  <si>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</si>
  <si>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</si>
  <si>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</si>
  <si>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</si>
  <si>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</si>
  <si>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</si>
  <si>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</si>
  <si>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</si>
  <si>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</si>
  <si>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</si>
  <si>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</si>
  <si>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</si>
  <si>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</si>
  <si>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</si>
  <si>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</si>
  <si>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</si>
  <si>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</si>
  <si>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</si>
  <si>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</si>
  <si>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</si>
  <si>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</si>
  <si>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</si>
  <si>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</si>
  <si>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</si>
  <si>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</si>
  <si>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</si>
  <si>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</si>
  <si>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</si>
  <si>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</si>
  <si>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</si>
  <si>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</si>
  <si>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</si>
  <si>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</si>
  <si>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</si>
  <si>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</si>
  <si>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</si>
  <si>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</si>
  <si>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</si>
  <si>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</si>
  <si>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</si>
  <si>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</si>
  <si>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</si>
  <si>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</si>
  <si>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</si>
  <si>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</si>
  <si>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</si>
  <si>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</si>
  <si>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</si>
  <si>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</si>
  <si>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</si>
  <si>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</si>
  <si>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</si>
  <si>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</si>
  <si>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</si>
  <si>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</si>
  <si>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</si>
  <si>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</si>
  <si>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</si>
  <si>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</si>
  <si>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</si>
  <si>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</si>
  <si>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</si>
  <si>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</si>
  <si>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</si>
  <si>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</si>
  <si>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</si>
  <si>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</si>
  <si>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</si>
  <si>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</si>
  <si>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</si>
  <si>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</si>
  <si>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</si>
  <si>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</si>
  <si>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</si>
  <si>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</si>
  <si>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</si>
  <si>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</si>
  <si>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</si>
  <si>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</si>
  <si>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</si>
  <si>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</si>
  <si>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</si>
  <si>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</si>
  <si>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</si>
  <si>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</si>
  <si>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</si>
  <si>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</si>
  <si>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</si>
  <si>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</si>
  <si>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</si>
  <si>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</si>
  <si>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</si>
  <si>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</si>
  <si>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</si>
  <si>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</si>
  <si>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</si>
  <si>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</si>
  <si>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</si>
  <si>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</si>
  <si>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</si>
  <si>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</si>
  <si>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</si>
  <si>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</si>
  <si>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</si>
  <si>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</si>
  <si>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</si>
  <si>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</si>
  <si>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</si>
  <si>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</si>
  <si>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</si>
  <si>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</si>
  <si>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</si>
  <si>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</si>
  <si>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</si>
  <si>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</si>
  <si>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</si>
  <si>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</si>
  <si>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</si>
  <si>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</si>
  <si>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</si>
  <si>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</si>
  <si>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</si>
  <si>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</si>
  <si>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</si>
  <si>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</si>
  <si>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</si>
  <si>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</si>
  <si>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</si>
  <si>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</si>
  <si>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</si>
  <si>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</si>
  <si>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</si>
  <si>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</si>
  <si>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</si>
  <si>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</si>
  <si>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</si>
  <si>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</si>
  <si>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</si>
  <si>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</si>
  <si>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</si>
  <si>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</si>
  <si>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</si>
  <si>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</si>
  <si>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</si>
  <si>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</si>
  <si>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</si>
  <si>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</si>
  <si>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</si>
  <si>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</si>
  <si>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</si>
  <si>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</si>
  <si>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</si>
  <si>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</si>
  <si>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</si>
  <si>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</si>
  <si>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</si>
  <si>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</si>
  <si>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</si>
  <si>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</si>
  <si>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</si>
  <si>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</si>
  <si>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</si>
  <si>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</si>
  <si>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</si>
  <si>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</si>
  <si>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</si>
  <si>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</si>
  <si>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</si>
  <si>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</si>
  <si>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</si>
  <si>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</si>
  <si>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</si>
  <si>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</si>
  <si>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</si>
  <si>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</si>
  <si>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</si>
  <si>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</si>
  <si>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</si>
  <si>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</si>
  <si>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</si>
  <si>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</si>
  <si>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</si>
  <si>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</si>
  <si>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</si>
  <si>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</si>
  <si>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</si>
  <si>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</si>
  <si>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</si>
  <si>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</si>
  <si>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</si>
  <si>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</si>
  <si>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</si>
  <si>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</si>
  <si>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</si>
  <si>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</si>
  <si>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</si>
  <si>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</si>
  <si>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</si>
  <si>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</si>
  <si>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</si>
  <si>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</si>
  <si>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</si>
  <si>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</si>
  <si>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</si>
  <si>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</si>
  <si>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</si>
  <si>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</si>
  <si>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</si>
  <si>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</si>
  <si>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</si>
  <si>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</si>
  <si>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</si>
  <si>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</si>
  <si>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</si>
  <si>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</si>
  <si>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</si>
  <si>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</si>
  <si>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</si>
  <si>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</si>
  <si>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</si>
  <si>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</si>
  <si>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</si>
  <si>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</si>
  <si>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</si>
  <si>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</si>
  <si>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</si>
  <si>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</si>
  <si>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</si>
  <si>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</si>
  <si>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</si>
  <si>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</si>
  <si>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</si>
  <si>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</si>
  <si>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</si>
  <si>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</si>
  <si>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</si>
  <si>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</si>
  <si>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</si>
  <si>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</si>
  <si>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</si>
  <si>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</si>
  <si>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</si>
  <si>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</si>
  <si>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</si>
  <si>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</si>
  <si>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</si>
  <si>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</si>
  <si>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</si>
  <si>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</si>
  <si>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</si>
  <si>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</si>
  <si>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</si>
  <si>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</si>
  <si>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</si>
  <si>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</si>
  <si>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t>New HDS Utility Service for FTW 336A- Aircraft Parts Storage</t>
  </si>
  <si>
    <t>RFP № FWA-09-021</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</si>
  <si>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</si>
  <si>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None</t>
  </si>
  <si>
    <t>Engineering Design Only</t>
  </si>
  <si>
    <t>Increase due to construction contract modification driven by enlarged vault and contaminated soil.</t>
  </si>
  <si>
    <t>FTW-336A Aircraft Storage</t>
  </si>
  <si>
    <t>Wily Splain</t>
  </si>
  <si>
    <t>J101397</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</si>
</sst>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quot;$&quot;#,##0.00"/>
    <numFmt numFmtId="168" formatCode="[$-409]mmm\-yy;@"/>
    <numFmt numFmtId="169" formatCode="[$-409]dd\-mmm\-yy;@"/>
  </numFmts>
  <fonts count="29">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
      <sz val="10"/>
      <name val="Arial"/>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xf numFmtId="44" fontId="28" fillId="0" borderId="0" applyFont="0" applyFill="0" applyBorder="0" applyAlignment="0" applyProtection="0"/>
  </cellStyleXfs>
  <cellXfs count="124">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68"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5" fontId="24" fillId="0" borderId="0" xfId="2" applyNumberFormat="1" applyFont="1" applyAlignment="1">
      <alignment vertical="center"/>
    </xf>
    <xf numFmtId="165" fontId="24" fillId="0" borderId="0" xfId="2" applyNumberFormat="1" applyFont="1" applyBorder="1" applyAlignment="1">
      <alignment vertical="center"/>
    </xf>
    <xf numFmtId="165" fontId="1" fillId="0" borderId="0" xfId="2" applyNumberFormat="1" applyAlignment="1">
      <alignment vertical="center"/>
    </xf>
    <xf numFmtId="165" fontId="1" fillId="0" borderId="0" xfId="2" applyNumberFormat="1" applyBorder="1" applyAlignment="1">
      <alignment vertical="center"/>
    </xf>
    <xf numFmtId="165" fontId="1" fillId="0" borderId="2" xfId="2" applyNumberFormat="1" applyBorder="1" applyAlignment="1">
      <alignment vertical="center"/>
    </xf>
    <xf numFmtId="165"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5" fontId="24" fillId="0" borderId="3" xfId="2" applyNumberFormat="1" applyFont="1" applyBorder="1" applyAlignment="1">
      <alignment vertical="center"/>
    </xf>
    <xf numFmtId="0" fontId="0" fillId="0" borderId="3" xfId="0" applyBorder="1" applyAlignment="1">
      <alignment vertical="center"/>
    </xf>
    <xf numFmtId="165" fontId="1" fillId="0" borderId="3" xfId="2" applyNumberFormat="1" applyBorder="1" applyAlignment="1">
      <alignment vertical="center"/>
    </xf>
    <xf numFmtId="165"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5" fontId="24" fillId="0" borderId="18" xfId="2" applyNumberFormat="1" applyFont="1" applyBorder="1" applyAlignment="1">
      <alignment vertical="center"/>
    </xf>
    <xf numFmtId="165" fontId="1" fillId="0" borderId="18" xfId="2" applyNumberFormat="1" applyBorder="1" applyAlignment="1">
      <alignment vertical="center"/>
    </xf>
    <xf numFmtId="165"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169" fontId="0" fillId="3" borderId="1" xfId="0" applyNumberFormat="1" applyFill="1" applyBorder="1" applyAlignment="1">
      <alignment horizontal="center"/>
    </xf>
    <xf numFmtId="167" fontId="0" fillId="3" borderId="1" xfId="1" applyNumberFormat="1" applyFont="1" applyFill="1" applyBorder="1" applyAlignment="1">
      <alignment horizontal="center"/>
    </xf>
    <xf numFmtId="167" fontId="18" fillId="3" borderId="1" xfId="1" applyNumberFormat="1" applyFont="1" applyFill="1" applyBorder="1" applyAlignment="1">
      <alignment horizontal="right"/>
    </xf>
    <xf numFmtId="165" fontId="0" fillId="0" borderId="0" xfId="0" applyNumberFormat="1"/>
    <xf numFmtId="44" fontId="0" fillId="0" borderId="0" xfId="4" applyFont="1"/>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9"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cellXfs>
  <cellStyles count="5">
    <cellStyle name="Comma" xfId="1" builtinId="3"/>
    <cellStyle name="Currency" xfId="2" builtinId="4"/>
    <cellStyle name="Currency 2" xfId="4"/>
    <cellStyle name="Hyperlink" xfId="3" builtinId="8"/>
    <cellStyle name="Normal" xfId="0" builtinId="0"/>
  </cellStyles>
  <dxfs count="22">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13"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14" name="Picture 4"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4"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3"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26"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ht="25.5">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sheetPr enableFormatConditionsCalculation="0">
    <tabColor indexed="50"/>
  </sheetPr>
  <dimension ref="A1:BQ602"/>
  <sheetViews>
    <sheetView workbookViewId="0">
      <selection activeCell="B19" sqref="B19"/>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2" t="s">
        <v>0</v>
      </c>
      <c r="C5" s="112"/>
      <c r="D5" s="112"/>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3" t="s">
        <v>1</v>
      </c>
      <c r="C6" s="113"/>
      <c r="D6" s="113"/>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4" t="s">
        <v>2</v>
      </c>
      <c r="C7" s="114"/>
      <c r="D7" s="114"/>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5">
        <v>40040</v>
      </c>
      <c r="C8" s="115"/>
      <c r="D8" s="115"/>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17" t="s">
        <v>629</v>
      </c>
      <c r="C10" s="117"/>
      <c r="D10" s="117"/>
      <c r="E10" s="117"/>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6" t="s">
        <v>631</v>
      </c>
      <c r="C12" s="116"/>
      <c r="D12" s="116"/>
      <c r="E12" s="116"/>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2</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630</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50000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v>50000</v>
      </c>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100000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100000</v>
      </c>
      <c r="D27" s="30" t="s">
        <v>391</v>
      </c>
      <c r="E27" s="104">
        <v>100000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8" t="s">
        <v>402</v>
      </c>
      <c r="B30" s="109"/>
      <c r="C30" s="110" t="s">
        <v>632</v>
      </c>
      <c r="D30" s="111"/>
      <c r="E30" s="111"/>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0" t="s">
        <v>633</v>
      </c>
      <c r="D32" s="111"/>
      <c r="E32" s="111"/>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627</v>
      </c>
      <c r="B36" s="107"/>
      <c r="C36" s="107"/>
      <c r="D36" s="107"/>
      <c r="E36" s="107"/>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21" priority="1" stopIfTrue="1" operator="equal">
      <formula>$Z1</formula>
    </cfRule>
  </conditionalFormatting>
  <conditionalFormatting sqref="E16 B17 E21:E25 B27 C30:E30 C32:E32 B34">
    <cfRule type="cellIs" dxfId="20" priority="2" stopIfTrue="1" operator="equal">
      <formula>$Z$1</formula>
    </cfRule>
  </conditionalFormatting>
  <conditionalFormatting sqref="B19 E19">
    <cfRule type="cellIs" dxfId="19" priority="3" stopIfTrue="1" operator="greaterThan">
      <formula>43831</formula>
    </cfRule>
    <cfRule type="cellIs" dxfId="18" priority="4" stopIfTrue="1" operator="lessThan">
      <formula>39448</formula>
    </cfRule>
    <cfRule type="cellIs" dxfId="17" priority="5" stopIfTrue="1" operator="equal">
      <formula>39448</formula>
    </cfRule>
  </conditionalFormatting>
  <conditionalFormatting sqref="B8:D8">
    <cfRule type="cellIs" dxfId="1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sheetPr enableFormatConditionsCalculation="0">
    <tabColor indexed="50"/>
    <pageSetUpPr fitToPage="1"/>
  </sheetPr>
  <dimension ref="A1:N36"/>
  <sheetViews>
    <sheetView topLeftCell="A4" zoomScaleNormal="100" zoomScaleSheetLayoutView="100" workbookViewId="0">
      <selection activeCell="L35" sqref="L35"/>
    </sheetView>
  </sheetViews>
  <sheetFormatPr defaultRowHeight="12.75"/>
  <cols>
    <col min="1" max="1" width="17.85546875" bestFit="1" customWidth="1"/>
    <col min="2" max="14" width="11.7109375" customWidth="1"/>
  </cols>
  <sheetData>
    <row r="1" spans="1:14" s="67" customFormat="1" ht="20.25">
      <c r="A1" s="118" t="s">
        <v>411</v>
      </c>
      <c r="B1" s="118"/>
      <c r="C1" s="66"/>
      <c r="D1" s="66"/>
      <c r="E1" s="66"/>
      <c r="F1" s="66"/>
      <c r="G1" s="66"/>
      <c r="H1" s="66"/>
    </row>
    <row r="2" spans="1:14" s="67" customFormat="1" ht="18" customHeight="1">
      <c r="A2" s="118" t="s">
        <v>428</v>
      </c>
      <c r="B2" s="118"/>
      <c r="C2" s="119" t="str">
        <f>LEFT('Job Initiation Form'!B10,50)</f>
        <v>New HDS Utility Service for FTW 336A- Aircraft Par</v>
      </c>
      <c r="D2" s="119"/>
      <c r="E2" s="119"/>
      <c r="F2" s="119"/>
      <c r="G2" s="119"/>
      <c r="H2" s="119"/>
      <c r="I2" s="119"/>
      <c r="J2" s="119"/>
      <c r="K2" s="119"/>
    </row>
    <row r="3" spans="1:14" s="67" customFormat="1" ht="20.25">
      <c r="A3" s="68" t="s">
        <v>413</v>
      </c>
      <c r="B3" s="69"/>
      <c r="C3" s="119">
        <f>'Job Initiation Form'!E38</f>
        <v>0</v>
      </c>
      <c r="D3" s="119"/>
      <c r="E3" s="119"/>
      <c r="F3" s="119"/>
      <c r="G3" s="119"/>
      <c r="H3" s="119"/>
      <c r="I3" s="119"/>
      <c r="J3" s="119"/>
      <c r="K3" s="119"/>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Central Heating Plant</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c r="D14" s="79"/>
      <c r="E14" s="88">
        <v>0</v>
      </c>
      <c r="F14" s="80">
        <v>0</v>
      </c>
      <c r="G14" s="96">
        <v>116545.42000000001</v>
      </c>
      <c r="H14" s="96">
        <v>116545.42000000001</v>
      </c>
      <c r="I14" s="96">
        <v>116545.42000000001</v>
      </c>
      <c r="J14" s="96">
        <v>116545.42000000001</v>
      </c>
      <c r="K14" s="88">
        <v>0</v>
      </c>
      <c r="L14" s="80">
        <v>0</v>
      </c>
      <c r="M14" s="96">
        <v>0</v>
      </c>
      <c r="N14" s="81">
        <f>SUM(B14:M14)</f>
        <v>466181.68000000005</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0</v>
      </c>
      <c r="D17" s="83">
        <f t="shared" si="1"/>
        <v>0</v>
      </c>
      <c r="E17" s="91">
        <f t="shared" si="1"/>
        <v>0</v>
      </c>
      <c r="F17" s="83">
        <f t="shared" si="1"/>
        <v>0</v>
      </c>
      <c r="G17" s="98">
        <f t="shared" si="1"/>
        <v>116545.42000000001</v>
      </c>
      <c r="H17" s="91">
        <f t="shared" si="1"/>
        <v>116545.42000000001</v>
      </c>
      <c r="I17" s="83">
        <f t="shared" si="1"/>
        <v>116545.42000000001</v>
      </c>
      <c r="J17" s="98">
        <f t="shared" si="1"/>
        <v>116545.42000000001</v>
      </c>
      <c r="K17" s="91">
        <f t="shared" si="1"/>
        <v>0</v>
      </c>
      <c r="L17" s="83">
        <f t="shared" si="1"/>
        <v>0</v>
      </c>
      <c r="M17" s="98">
        <f t="shared" si="1"/>
        <v>0</v>
      </c>
      <c r="N17" s="83">
        <f>SUM(N13:N16)</f>
        <v>466181.68000000005</v>
      </c>
    </row>
    <row r="18" spans="1:14" s="67" customFormat="1" ht="13.5" thickTop="1">
      <c r="A18" s="70"/>
    </row>
    <row r="19" spans="1:14" s="67" customFormat="1">
      <c r="A19" s="70"/>
      <c r="D19" s="84">
        <f>D17+C17+B17</f>
        <v>0</v>
      </c>
      <c r="E19" s="84">
        <f>E17+D17+C17+B17</f>
        <v>0</v>
      </c>
      <c r="F19" s="84">
        <f>F17+E19</f>
        <v>0</v>
      </c>
      <c r="G19" s="84">
        <f t="shared" ref="G19:M19" si="2">G17+F19</f>
        <v>116545.42000000001</v>
      </c>
      <c r="H19" s="84">
        <f t="shared" si="2"/>
        <v>233090.84000000003</v>
      </c>
      <c r="I19" s="84">
        <f t="shared" si="2"/>
        <v>349636.26</v>
      </c>
      <c r="J19" s="84">
        <f t="shared" si="2"/>
        <v>466181.68000000005</v>
      </c>
      <c r="K19" s="84">
        <f t="shared" si="2"/>
        <v>466181.68000000005</v>
      </c>
      <c r="L19" s="84">
        <f t="shared" si="2"/>
        <v>466181.68000000005</v>
      </c>
      <c r="M19" s="84">
        <f t="shared" si="2"/>
        <v>466181.68000000005</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466181.68000000005</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466181.68000000005</v>
      </c>
    </row>
    <row r="30" spans="1:14" s="67" customFormat="1" ht="13.5" thickTop="1">
      <c r="A30" s="70"/>
    </row>
    <row r="31" spans="1:14" s="67" customFormat="1">
      <c r="A31" s="70"/>
      <c r="B31" s="84">
        <f>B29+N17</f>
        <v>466181.68000000005</v>
      </c>
      <c r="C31" s="84">
        <f>C29+B31</f>
        <v>466181.68000000005</v>
      </c>
      <c r="D31" s="84">
        <f>D29+C31</f>
        <v>466181.68000000005</v>
      </c>
      <c r="E31" s="84">
        <f>E29+D31</f>
        <v>466181.68000000005</v>
      </c>
      <c r="F31" s="84">
        <f>F29+E31</f>
        <v>466181.68000000005</v>
      </c>
      <c r="G31" s="84">
        <f t="shared" ref="G31:L31" si="5">G29+F31</f>
        <v>466181.68000000005</v>
      </c>
      <c r="H31" s="84">
        <f t="shared" si="5"/>
        <v>466181.68000000005</v>
      </c>
      <c r="I31" s="84">
        <f t="shared" si="5"/>
        <v>466181.68000000005</v>
      </c>
      <c r="J31" s="84">
        <f t="shared" si="5"/>
        <v>466181.68000000005</v>
      </c>
      <c r="K31" s="84">
        <f t="shared" si="5"/>
        <v>466181.68000000005</v>
      </c>
      <c r="L31" s="84">
        <f t="shared" si="5"/>
        <v>466181.68000000005</v>
      </c>
      <c r="M31" s="84">
        <f>M29+L31</f>
        <v>466181.68000000005</v>
      </c>
    </row>
    <row r="33" spans="1:12">
      <c r="A33" s="62" t="s">
        <v>625</v>
      </c>
    </row>
    <row r="35" spans="1:12">
      <c r="K35" s="106"/>
      <c r="L35">
        <v>466181.68000000005</v>
      </c>
    </row>
    <row r="36" spans="1:12">
      <c r="K36" s="105"/>
    </row>
  </sheetData>
  <mergeCells count="4">
    <mergeCell ref="A1:B1"/>
    <mergeCell ref="A2:B2"/>
    <mergeCell ref="C2:K2"/>
    <mergeCell ref="C3:K3"/>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C2:K2">
    <cfRule type="cellIs" dxfId="13" priority="3" stopIfTrue="1" operator="equal">
      <formula>$Z$11746</formula>
    </cfRule>
  </conditionalFormatting>
  <conditionalFormatting sqref="C3:K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legacyDrawing r:id="rId2"/>
</worksheet>
</file>

<file path=xl/worksheets/sheet4.xml><?xml version="1.0" encoding="utf-8"?>
<worksheet xmlns="http://schemas.openxmlformats.org/spreadsheetml/2006/main" xmlns:r="http://schemas.openxmlformats.org/officeDocument/2006/relationships">
  <sheetPr enableFormatConditionsCalculation="0">
    <tabColor indexed="43"/>
  </sheetPr>
  <dimension ref="A1:BQ602"/>
  <sheetViews>
    <sheetView tabSelected="1" workbookViewId="0">
      <selection activeCell="F24" sqref="F24"/>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2"/>
      <c r="C5" s="112"/>
      <c r="D5" s="112"/>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3" t="s">
        <v>412</v>
      </c>
      <c r="C6" s="113"/>
      <c r="D6" s="113"/>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4" t="s">
        <v>443</v>
      </c>
      <c r="C7" s="114"/>
      <c r="D7" s="114"/>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20">
        <v>40604</v>
      </c>
      <c r="C8" s="120"/>
      <c r="D8" s="120"/>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27" t="s">
        <v>637</v>
      </c>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21" t="s">
        <v>635</v>
      </c>
      <c r="C10" s="121"/>
      <c r="D10" s="121"/>
      <c r="E10" s="121"/>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21" t="s">
        <v>634</v>
      </c>
      <c r="C12" s="121"/>
      <c r="D12" s="121"/>
      <c r="E12" s="121"/>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48">
        <v>2</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t="s">
        <v>636</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40786</v>
      </c>
      <c r="D19" s="42" t="s">
        <v>389</v>
      </c>
      <c r="E19" s="26">
        <v>40648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49">
        <v>57000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49">
        <v>57000</v>
      </c>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114000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-114000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8" t="s">
        <v>402</v>
      </c>
      <c r="B30" s="109"/>
      <c r="C30" s="111"/>
      <c r="D30" s="111"/>
      <c r="E30" s="111"/>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1"/>
      <c r="D32" s="111"/>
      <c r="E32" s="111"/>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427</v>
      </c>
      <c r="B36" s="107"/>
      <c r="C36" s="107"/>
      <c r="D36" s="107"/>
      <c r="E36" s="107"/>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E21:E25 B27 C30:E30 C32:E32 B34 B9">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39448</formula>
    </cfRule>
    <cfRule type="cellIs" dxfId="7" priority="5" stopIfTrue="1" operator="equal">
      <formula>39448</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5.xml><?xml version="1.0" encoding="utf-8"?>
<worksheet xmlns="http://schemas.openxmlformats.org/spreadsheetml/2006/main" xmlns:r="http://schemas.openxmlformats.org/officeDocument/2006/relationships">
  <dimension ref="A1:G279"/>
  <sheetViews>
    <sheetView zoomScaleNormal="100" workbookViewId="0">
      <pane xSplit="1" ySplit="1" topLeftCell="B104" activePane="bottomRight" state="frozen"/>
      <selection pane="topRight" activeCell="B1" sqref="B1"/>
      <selection pane="bottomLeft" activeCell="A2" sqref="A2"/>
      <selection pane="bottomRight" activeCell="A124" sqref="A112:A124"/>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sheetPr enableFormatConditionsCalculation="0">
    <tabColor indexed="10"/>
  </sheetPr>
  <dimension ref="A1:BQ602"/>
  <sheetViews>
    <sheetView topLeftCell="A13"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2"/>
      <c r="C5" s="112"/>
      <c r="D5" s="112"/>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2" t="s">
        <v>489</v>
      </c>
      <c r="C6" s="112"/>
      <c r="D6" s="112"/>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4" t="s">
        <v>490</v>
      </c>
      <c r="C7" s="114"/>
      <c r="D7" s="114"/>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20"/>
      <c r="C8" s="120"/>
      <c r="D8" s="120"/>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21"/>
      <c r="C10" s="121"/>
      <c r="D10" s="121"/>
      <c r="E10" s="121"/>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21"/>
      <c r="C12" s="121"/>
      <c r="D12" s="121"/>
      <c r="E12" s="121"/>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2" t="s">
        <v>402</v>
      </c>
      <c r="B30" s="123"/>
      <c r="C30" s="111"/>
      <c r="D30" s="111"/>
      <c r="E30" s="111"/>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11"/>
      <c r="D32" s="111"/>
      <c r="E32" s="111"/>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427</v>
      </c>
      <c r="B36" s="107"/>
      <c r="C36" s="107"/>
      <c r="D36" s="107"/>
      <c r="E36" s="107"/>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7.xml><?xml version="1.0" encoding="utf-8"?>
<worksheet xmlns="http://schemas.openxmlformats.org/spreadsheetml/2006/main" xmlns:r="http://schemas.openxmlformats.org/officeDocument/2006/relationships">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2011-03-02T20:00:57Z</dcterms:modified>
</cp:coreProperties>
</file>