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20" windowWidth="19020" windowHeight="1266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K13" i="1"/>
  <c r="K6"/>
  <c r="K7"/>
  <c r="K8"/>
  <c r="K9"/>
  <c r="K5"/>
  <c r="J11"/>
  <c r="I9"/>
  <c r="I11" s="1"/>
  <c r="F10"/>
  <c r="H9"/>
  <c r="H7"/>
  <c r="H5"/>
  <c r="F13" l="1"/>
</calcChain>
</file>

<file path=xl/sharedStrings.xml><?xml version="1.0" encoding="utf-8"?>
<sst xmlns="http://schemas.openxmlformats.org/spreadsheetml/2006/main" count="10" uniqueCount="10">
  <si>
    <t>Tunista Bid</t>
  </si>
  <si>
    <t>HDS spent</t>
  </si>
  <si>
    <t>HDS committed</t>
  </si>
  <si>
    <t>WDS spent</t>
  </si>
  <si>
    <t>WDS committed</t>
  </si>
  <si>
    <t>WWC spent</t>
  </si>
  <si>
    <t>WWC committed</t>
  </si>
  <si>
    <t>Total</t>
  </si>
  <si>
    <t>Engineer's Estimate</t>
  </si>
  <si>
    <t>Difference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</si>
</sst>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3">
    <font>
      <sz val="10"/>
      <name val="Arial"/>
    </font>
    <font>
      <sz val="8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E3:K13"/>
  <sheetViews>
    <sheetView tabSelected="1" topLeftCell="C1" workbookViewId="0">
      <selection activeCell="N23" sqref="N23"/>
    </sheetView>
  </sheetViews>
  <sheetFormatPr defaultRowHeight="12.75"/>
  <cols>
    <col min="5" max="5" width="17.85546875" bestFit="1" customWidth="1"/>
    <col min="6" max="6" width="16" customWidth="1"/>
    <col min="8" max="8" width="11.28515625" bestFit="1" customWidth="1"/>
    <col min="9" max="9" width="12.28515625" bestFit="1" customWidth="1"/>
    <col min="11" max="11" width="14" bestFit="1" customWidth="1"/>
  </cols>
  <sheetData>
    <row r="3" spans="5:11">
      <c r="E3" t="s">
        <v>0</v>
      </c>
      <c r="F3" s="2">
        <v>746512</v>
      </c>
    </row>
    <row r="4" spans="5:11">
      <c r="E4" s="1" t="s">
        <v>1</v>
      </c>
      <c r="F4" s="2">
        <v>12517.94</v>
      </c>
    </row>
    <row r="5" spans="5:11">
      <c r="E5" s="1" t="s">
        <v>2</v>
      </c>
      <c r="F5" s="2">
        <v>47411.09</v>
      </c>
      <c r="H5" s="2">
        <f>SUM(F4:F5)</f>
        <v>59929.03</v>
      </c>
      <c r="I5">
        <v>300000</v>
      </c>
      <c r="J5">
        <v>37000</v>
      </c>
      <c r="K5" s="2">
        <f>SUM(H5:J5)</f>
        <v>396929.03</v>
      </c>
    </row>
    <row r="6" spans="5:11">
      <c r="E6" s="1" t="s">
        <v>3</v>
      </c>
      <c r="F6" s="2">
        <v>20156.009999999998</v>
      </c>
      <c r="K6" s="2">
        <f t="shared" ref="K6:K9" si="0">SUM(H6:J6)</f>
        <v>0</v>
      </c>
    </row>
    <row r="7" spans="5:11">
      <c r="E7" s="1" t="s">
        <v>4</v>
      </c>
      <c r="F7" s="2">
        <v>42022.81</v>
      </c>
      <c r="H7" s="2">
        <f>SUM(F6:F7)</f>
        <v>62178.819999999992</v>
      </c>
      <c r="I7">
        <v>300000</v>
      </c>
      <c r="J7">
        <v>37000</v>
      </c>
      <c r="K7" s="2">
        <f t="shared" si="0"/>
        <v>399178.82</v>
      </c>
    </row>
    <row r="8" spans="5:11">
      <c r="E8" s="1" t="s">
        <v>5</v>
      </c>
      <c r="F8" s="2">
        <v>12333.33</v>
      </c>
      <c r="K8" s="2">
        <f t="shared" si="0"/>
        <v>0</v>
      </c>
    </row>
    <row r="9" spans="5:11">
      <c r="E9" s="1" t="s">
        <v>6</v>
      </c>
      <c r="F9" s="2">
        <v>11288.9</v>
      </c>
      <c r="H9" s="2">
        <f>SUM(F8:F9)</f>
        <v>23622.23</v>
      </c>
      <c r="I9" s="2">
        <f>F3-(SUM(I5,I7))</f>
        <v>146512</v>
      </c>
      <c r="J9">
        <v>37000</v>
      </c>
      <c r="K9" s="2">
        <f t="shared" si="0"/>
        <v>207134.23</v>
      </c>
    </row>
    <row r="10" spans="5:11">
      <c r="E10" s="1" t="s">
        <v>7</v>
      </c>
      <c r="F10" s="2">
        <f>SUM(F3:F9)</f>
        <v>892242.07999999984</v>
      </c>
    </row>
    <row r="11" spans="5:11">
      <c r="F11" s="2"/>
      <c r="I11">
        <f>SUM(I5:I9)</f>
        <v>746512</v>
      </c>
      <c r="J11">
        <f>SUM(J5:J9)</f>
        <v>111000</v>
      </c>
    </row>
    <row r="12" spans="5:11">
      <c r="E12" s="1" t="s">
        <v>8</v>
      </c>
      <c r="F12" s="2">
        <v>964867.83367590012</v>
      </c>
    </row>
    <row r="13" spans="5:11">
      <c r="E13" s="1" t="s">
        <v>9</v>
      </c>
      <c r="F13" s="2">
        <f>F12-F10</f>
        <v>72625.753675900283</v>
      </c>
      <c r="K13" s="2">
        <f>SUM(K5:K11)</f>
        <v>1003242.0800000001</v>
      </c>
    </row>
  </sheetData>
  <phoneticPr fontId="1" type="noConversion"/>
  <pageMargins left="0.75" right="0.75" top="1" bottom="1" header="0.5" footer="0.5"/>
  <pageSetup orientation="portrait" r:id="rId1"/>
  <headerFooter alignWithMargins="0">
    <oddFooter>&amp;L&amp;8&amp;Z&amp;F&amp;R&amp;8&amp;D&amp;T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2003-02-07T17:16:26Z</dcterms:created>
  <dcterms:modified xsi:type="dcterms:W3CDTF">2010-10-20T16:59:03Z</dcterms:modified>
</cp:coreProperties>
</file>