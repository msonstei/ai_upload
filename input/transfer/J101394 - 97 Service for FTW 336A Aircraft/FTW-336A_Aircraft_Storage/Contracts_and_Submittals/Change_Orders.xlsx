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2670" windowWidth="11955" windowHeight="2715" tabRatio="654"/>
  </bookViews>
  <sheets>
    <sheet name="CO 1" sheetId="2" r:id="rId1"/>
    <sheet name="CO 2" sheetId="3" r:id="rId2"/>
    <sheet name="CO 3" sheetId="4" r:id="rId3"/>
    <sheet name="CO 4" sheetId="5" r:id="rId4"/>
    <sheet name="CO 5" sheetId="6" r:id="rId5"/>
    <sheet name="CO 6" sheetId="7" r:id="rId6"/>
    <sheet name="CO 7" sheetId="8" r:id="rId7"/>
    <sheet name="CO 8" sheetId="9" r:id="rId8"/>
    <sheet name="CO 9" sheetId="10" r:id="rId9"/>
    <sheet name="CO 10" sheetId="11" r:id="rId10"/>
  </sheets>
  <definedNames>
    <definedName name="_xlnm.Print_Area" localSheetId="0">'CO 1'!$A$1:$AC$37</definedName>
    <definedName name="_xlnm.Print_Area" localSheetId="9">'CO 10'!$A$1:$AC$35</definedName>
    <definedName name="_xlnm.Print_Area" localSheetId="1">'CO 2'!$A$1:$AC$35</definedName>
    <definedName name="_xlnm.Print_Area" localSheetId="2">'CO 3'!$A$1:$AC$35</definedName>
    <definedName name="_xlnm.Print_Area" localSheetId="3">'CO 4'!$A$1:$AC$35</definedName>
    <definedName name="_xlnm.Print_Area" localSheetId="4">'CO 5'!$A$1:$AC$35</definedName>
    <definedName name="_xlnm.Print_Area" localSheetId="5">'CO 6'!$A$1:$AC$35</definedName>
    <definedName name="_xlnm.Print_Area" localSheetId="6">'CO 7'!$A$1:$AC$35</definedName>
    <definedName name="_xlnm.Print_Area" localSheetId="7">'CO 8'!$A$1:$AC$35</definedName>
    <definedName name="_xlnm.Print_Area" localSheetId="8">'CO 9'!$A$1:$AC$35</definedName>
  </definedNames>
  <calcPr calcId="125725"/>
</workbook>
</file>

<file path=xl/calcChain.xml><?xml version="1.0" encoding="utf-8"?>
<calcChain xmlns="http://schemas.openxmlformats.org/spreadsheetml/2006/main">
  <c r="Y35" i="2"/>
  <c r="Y37" s="1"/>
  <c r="AE15"/>
  <c r="AF15"/>
  <c r="AE14"/>
  <c r="AF14"/>
  <c r="Z3" i="4"/>
  <c r="Z3" i="5"/>
  <c r="Z3" i="6"/>
  <c r="Z3" i="7"/>
  <c r="Z3" i="8"/>
  <c r="Z3" i="9"/>
  <c r="Z3" i="10"/>
  <c r="Z3" i="11"/>
  <c r="Z3" i="3"/>
  <c r="C26" i="2"/>
  <c r="F2" i="11"/>
  <c r="F2" i="10"/>
  <c r="F2" i="9"/>
  <c r="F2" i="8"/>
  <c r="F2" i="7"/>
  <c r="F2" i="6"/>
  <c r="F2" i="5"/>
  <c r="F2" i="4"/>
  <c r="F2" i="3"/>
  <c r="F3" i="11"/>
  <c r="C24" s="1"/>
  <c r="F3" i="10"/>
  <c r="C24"/>
  <c r="F3" i="9"/>
  <c r="C24"/>
  <c r="F3" i="8"/>
  <c r="C24"/>
  <c r="F3" i="7"/>
  <c r="C24"/>
  <c r="F3" i="6"/>
  <c r="C24"/>
  <c r="F3" i="5"/>
  <c r="C24"/>
  <c r="F3" i="4"/>
  <c r="C24" s="1"/>
  <c r="F3" i="3"/>
  <c r="C24" s="1"/>
  <c r="Z2" i="11"/>
  <c r="Z2" i="10"/>
  <c r="Z2" i="9"/>
  <c r="Z2" i="8"/>
  <c r="Z2" i="7"/>
  <c r="Z2" i="6"/>
  <c r="Z2" i="5"/>
  <c r="Z2" i="4"/>
  <c r="Z2" i="3"/>
  <c r="K33" i="4"/>
  <c r="K33" i="5"/>
  <c r="K33" i="6"/>
  <c r="K33" i="7"/>
  <c r="K33" i="8"/>
  <c r="K33" i="9"/>
  <c r="K33" i="10"/>
  <c r="K33" i="11"/>
  <c r="K33" i="3"/>
  <c r="Z16"/>
  <c r="H41" i="5"/>
  <c r="Z16" i="4"/>
  <c r="M42" i="6"/>
  <c r="Z16" i="5"/>
  <c r="M43" i="7"/>
  <c r="Z16" i="6"/>
  <c r="M44" i="10"/>
  <c r="Z16" i="7"/>
  <c r="Y34"/>
  <c r="Z16" i="8"/>
  <c r="M46" i="9"/>
  <c r="Z16"/>
  <c r="Z16" i="10"/>
  <c r="AA18"/>
  <c r="Z16" i="11"/>
  <c r="W18"/>
  <c r="Z18" i="2"/>
  <c r="H40" i="6" s="1"/>
  <c r="AE7" i="2"/>
  <c r="AF7"/>
  <c r="AE8"/>
  <c r="AF8"/>
  <c r="AE9"/>
  <c r="AF9"/>
  <c r="AE10"/>
  <c r="AF10"/>
  <c r="AE12"/>
  <c r="AF12"/>
  <c r="AE13"/>
  <c r="AF13"/>
  <c r="AF15" i="4"/>
  <c r="AE15"/>
  <c r="AF14"/>
  <c r="AE14"/>
  <c r="AF13"/>
  <c r="AE13"/>
  <c r="AF12"/>
  <c r="AE12"/>
  <c r="AF11"/>
  <c r="AE11"/>
  <c r="AF10"/>
  <c r="AE10"/>
  <c r="AF9"/>
  <c r="AE9"/>
  <c r="AF8"/>
  <c r="AE8"/>
  <c r="AF7"/>
  <c r="AE7"/>
  <c r="AF15" i="5"/>
  <c r="AE15"/>
  <c r="AF14"/>
  <c r="AE14"/>
  <c r="AF13"/>
  <c r="AE13"/>
  <c r="AF12"/>
  <c r="AE12"/>
  <c r="AF11"/>
  <c r="AE11"/>
  <c r="AF10"/>
  <c r="AE10"/>
  <c r="AF9"/>
  <c r="AE9"/>
  <c r="AF8"/>
  <c r="AE8"/>
  <c r="AF7"/>
  <c r="AE7"/>
  <c r="AF15" i="6"/>
  <c r="AE15"/>
  <c r="AF14"/>
  <c r="AE14"/>
  <c r="AF13"/>
  <c r="AE13"/>
  <c r="AF12"/>
  <c r="AE12"/>
  <c r="AF11"/>
  <c r="AE11"/>
  <c r="AF10"/>
  <c r="AE10"/>
  <c r="AF9"/>
  <c r="AE9"/>
  <c r="AF8"/>
  <c r="AE8"/>
  <c r="AF7"/>
  <c r="AE7"/>
  <c r="AF15" i="7"/>
  <c r="AE15"/>
  <c r="AF14"/>
  <c r="AE14"/>
  <c r="AF13"/>
  <c r="AE13"/>
  <c r="AF12"/>
  <c r="AE12"/>
  <c r="AF11"/>
  <c r="AE11"/>
  <c r="AF10"/>
  <c r="AE10"/>
  <c r="AF9"/>
  <c r="AE9"/>
  <c r="AF8"/>
  <c r="AE8"/>
  <c r="AF7"/>
  <c r="AE7"/>
  <c r="AF15" i="8"/>
  <c r="AE15"/>
  <c r="AF14"/>
  <c r="AE14"/>
  <c r="AF13"/>
  <c r="AE13"/>
  <c r="AF12"/>
  <c r="AE12"/>
  <c r="AF11"/>
  <c r="AE11"/>
  <c r="AF10"/>
  <c r="AE10"/>
  <c r="AF9"/>
  <c r="AE9"/>
  <c r="AF8"/>
  <c r="AE8"/>
  <c r="AF7"/>
  <c r="AE7"/>
  <c r="AF15" i="9"/>
  <c r="AE15"/>
  <c r="AF14"/>
  <c r="AE14"/>
  <c r="AF13"/>
  <c r="AE13"/>
  <c r="AF12"/>
  <c r="AE12"/>
  <c r="AF11"/>
  <c r="AE11"/>
  <c r="AF10"/>
  <c r="AE10"/>
  <c r="AF9"/>
  <c r="AE9"/>
  <c r="AF8"/>
  <c r="AE8"/>
  <c r="AF7"/>
  <c r="AE7"/>
  <c r="AF15" i="10"/>
  <c r="AE15"/>
  <c r="AF14"/>
  <c r="AE14"/>
  <c r="AF13"/>
  <c r="AE13"/>
  <c r="AF12"/>
  <c r="AE12"/>
  <c r="AF11"/>
  <c r="AE11"/>
  <c r="AF10"/>
  <c r="AE10"/>
  <c r="AF9"/>
  <c r="AE9"/>
  <c r="AF8"/>
  <c r="AE8"/>
  <c r="AF7"/>
  <c r="AE7"/>
  <c r="AF15" i="11"/>
  <c r="AE15"/>
  <c r="AF14"/>
  <c r="AE14"/>
  <c r="AF13"/>
  <c r="AE13"/>
  <c r="AF12"/>
  <c r="AE12"/>
  <c r="AF11"/>
  <c r="AE11"/>
  <c r="AF10"/>
  <c r="AE10"/>
  <c r="AF9"/>
  <c r="AE9"/>
  <c r="AF8"/>
  <c r="AE8"/>
  <c r="AF7"/>
  <c r="W16"/>
  <c r="W17"/>
  <c r="AE7"/>
  <c r="AF15" i="3"/>
  <c r="AE15"/>
  <c r="AF14"/>
  <c r="AE14"/>
  <c r="AF13"/>
  <c r="AE13"/>
  <c r="AF12"/>
  <c r="AE12"/>
  <c r="AF11"/>
  <c r="AE11"/>
  <c r="AF10"/>
  <c r="AE10"/>
  <c r="AF9"/>
  <c r="AE9"/>
  <c r="AF8"/>
  <c r="AE8"/>
  <c r="AF7"/>
  <c r="AE7"/>
  <c r="AE11" i="2"/>
  <c r="AF11"/>
  <c r="AE16"/>
  <c r="AF16"/>
  <c r="AF17"/>
  <c r="AE17"/>
  <c r="AA18" i="9"/>
  <c r="W18"/>
  <c r="S18"/>
  <c r="M47" i="11"/>
  <c r="M47" i="10"/>
  <c r="H47" i="11"/>
  <c r="H47" i="10"/>
  <c r="O34" i="9"/>
  <c r="O34" i="10"/>
  <c r="Y34" i="9"/>
  <c r="M41" i="6"/>
  <c r="AA18" i="3"/>
  <c r="H41" i="6"/>
  <c r="W18" i="7"/>
  <c r="M45" i="10"/>
  <c r="H46" i="9"/>
  <c r="M46" i="10"/>
  <c r="Y34" i="6"/>
  <c r="AA18" i="7"/>
  <c r="S18"/>
  <c r="H44" i="8"/>
  <c r="M45"/>
  <c r="H45"/>
  <c r="M46" i="11"/>
  <c r="W18" i="8"/>
  <c r="W18" i="10"/>
  <c r="Y34" i="8"/>
  <c r="S18"/>
  <c r="AA18"/>
  <c r="H46" i="10"/>
  <c r="H46" i="11"/>
  <c r="M48"/>
  <c r="H48"/>
  <c r="Y34" i="10"/>
  <c r="O34" i="8"/>
  <c r="S18" i="10"/>
  <c r="AA18" i="5"/>
  <c r="M43" i="10"/>
  <c r="H43" i="6"/>
  <c r="M42" i="7"/>
  <c r="Y34" i="5"/>
  <c r="M42" i="8"/>
  <c r="H42"/>
  <c r="Y34" i="11"/>
  <c r="Y34" i="3"/>
  <c r="O34" i="4"/>
  <c r="M40" i="9"/>
  <c r="M41" i="8"/>
  <c r="H41"/>
  <c r="W20" i="2"/>
  <c r="M42" i="10"/>
  <c r="M41" i="9"/>
  <c r="H41"/>
  <c r="W18" i="3"/>
  <c r="O34"/>
  <c r="M41" i="7"/>
  <c r="M40" i="11"/>
  <c r="H42" i="5"/>
  <c r="M42" i="11"/>
  <c r="M41" i="10"/>
  <c r="H41"/>
  <c r="S18" i="3"/>
  <c r="W18" i="4"/>
  <c r="H41" i="7"/>
  <c r="Y34" i="4"/>
  <c r="M41" i="11"/>
  <c r="H41"/>
  <c r="H40"/>
  <c r="M42" i="5"/>
  <c r="H40" i="4"/>
  <c r="M40" i="5"/>
  <c r="H42" i="6"/>
  <c r="M41" i="4"/>
  <c r="H41"/>
  <c r="H40" i="5"/>
  <c r="M41"/>
  <c r="M44" i="11"/>
  <c r="S18" i="5"/>
  <c r="O34" i="6"/>
  <c r="H43" i="10"/>
  <c r="M43" i="8"/>
  <c r="H43" i="11"/>
  <c r="M43" i="9"/>
  <c r="M44" i="7"/>
  <c r="M43" i="6"/>
  <c r="H44" i="10"/>
  <c r="H43" i="7"/>
  <c r="M44" i="8"/>
  <c r="W18" i="5"/>
  <c r="W16" i="9"/>
  <c r="W17"/>
  <c r="H43" i="8"/>
  <c r="M44" i="9"/>
  <c r="M43" i="11"/>
  <c r="O34" i="5"/>
  <c r="H43" i="9"/>
  <c r="W16" i="7"/>
  <c r="S45" i="8"/>
  <c r="H42" i="7"/>
  <c r="H40" i="3"/>
  <c r="H39" s="1"/>
  <c r="K34" s="1"/>
  <c r="H40" i="10"/>
  <c r="H42" i="11"/>
  <c r="H42" i="9"/>
  <c r="H42" i="10"/>
  <c r="S18" i="4"/>
  <c r="S20" i="2"/>
  <c r="M42" i="9"/>
  <c r="O36" i="2"/>
  <c r="AA18" i="4"/>
  <c r="W18" i="2"/>
  <c r="W19" s="1"/>
  <c r="M40" i="8"/>
  <c r="H45" i="11"/>
  <c r="M40" i="7"/>
  <c r="W18" i="6"/>
  <c r="H44" i="11"/>
  <c r="H39" s="1"/>
  <c r="K34" s="1"/>
  <c r="S18" i="6"/>
  <c r="M40" i="3"/>
  <c r="M39" s="1"/>
  <c r="K35" s="1"/>
  <c r="M40" i="10"/>
  <c r="H40" i="8"/>
  <c r="H39" s="1"/>
  <c r="K34" s="1"/>
  <c r="AA18" i="11"/>
  <c r="O34" i="7"/>
  <c r="AA18" i="6"/>
  <c r="M45" i="11"/>
  <c r="M39" s="1"/>
  <c r="K35" s="1"/>
  <c r="H45" i="10"/>
  <c r="H40" i="7"/>
  <c r="H44"/>
  <c r="H40" i="9"/>
  <c r="S18" i="11"/>
  <c r="Y36" i="2"/>
  <c r="H44" i="9"/>
  <c r="S47" i="11"/>
  <c r="S40" i="8"/>
  <c r="Y34" i="2"/>
  <c r="K32" i="3" s="1"/>
  <c r="Y32" s="1"/>
  <c r="K32" i="4" s="1"/>
  <c r="Y32" s="1"/>
  <c r="K32" i="5" s="1"/>
  <c r="Y32" s="1"/>
  <c r="K32" i="6" s="1"/>
  <c r="Y32" s="1"/>
  <c r="K32" i="7" s="1"/>
  <c r="Y32" s="1"/>
  <c r="K32" i="8" s="1"/>
  <c r="Y32" s="1"/>
  <c r="K32" i="9" s="1"/>
  <c r="Y32" s="1"/>
  <c r="K32" i="10" s="1"/>
  <c r="Y32" s="1"/>
  <c r="K32" i="11" s="1"/>
  <c r="Y32" s="1"/>
  <c r="S40" i="3"/>
  <c r="S39" s="1"/>
  <c r="W17" i="7"/>
  <c r="S45" i="9"/>
  <c r="M39" i="10"/>
  <c r="K35" s="1"/>
  <c r="S17" i="7"/>
  <c r="S17" i="11"/>
  <c r="S45" i="10"/>
  <c r="S45" i="11"/>
  <c r="W16" i="3"/>
  <c r="S41" i="7"/>
  <c r="W16" i="8"/>
  <c r="S46" i="9"/>
  <c r="W16" i="4"/>
  <c r="S42" i="9"/>
  <c r="S39" s="1"/>
  <c r="Y17"/>
  <c r="S17"/>
  <c r="S47" i="10"/>
  <c r="M39" i="7"/>
  <c r="K35" s="1"/>
  <c r="O34" i="11"/>
  <c r="H39" i="4"/>
  <c r="K34" s="1"/>
  <c r="M39" i="5"/>
  <c r="K35" s="1"/>
  <c r="S40"/>
  <c r="S40" i="9"/>
  <c r="W16" i="5"/>
  <c r="Y17"/>
  <c r="H39" i="7"/>
  <c r="K34" s="1"/>
  <c r="S40" i="4"/>
  <c r="S40" i="11"/>
  <c r="S40" i="10"/>
  <c r="H39"/>
  <c r="K34" s="1"/>
  <c r="H45" i="9"/>
  <c r="M45"/>
  <c r="M39" s="1"/>
  <c r="K35" s="1"/>
  <c r="Y19" i="2"/>
  <c r="M39" i="8"/>
  <c r="K35" s="1"/>
  <c r="Y17" i="7"/>
  <c r="W16" i="10"/>
  <c r="S48" i="11"/>
  <c r="W16" i="6"/>
  <c r="Y17"/>
  <c r="H39" i="5"/>
  <c r="K34" s="1"/>
  <c r="S43" i="6"/>
  <c r="Y17" i="10"/>
  <c r="S17" i="6"/>
  <c r="S40"/>
  <c r="AA20" i="2"/>
  <c r="S40" i="7"/>
  <c r="S19" i="2"/>
  <c r="Y17" i="11"/>
  <c r="M40" i="6"/>
  <c r="M39" s="1"/>
  <c r="K35" s="1"/>
  <c r="M40" i="4"/>
  <c r="M39" s="1"/>
  <c r="K35" s="1"/>
  <c r="S41" i="10"/>
  <c r="S41" i="9"/>
  <c r="S41" i="8"/>
  <c r="S17" i="3"/>
  <c r="Y17" i="8"/>
  <c r="Y17" i="4"/>
  <c r="W17" i="8"/>
  <c r="S46" i="11"/>
  <c r="S17" i="10"/>
  <c r="S42" i="7"/>
  <c r="S44" i="9"/>
  <c r="S42" i="11"/>
  <c r="S42" i="6"/>
  <c r="S17" i="8"/>
  <c r="S44" i="10"/>
  <c r="S43" i="7"/>
  <c r="S43" i="11"/>
  <c r="S44" i="8"/>
  <c r="S42" i="10"/>
  <c r="W17" i="4"/>
  <c r="S43" i="9"/>
  <c r="W17" i="6"/>
  <c r="S46" i="10"/>
  <c r="S41" i="6"/>
  <c r="W17" i="3"/>
  <c r="S43" i="8"/>
  <c r="S42"/>
  <c r="S44" i="11"/>
  <c r="Y17" i="3"/>
  <c r="S41" i="5"/>
  <c r="W17"/>
  <c r="S17" i="4"/>
  <c r="S41" i="11"/>
  <c r="S41" i="4"/>
  <c r="S39" s="1"/>
  <c r="S43" i="10"/>
  <c r="S42" i="5"/>
  <c r="S17"/>
  <c r="S44" i="7"/>
  <c r="W17" i="10"/>
  <c r="H39" i="9" l="1"/>
  <c r="K34" s="1"/>
  <c r="H39" i="6"/>
  <c r="K34" s="1"/>
  <c r="S39" i="7"/>
  <c r="S39" i="5"/>
  <c r="S39" i="11"/>
  <c r="S39" i="10"/>
  <c r="S39" i="8"/>
  <c r="S39" i="6"/>
  <c r="Y33" i="4"/>
  <c r="Y35" s="1"/>
  <c r="Y33" i="6"/>
  <c r="Y35" s="1"/>
  <c r="Y33" i="11"/>
  <c r="Y35" s="1"/>
  <c r="Y33" i="5"/>
  <c r="Y35" s="1"/>
  <c r="Y33" i="10"/>
  <c r="Y35" s="1"/>
  <c r="Y33" i="8"/>
  <c r="Y35" s="1"/>
  <c r="Y33" i="7"/>
  <c r="Y35" s="1"/>
  <c r="Y33" i="9"/>
  <c r="Y35" s="1"/>
  <c r="Y33" i="3"/>
  <c r="Y35" s="1"/>
</calcChain>
</file>

<file path=xl/sharedStrings.xml><?xml version="1.0" encoding="utf-8"?>
<sst xmlns="http://schemas.openxmlformats.org/spreadsheetml/2006/main" count="592" uniqueCount="73">
  <si>
    <t xml:space="preserve"> </t>
  </si>
  <si>
    <t>THIS CHANGE ORDER IS HEREBY ACCEPTED:</t>
  </si>
  <si>
    <t>Contractor:</t>
  </si>
  <si>
    <t xml:space="preserve">Signature                                                              </t>
  </si>
  <si>
    <t>ACCEPTED BY:</t>
  </si>
  <si>
    <t>CONTRACT SUMMARY UPON EXECUTION OF THIS CHANGE ORDER:</t>
  </si>
  <si>
    <t>Previous Additions:</t>
  </si>
  <si>
    <t>Date</t>
  </si>
  <si>
    <t>Project Name:</t>
  </si>
  <si>
    <t>Description of Work:</t>
  </si>
  <si>
    <t>Previous Deductions:</t>
  </si>
  <si>
    <t>Architect/Engineer</t>
  </si>
  <si>
    <t>Reference</t>
  </si>
  <si>
    <t>Item Description</t>
  </si>
  <si>
    <t>RECOMMENDED BY:</t>
  </si>
  <si>
    <t>Typed or Printed Name / Title</t>
  </si>
  <si>
    <t>Previous Contract Completion Date:</t>
  </si>
  <si>
    <t>CO</t>
  </si>
  <si>
    <t>Totals:</t>
  </si>
  <si>
    <t>Previous Contract Total:</t>
  </si>
  <si>
    <t>Total Adjusted Contract Price to date:</t>
  </si>
  <si>
    <t>Original Contract Amount:</t>
  </si>
  <si>
    <t xml:space="preserve">               /</t>
  </si>
  <si>
    <t>Summary of Previous Change Orders</t>
  </si>
  <si>
    <t>Price Additions</t>
  </si>
  <si>
    <t>Price Deductions</t>
  </si>
  <si>
    <t>original date</t>
  </si>
  <si>
    <t>Price Change</t>
  </si>
  <si>
    <t>As a result of this Change Order:</t>
  </si>
  <si>
    <t xml:space="preserve">the Contract Completion Time is  </t>
  </si>
  <si>
    <t xml:space="preserve">and the Total Contract Price is  </t>
  </si>
  <si>
    <t>Net Change:</t>
  </si>
  <si>
    <t>Time</t>
  </si>
  <si>
    <t>Reductions</t>
  </si>
  <si>
    <t>Increases</t>
  </si>
  <si>
    <r>
      <t>*</t>
    </r>
    <r>
      <rPr>
        <sz val="9"/>
        <rFont val="Arial"/>
        <family val="2"/>
      </rPr>
      <t xml:space="preserve"> Time Changes are NOT cumulative; Net Time Change = largest increase + largest decrease.
</t>
    </r>
    <r>
      <rPr>
        <b/>
        <sz val="9"/>
        <rFont val="Arial"/>
        <family val="2"/>
      </rPr>
      <t>**</t>
    </r>
    <r>
      <rPr>
        <sz val="9"/>
        <rFont val="Arial"/>
        <family val="2"/>
      </rPr>
      <t xml:space="preserve"> Value in parenthesis is negative; i.e., (time reduction) or ($ credit)</t>
    </r>
  </si>
  <si>
    <t>Doyon Utilities Project Manager</t>
  </si>
  <si>
    <t>The Contractor hereby accepts the foregoing adjustment as a final and complete equitable adjustment in full accord and satisfaction of all past, present and future liability originating under any Article in the Contract by reason of the facts and circumstances giving rise to this Change Order.  Except as hereby modified, all terms and conditions of said Contract, as heretofore modified, remain unchanged and in full force and effect.</t>
  </si>
  <si>
    <t>The Total Adjusted Contract Price to date and the Adjusted Contract Completion Date are stated in the Contract Summary below.</t>
  </si>
  <si>
    <t>for Doyon Utilities</t>
  </si>
  <si>
    <t>Adjusted Contract Completion Date:</t>
  </si>
  <si>
    <r>
      <t>Cal. Days</t>
    </r>
    <r>
      <rPr>
        <b/>
        <sz val="10"/>
        <rFont val="Arial"/>
        <family val="2"/>
      </rPr>
      <t>**</t>
    </r>
  </si>
  <si>
    <r>
      <t>U.S. Dollars</t>
    </r>
    <r>
      <rPr>
        <b/>
        <sz val="10"/>
        <rFont val="Arial"/>
        <family val="2"/>
      </rPr>
      <t>**</t>
    </r>
  </si>
  <si>
    <r>
      <t>Time Change</t>
    </r>
    <r>
      <rPr>
        <b/>
        <sz val="10"/>
        <rFont val="Arial"/>
        <family val="2"/>
      </rPr>
      <t>*</t>
    </r>
  </si>
  <si>
    <t>The Contractor shall furnish all labor, equipment and materials, and perform all work necessary to complete the work described herein and/or in the document(s) attached hereto.  DO NOT start work under this CO until you receive a fully executed original (signed by Doyon Utilities), or a written Notice to Proceed.</t>
  </si>
  <si>
    <t>Net Time Change (Days)</t>
  </si>
  <si>
    <t>CHANGE ORDER (CO)</t>
  </si>
  <si>
    <t>CO #</t>
  </si>
  <si>
    <t>DU Job #:</t>
  </si>
  <si>
    <t>DU PO #:</t>
  </si>
  <si>
    <t>Original Contract Completion Date:</t>
  </si>
  <si>
    <t>Construction Contract CHANGE ORDER (CO)</t>
  </si>
  <si>
    <t>J101395</t>
  </si>
  <si>
    <t>CP-1 DCVR07</t>
  </si>
  <si>
    <t>Contaminated Soils Removal</t>
  </si>
  <si>
    <t>Contaminated Soils Lab Analysis</t>
  </si>
  <si>
    <t>CP-2</t>
  </si>
  <si>
    <t>CP-3</t>
  </si>
  <si>
    <t>CP-4 DCVR11</t>
  </si>
  <si>
    <t>CP-5 DCVR09</t>
  </si>
  <si>
    <t>CP-6 DCVR15</t>
  </si>
  <si>
    <t>Additional Materials (wrong type of copper spec'ed)</t>
  </si>
  <si>
    <t>R&amp;R Utility Pole</t>
  </si>
  <si>
    <t>CP-7</t>
  </si>
  <si>
    <t>CP-8</t>
  </si>
  <si>
    <t>CP-9B</t>
  </si>
  <si>
    <t>FTW-336A Aircraft Parts Storage</t>
  </si>
  <si>
    <t>TBI Construction</t>
  </si>
  <si>
    <t>Larger Manhole to meet construction Joints</t>
  </si>
  <si>
    <t>Vault G6-9-3 Relocate Sump Discharge to allow sufficient cover</t>
  </si>
  <si>
    <t>6' Additional Perma-Pipe (Replace missing section of Perma-pipe)</t>
  </si>
  <si>
    <t>Additional Heat Trace Vault G6-9-3 (repair existing functionality)</t>
  </si>
  <si>
    <t>Installation of additional instrumentation (design addendum)</t>
  </si>
</sst>
</file>

<file path=xl/styles.xml><?xml version="1.0" encoding="utf-8"?>
<styleSheet xmlns="http://schemas.openxmlformats.org/spreadsheetml/2006/main">
  <numFmts count="6">
    <numFmt numFmtId="8" formatCode="&quot;$&quot;#,##0.00_);[Red]\(&quot;$&quot;#,##0.00\)"/>
    <numFmt numFmtId="164" formatCode="General_)"/>
    <numFmt numFmtId="165" formatCode="&quot;$&quot;#,##0.00"/>
    <numFmt numFmtId="166" formatCode="00"/>
    <numFmt numFmtId="167" formatCode="[$-409]d\-mmm\-yyyy;@"/>
    <numFmt numFmtId="168" formatCode="000000"/>
  </numFmts>
  <fonts count="17">
    <font>
      <sz val="10"/>
      <name val="Helv"/>
    </font>
    <font>
      <sz val="10"/>
      <name val="MS Sans Serif"/>
    </font>
    <font>
      <sz val="10"/>
      <name val="Arial"/>
      <family val="2"/>
    </font>
    <font>
      <sz val="13"/>
      <name val="Arial"/>
      <family val="2"/>
    </font>
    <font>
      <sz val="14"/>
      <name val="Arial"/>
      <family val="2"/>
    </font>
    <font>
      <b/>
      <sz val="14"/>
      <name val="Arial"/>
      <family val="2"/>
    </font>
    <font>
      <sz val="12"/>
      <name val="Arial"/>
      <family val="2"/>
    </font>
    <font>
      <b/>
      <sz val="12"/>
      <name val="Arial"/>
      <family val="2"/>
    </font>
    <font>
      <sz val="10.5"/>
      <name val="Arial"/>
      <family val="2"/>
    </font>
    <font>
      <sz val="11"/>
      <name val="Arial"/>
      <family val="2"/>
    </font>
    <font>
      <u/>
      <sz val="10"/>
      <name val="Arial"/>
      <family val="2"/>
    </font>
    <font>
      <sz val="10"/>
      <color indexed="9"/>
      <name val="Arial"/>
      <family val="2"/>
    </font>
    <font>
      <b/>
      <sz val="11"/>
      <name val="Arial"/>
      <family val="2"/>
    </font>
    <font>
      <b/>
      <sz val="10"/>
      <name val="Arial"/>
      <family val="2"/>
    </font>
    <font>
      <sz val="9"/>
      <name val="Arial"/>
      <family val="2"/>
    </font>
    <font>
      <b/>
      <sz val="9"/>
      <name val="Arial"/>
      <family val="2"/>
    </font>
    <font>
      <b/>
      <sz val="16"/>
      <name val="Arial"/>
      <family val="2"/>
    </font>
  </fonts>
  <fills count="2">
    <fill>
      <patternFill patternType="none"/>
    </fill>
    <fill>
      <patternFill patternType="gray125"/>
    </fill>
  </fills>
  <borders count="39">
    <border>
      <left/>
      <right/>
      <top/>
      <bottom/>
      <diagonal/>
    </border>
    <border>
      <left style="thick">
        <color indexed="64"/>
      </left>
      <right/>
      <top/>
      <bottom/>
      <diagonal/>
    </border>
    <border>
      <left/>
      <right style="thick">
        <color indexed="64"/>
      </right>
      <top/>
      <bottom/>
      <diagonal/>
    </border>
    <border>
      <left/>
      <right/>
      <top/>
      <bottom style="double">
        <color indexed="64"/>
      </bottom>
      <diagonal/>
    </border>
    <border>
      <left/>
      <right style="thick">
        <color indexed="64"/>
      </right>
      <top/>
      <bottom style="double">
        <color indexed="64"/>
      </bottom>
      <diagonal/>
    </border>
    <border>
      <left style="thick">
        <color indexed="64"/>
      </left>
      <right/>
      <top style="double">
        <color indexed="64"/>
      </top>
      <bottom/>
      <diagonal/>
    </border>
    <border>
      <left/>
      <right style="thick">
        <color indexed="64"/>
      </right>
      <top style="double">
        <color indexed="64"/>
      </top>
      <bottom/>
      <diagonal/>
    </border>
    <border>
      <left style="thick">
        <color indexed="64"/>
      </left>
      <right/>
      <top/>
      <bottom style="thin">
        <color indexed="64"/>
      </bottom>
      <diagonal/>
    </border>
    <border>
      <left/>
      <right style="thick">
        <color indexed="64"/>
      </right>
      <top/>
      <bottom style="thin">
        <color indexed="64"/>
      </bottom>
      <diagonal/>
    </border>
    <border>
      <left/>
      <right/>
      <top style="thin">
        <color indexed="64"/>
      </top>
      <bottom/>
      <diagonal/>
    </border>
    <border>
      <left/>
      <right style="thick">
        <color indexed="64"/>
      </right>
      <top style="thin">
        <color indexed="64"/>
      </top>
      <bottom/>
      <diagonal/>
    </border>
    <border>
      <left style="thick">
        <color indexed="64"/>
      </left>
      <right/>
      <top/>
      <bottom style="double">
        <color indexed="64"/>
      </bottom>
      <diagonal/>
    </border>
    <border>
      <left/>
      <right style="double">
        <color indexed="64"/>
      </right>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thick">
        <color indexed="64"/>
      </left>
      <right/>
      <top style="thin">
        <color indexed="64"/>
      </top>
      <bottom style="double">
        <color indexed="64"/>
      </bottom>
      <diagonal/>
    </border>
    <border>
      <left/>
      <right style="thick">
        <color indexed="64"/>
      </right>
      <top style="thin">
        <color indexed="64"/>
      </top>
      <bottom style="double">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double">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indexed="64"/>
      </right>
      <top style="thick">
        <color indexed="64"/>
      </top>
      <bottom style="thin">
        <color indexed="64"/>
      </bottom>
      <diagonal/>
    </border>
    <border>
      <left style="thick">
        <color indexed="64"/>
      </left>
      <right/>
      <top style="thick">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top style="thin">
        <color indexed="64"/>
      </top>
      <bottom/>
      <diagonal/>
    </border>
    <border>
      <left/>
      <right/>
      <top style="thin">
        <color indexed="64"/>
      </top>
      <bottom style="double">
        <color indexed="64"/>
      </bottom>
      <diagonal/>
    </border>
    <border>
      <left/>
      <right/>
      <top style="thin">
        <color indexed="64"/>
      </top>
      <bottom style="hair">
        <color indexed="64"/>
      </bottom>
      <diagonal/>
    </border>
    <border>
      <left/>
      <right/>
      <top style="hair">
        <color indexed="64"/>
      </top>
      <bottom style="thin">
        <color indexed="64"/>
      </bottom>
      <diagonal/>
    </border>
    <border>
      <left/>
      <right/>
      <top/>
      <bottom style="thick">
        <color indexed="64"/>
      </bottom>
      <diagonal/>
    </border>
    <border>
      <left/>
      <right/>
      <top style="thin">
        <color indexed="64"/>
      </top>
      <bottom style="thin">
        <color indexed="64"/>
      </bottom>
      <diagonal/>
    </border>
    <border>
      <left/>
      <right/>
      <top style="double">
        <color indexed="64"/>
      </top>
      <bottom/>
      <diagonal/>
    </border>
    <border>
      <left/>
      <right/>
      <top style="thick">
        <color indexed="64"/>
      </top>
      <bottom style="thin">
        <color indexed="64"/>
      </bottom>
      <diagonal/>
    </border>
    <border>
      <left/>
      <right/>
      <top style="double">
        <color indexed="64"/>
      </top>
      <bottom style="thin">
        <color indexed="64"/>
      </bottom>
      <diagonal/>
    </border>
  </borders>
  <cellStyleXfs count="2">
    <xf numFmtId="164" fontId="0" fillId="0" borderId="0"/>
    <xf numFmtId="8" fontId="1" fillId="0" borderId="0" applyFont="0" applyFill="0" applyBorder="0" applyAlignment="0" applyProtection="0"/>
  </cellStyleXfs>
  <cellXfs count="239">
    <xf numFmtId="164" fontId="0" fillId="0" borderId="0" xfId="0"/>
    <xf numFmtId="164" fontId="3" fillId="0" borderId="0" xfId="0" applyFont="1" applyProtection="1"/>
    <xf numFmtId="164" fontId="2" fillId="0" borderId="0" xfId="0" applyFont="1" applyAlignment="1" applyProtection="1">
      <alignment horizontal="center"/>
    </xf>
    <xf numFmtId="164" fontId="3" fillId="0" borderId="0" xfId="0" applyFont="1" applyAlignment="1" applyProtection="1">
      <alignment vertical="center"/>
    </xf>
    <xf numFmtId="164" fontId="2" fillId="0" borderId="0" xfId="0" applyFont="1" applyAlignment="1" applyProtection="1">
      <alignment horizontal="center" vertical="center"/>
    </xf>
    <xf numFmtId="164" fontId="2" fillId="0" borderId="0" xfId="0" applyFont="1" applyAlignment="1" applyProtection="1">
      <alignment vertical="center"/>
    </xf>
    <xf numFmtId="164" fontId="2" fillId="0" borderId="1" xfId="0" applyFont="1" applyBorder="1" applyAlignment="1" applyProtection="1"/>
    <xf numFmtId="164" fontId="2" fillId="0" borderId="0" xfId="0" applyFont="1" applyAlignment="1" applyProtection="1"/>
    <xf numFmtId="164" fontId="3" fillId="0" borderId="1" xfId="0" applyFont="1" applyBorder="1" applyAlignment="1" applyProtection="1">
      <alignment vertical="center"/>
    </xf>
    <xf numFmtId="164" fontId="3" fillId="0" borderId="2" xfId="0" applyFont="1" applyBorder="1" applyAlignment="1" applyProtection="1">
      <alignment vertical="center"/>
    </xf>
    <xf numFmtId="164" fontId="10" fillId="0" borderId="0" xfId="0" applyFont="1" applyAlignment="1" applyProtection="1">
      <alignment horizontal="center" vertical="center"/>
    </xf>
    <xf numFmtId="164" fontId="6" fillId="0" borderId="1" xfId="0" applyFont="1" applyBorder="1" applyAlignment="1" applyProtection="1">
      <alignment horizontal="center" vertical="center" wrapText="1"/>
    </xf>
    <xf numFmtId="38" fontId="11" fillId="0" borderId="0" xfId="0" applyNumberFormat="1" applyFont="1" applyBorder="1" applyAlignment="1" applyProtection="1">
      <alignment horizontal="left" vertical="center"/>
    </xf>
    <xf numFmtId="164" fontId="2" fillId="0" borderId="2" xfId="0" applyFont="1" applyBorder="1" applyAlignment="1" applyProtection="1">
      <alignment vertical="center"/>
    </xf>
    <xf numFmtId="38" fontId="2" fillId="0" borderId="0" xfId="0" applyNumberFormat="1" applyFont="1" applyBorder="1" applyAlignment="1" applyProtection="1">
      <alignment horizontal="center" vertical="center"/>
    </xf>
    <xf numFmtId="164" fontId="2" fillId="0" borderId="0" xfId="0" applyFont="1" applyBorder="1" applyAlignment="1" applyProtection="1">
      <alignment horizontal="center" vertical="center"/>
    </xf>
    <xf numFmtId="164" fontId="7" fillId="0" borderId="1" xfId="0" applyFont="1" applyBorder="1" applyAlignment="1" applyProtection="1">
      <alignment horizontal="right" vertical="center"/>
    </xf>
    <xf numFmtId="164" fontId="2" fillId="0" borderId="3" xfId="0" applyFont="1" applyBorder="1" applyAlignment="1" applyProtection="1"/>
    <xf numFmtId="164" fontId="2" fillId="0" borderId="4" xfId="0" applyFont="1" applyBorder="1" applyAlignment="1" applyProtection="1">
      <alignment vertical="center"/>
    </xf>
    <xf numFmtId="164" fontId="4" fillId="0" borderId="5" xfId="0" applyFont="1" applyBorder="1" applyAlignment="1" applyProtection="1"/>
    <xf numFmtId="164" fontId="4" fillId="0" borderId="6" xfId="0" applyFont="1" applyBorder="1" applyAlignment="1" applyProtection="1"/>
    <xf numFmtId="164" fontId="4" fillId="0" borderId="0" xfId="0" applyFont="1" applyAlignment="1" applyProtection="1"/>
    <xf numFmtId="164" fontId="3" fillId="0" borderId="1" xfId="0" applyFont="1" applyBorder="1" applyAlignment="1" applyProtection="1"/>
    <xf numFmtId="8" fontId="2" fillId="0" borderId="0" xfId="0" applyNumberFormat="1" applyFont="1" applyBorder="1" applyAlignment="1" applyProtection="1">
      <alignment horizontal="left"/>
    </xf>
    <xf numFmtId="8" fontId="2" fillId="0" borderId="2" xfId="0" applyNumberFormat="1" applyFont="1" applyBorder="1" applyAlignment="1" applyProtection="1">
      <alignment horizontal="left"/>
    </xf>
    <xf numFmtId="8" fontId="2" fillId="0" borderId="0" xfId="0" applyNumberFormat="1" applyFont="1" applyBorder="1" applyAlignment="1" applyProtection="1">
      <alignment horizontal="center"/>
    </xf>
    <xf numFmtId="164" fontId="3" fillId="0" borderId="0" xfId="0" applyFont="1" applyAlignment="1" applyProtection="1"/>
    <xf numFmtId="164" fontId="2" fillId="0" borderId="2" xfId="0" applyFont="1" applyBorder="1" applyAlignment="1" applyProtection="1"/>
    <xf numFmtId="164" fontId="3" fillId="0" borderId="7" xfId="0" applyFont="1" applyBorder="1" applyAlignment="1" applyProtection="1">
      <alignment horizontal="center"/>
    </xf>
    <xf numFmtId="164" fontId="8" fillId="0" borderId="8" xfId="0" applyFont="1" applyBorder="1" applyAlignment="1" applyProtection="1">
      <alignment horizontal="left"/>
    </xf>
    <xf numFmtId="164" fontId="3" fillId="0" borderId="0" xfId="0" applyFont="1" applyAlignment="1" applyProtection="1">
      <alignment horizontal="center"/>
    </xf>
    <xf numFmtId="164" fontId="2" fillId="0" borderId="0" xfId="0" applyFont="1" applyBorder="1" applyAlignment="1" applyProtection="1"/>
    <xf numFmtId="164" fontId="6" fillId="0" borderId="2" xfId="0" applyFont="1" applyBorder="1" applyAlignment="1" applyProtection="1"/>
    <xf numFmtId="164" fontId="3" fillId="0" borderId="0" xfId="0" applyFont="1" applyBorder="1" applyProtection="1"/>
    <xf numFmtId="164" fontId="2" fillId="0" borderId="0" xfId="0" applyFont="1" applyBorder="1" applyAlignment="1" applyProtection="1">
      <alignment horizontal="center"/>
    </xf>
    <xf numFmtId="164" fontId="3" fillId="0" borderId="9" xfId="0" applyFont="1" applyBorder="1" applyProtection="1"/>
    <xf numFmtId="164" fontId="6" fillId="0" borderId="8" xfId="0" applyFont="1" applyBorder="1" applyAlignment="1" applyProtection="1"/>
    <xf numFmtId="164" fontId="6" fillId="0" borderId="10" xfId="0" applyFont="1" applyBorder="1" applyAlignment="1" applyProtection="1"/>
    <xf numFmtId="164" fontId="3" fillId="0" borderId="11" xfId="0" applyFont="1" applyBorder="1" applyAlignment="1" applyProtection="1"/>
    <xf numFmtId="164" fontId="2" fillId="0" borderId="4" xfId="0" applyFont="1" applyBorder="1" applyAlignment="1" applyProtection="1"/>
    <xf numFmtId="164" fontId="2" fillId="0" borderId="0" xfId="0" applyFont="1" applyBorder="1" applyAlignment="1" applyProtection="1">
      <alignment vertical="center"/>
    </xf>
    <xf numFmtId="164" fontId="2" fillId="0" borderId="0" xfId="0" applyFont="1" applyBorder="1" applyAlignment="1" applyProtection="1">
      <alignment horizontal="right" vertical="center"/>
    </xf>
    <xf numFmtId="164" fontId="2" fillId="0" borderId="0" xfId="0" applyFont="1" applyAlignment="1" applyProtection="1">
      <alignment horizontal="center" vertical="top"/>
    </xf>
    <xf numFmtId="164" fontId="3" fillId="0" borderId="0" xfId="0" applyFont="1" applyBorder="1" applyAlignment="1" applyProtection="1">
      <alignment vertical="center"/>
    </xf>
    <xf numFmtId="164" fontId="3" fillId="0" borderId="0" xfId="0" applyFont="1" applyAlignment="1" applyProtection="1">
      <alignment horizontal="left" vertical="center"/>
    </xf>
    <xf numFmtId="164" fontId="4" fillId="0" borderId="0" xfId="0" applyFont="1" applyAlignment="1" applyProtection="1">
      <alignment vertical="center"/>
    </xf>
    <xf numFmtId="165" fontId="3" fillId="0" borderId="0" xfId="0" applyNumberFormat="1" applyFont="1" applyBorder="1" applyAlignment="1" applyProtection="1">
      <alignment vertical="center"/>
    </xf>
    <xf numFmtId="164" fontId="9" fillId="0" borderId="0" xfId="0" applyFont="1" applyBorder="1" applyAlignment="1" applyProtection="1">
      <alignment vertical="center"/>
    </xf>
    <xf numFmtId="164" fontId="9" fillId="0" borderId="0" xfId="0" applyFont="1" applyAlignment="1" applyProtection="1">
      <alignment horizontal="left" vertical="center"/>
    </xf>
    <xf numFmtId="164" fontId="9" fillId="0" borderId="0" xfId="0" applyFont="1" applyAlignment="1" applyProtection="1">
      <alignment vertical="center"/>
    </xf>
    <xf numFmtId="165" fontId="9" fillId="0" borderId="0" xfId="0" applyNumberFormat="1" applyFont="1" applyBorder="1" applyAlignment="1" applyProtection="1">
      <alignment vertical="center"/>
    </xf>
    <xf numFmtId="164" fontId="3" fillId="0" borderId="0" xfId="0" applyFont="1" applyAlignment="1" applyProtection="1">
      <alignment horizontal="left"/>
    </xf>
    <xf numFmtId="164" fontId="4" fillId="0" borderId="0" xfId="0" applyFont="1" applyProtection="1"/>
    <xf numFmtId="165" fontId="3" fillId="0" borderId="0" xfId="0" applyNumberFormat="1" applyFont="1" applyBorder="1" applyProtection="1"/>
    <xf numFmtId="165" fontId="3" fillId="0" borderId="12" xfId="0" applyNumberFormat="1" applyFont="1" applyBorder="1" applyProtection="1"/>
    <xf numFmtId="38" fontId="11" fillId="0" borderId="13" xfId="0" applyNumberFormat="1" applyFont="1" applyBorder="1" applyAlignment="1" applyProtection="1">
      <alignment horizontal="left" vertical="center"/>
    </xf>
    <xf numFmtId="164" fontId="2" fillId="0" borderId="14" xfId="0" applyFont="1" applyBorder="1" applyAlignment="1" applyProtection="1">
      <alignment horizontal="center" vertical="center"/>
    </xf>
    <xf numFmtId="164" fontId="2" fillId="0" borderId="15" xfId="0" applyFont="1" applyBorder="1" applyAlignment="1" applyProtection="1">
      <alignment horizontal="center" vertical="center"/>
    </xf>
    <xf numFmtId="164" fontId="2" fillId="0" borderId="8" xfId="0" applyFont="1" applyBorder="1" applyAlignment="1" applyProtection="1">
      <alignment horizontal="left"/>
    </xf>
    <xf numFmtId="8" fontId="9" fillId="0" borderId="0" xfId="0" applyNumberFormat="1" applyFont="1" applyAlignment="1" applyProtection="1">
      <alignment vertical="center"/>
    </xf>
    <xf numFmtId="8" fontId="9" fillId="0" borderId="0" xfId="0" applyNumberFormat="1" applyFont="1" applyBorder="1" applyAlignment="1" applyProtection="1">
      <alignment vertical="center"/>
    </xf>
    <xf numFmtId="166" fontId="9" fillId="0" borderId="0" xfId="0" applyNumberFormat="1" applyFont="1" applyAlignment="1" applyProtection="1">
      <alignment vertical="center"/>
    </xf>
    <xf numFmtId="164" fontId="9" fillId="0" borderId="0" xfId="0" applyFont="1" applyBorder="1" applyAlignment="1" applyProtection="1">
      <alignment horizontal="center" vertical="center"/>
    </xf>
    <xf numFmtId="8" fontId="2" fillId="0" borderId="0" xfId="0" applyNumberFormat="1" applyFont="1" applyAlignment="1" applyProtection="1">
      <alignment vertical="center"/>
    </xf>
    <xf numFmtId="165" fontId="2" fillId="0" borderId="0" xfId="0" applyNumberFormat="1" applyFont="1" applyBorder="1" applyAlignment="1" applyProtection="1">
      <alignment vertical="center"/>
    </xf>
    <xf numFmtId="164" fontId="2" fillId="0" borderId="0" xfId="0" applyFont="1" applyProtection="1"/>
    <xf numFmtId="165" fontId="2" fillId="0" borderId="0" xfId="0" applyNumberFormat="1" applyFont="1" applyBorder="1" applyProtection="1"/>
    <xf numFmtId="164" fontId="9" fillId="0" borderId="0" xfId="0" applyFont="1" applyAlignment="1" applyProtection="1">
      <alignment horizontal="center" vertical="center"/>
    </xf>
    <xf numFmtId="164" fontId="2" fillId="0" borderId="0" xfId="0" applyFont="1" applyBorder="1" applyAlignment="1" applyProtection="1">
      <alignment horizontal="left"/>
    </xf>
    <xf numFmtId="164" fontId="3" fillId="0" borderId="16" xfId="0" applyFont="1" applyBorder="1" applyProtection="1"/>
    <xf numFmtId="164" fontId="2" fillId="0" borderId="17" xfId="0" applyFont="1" applyBorder="1" applyAlignment="1" applyProtection="1">
      <alignment horizontal="left" vertical="center" wrapText="1"/>
    </xf>
    <xf numFmtId="164" fontId="2" fillId="0" borderId="0" xfId="0" applyFont="1" applyAlignment="1" applyProtection="1">
      <alignment horizontal="left"/>
    </xf>
    <xf numFmtId="165" fontId="2" fillId="0" borderId="0" xfId="0" applyNumberFormat="1" applyFont="1" applyBorder="1" applyAlignment="1" applyProtection="1">
      <alignment vertical="top"/>
    </xf>
    <xf numFmtId="164" fontId="2" fillId="0" borderId="18" xfId="0" applyFont="1" applyBorder="1" applyProtection="1"/>
    <xf numFmtId="164" fontId="2" fillId="0" borderId="18" xfId="0" applyFont="1" applyBorder="1" applyAlignment="1" applyProtection="1">
      <alignment vertical="top"/>
    </xf>
    <xf numFmtId="164" fontId="2" fillId="0" borderId="19" xfId="0" applyFont="1" applyBorder="1" applyAlignment="1" applyProtection="1">
      <alignment vertical="top"/>
    </xf>
    <xf numFmtId="165" fontId="2" fillId="0" borderId="20" xfId="0" applyNumberFormat="1" applyFont="1" applyBorder="1" applyAlignment="1" applyProtection="1">
      <alignment vertical="top"/>
    </xf>
    <xf numFmtId="164" fontId="2" fillId="0" borderId="21" xfId="0" applyFont="1" applyBorder="1" applyAlignment="1" applyProtection="1"/>
    <xf numFmtId="164" fontId="2" fillId="0" borderId="22" xfId="0" applyFont="1" applyBorder="1" applyAlignment="1" applyProtection="1"/>
    <xf numFmtId="164" fontId="2" fillId="0" borderId="23" xfId="0" applyFont="1" applyBorder="1" applyProtection="1"/>
    <xf numFmtId="164" fontId="2" fillId="0" borderId="5" xfId="0" applyFont="1" applyBorder="1" applyAlignment="1" applyProtection="1">
      <alignment vertical="center"/>
    </xf>
    <xf numFmtId="164" fontId="2" fillId="0" borderId="6" xfId="0" applyFont="1" applyBorder="1" applyAlignment="1" applyProtection="1">
      <alignment vertical="center"/>
    </xf>
    <xf numFmtId="164" fontId="2" fillId="0" borderId="1" xfId="0" applyFont="1" applyBorder="1" applyAlignment="1" applyProtection="1">
      <alignment vertical="center"/>
    </xf>
    <xf numFmtId="164" fontId="2" fillId="0" borderId="24" xfId="0" applyFont="1" applyBorder="1" applyAlignment="1" applyProtection="1">
      <alignment vertical="top"/>
    </xf>
    <xf numFmtId="164" fontId="2" fillId="0" borderId="25" xfId="0" applyFont="1" applyBorder="1" applyAlignment="1" applyProtection="1">
      <alignment vertical="top"/>
    </xf>
    <xf numFmtId="164" fontId="2" fillId="0" borderId="0" xfId="0" applyFont="1" applyAlignment="1" applyProtection="1">
      <alignment vertical="top"/>
    </xf>
    <xf numFmtId="164" fontId="13" fillId="0" borderId="0" xfId="0" applyFont="1" applyBorder="1" applyAlignment="1" applyProtection="1">
      <alignment horizontal="left"/>
    </xf>
    <xf numFmtId="38" fontId="11" fillId="0" borderId="0" xfId="0" applyNumberFormat="1" applyFont="1" applyBorder="1" applyAlignment="1" applyProtection="1">
      <alignment horizontal="right" vertical="center"/>
    </xf>
    <xf numFmtId="164" fontId="2" fillId="0" borderId="13" xfId="0" applyFont="1" applyBorder="1" applyAlignment="1" applyProtection="1">
      <alignment horizontal="left" vertical="center"/>
    </xf>
    <xf numFmtId="38" fontId="11" fillId="0" borderId="13" xfId="0" applyNumberFormat="1" applyFont="1" applyBorder="1" applyAlignment="1" applyProtection="1">
      <alignment horizontal="right" vertical="center"/>
    </xf>
    <xf numFmtId="8" fontId="13" fillId="0" borderId="3" xfId="1" applyNumberFormat="1" applyFont="1" applyBorder="1" applyAlignment="1" applyProtection="1">
      <alignment horizontal="right" vertical="center"/>
    </xf>
    <xf numFmtId="8" fontId="12" fillId="0" borderId="0" xfId="0" applyNumberFormat="1" applyFont="1" applyBorder="1" applyAlignment="1" applyProtection="1">
      <alignment horizontal="left"/>
    </xf>
    <xf numFmtId="8" fontId="9" fillId="0" borderId="0" xfId="0" applyNumberFormat="1" applyFont="1" applyBorder="1" applyAlignment="1" applyProtection="1">
      <alignment horizontal="left"/>
    </xf>
    <xf numFmtId="164" fontId="2" fillId="0" borderId="0" xfId="0" applyFont="1" applyAlignment="1" applyProtection="1">
      <alignment horizontal="left" vertical="center"/>
    </xf>
    <xf numFmtId="164" fontId="2" fillId="0" borderId="0" xfId="0" applyFont="1" applyAlignment="1" applyProtection="1">
      <alignment horizontal="right" vertical="center"/>
    </xf>
    <xf numFmtId="40" fontId="2" fillId="0" borderId="0" xfId="0" applyNumberFormat="1" applyFont="1" applyAlignment="1" applyProtection="1">
      <alignment vertical="center"/>
    </xf>
    <xf numFmtId="166" fontId="2" fillId="0" borderId="0" xfId="0" applyNumberFormat="1" applyFont="1" applyAlignment="1" applyProtection="1">
      <alignment horizontal="left" vertical="center"/>
    </xf>
    <xf numFmtId="164" fontId="2" fillId="0" borderId="0" xfId="0" applyFont="1" applyBorder="1" applyProtection="1"/>
    <xf numFmtId="166" fontId="2" fillId="0" borderId="0" xfId="0" applyNumberFormat="1" applyFont="1" applyAlignment="1" applyProtection="1">
      <alignment horizontal="left"/>
    </xf>
    <xf numFmtId="166" fontId="2" fillId="0" borderId="0" xfId="0" applyNumberFormat="1" applyFont="1" applyBorder="1" applyAlignment="1" applyProtection="1">
      <alignment horizontal="left"/>
    </xf>
    <xf numFmtId="164" fontId="4" fillId="0" borderId="26" xfId="0" applyFont="1" applyBorder="1" applyAlignment="1" applyProtection="1"/>
    <xf numFmtId="164" fontId="3" fillId="0" borderId="27" xfId="0" applyFont="1" applyBorder="1" applyProtection="1"/>
    <xf numFmtId="164" fontId="2" fillId="0" borderId="0" xfId="0" applyFont="1" applyAlignment="1" applyProtection="1">
      <alignment vertical="center"/>
    </xf>
    <xf numFmtId="164" fontId="5" fillId="0" borderId="37" xfId="0" applyFont="1" applyBorder="1" applyAlignment="1" applyProtection="1">
      <alignment horizontal="center" vertical="center"/>
    </xf>
    <xf numFmtId="164" fontId="16" fillId="0" borderId="37" xfId="0" applyFont="1" applyBorder="1" applyAlignment="1" applyProtection="1">
      <alignment horizontal="right" vertical="center" wrapText="1"/>
    </xf>
    <xf numFmtId="164" fontId="2" fillId="0" borderId="32" xfId="0" applyFont="1" applyBorder="1" applyAlignment="1" applyProtection="1">
      <alignment horizontal="center" vertical="center" wrapText="1"/>
      <protection locked="0"/>
    </xf>
    <xf numFmtId="164" fontId="2" fillId="0" borderId="30" xfId="0" applyNumberFormat="1" applyFont="1" applyBorder="1" applyAlignment="1" applyProtection="1">
      <alignment horizontal="right" vertical="center" wrapText="1"/>
    </xf>
    <xf numFmtId="164" fontId="2" fillId="0" borderId="9" xfId="0" applyNumberFormat="1" applyFont="1" applyBorder="1" applyAlignment="1" applyProtection="1">
      <alignment horizontal="right" vertical="center" wrapText="1"/>
    </xf>
    <xf numFmtId="164" fontId="2" fillId="0" borderId="1" xfId="0" applyFont="1" applyBorder="1" applyAlignment="1" applyProtection="1">
      <alignment horizontal="right" vertical="center" wrapText="1"/>
    </xf>
    <xf numFmtId="164" fontId="2" fillId="0" borderId="0" xfId="0" applyFont="1" applyBorder="1" applyAlignment="1" applyProtection="1">
      <alignment horizontal="right" vertical="center" wrapText="1"/>
    </xf>
    <xf numFmtId="164" fontId="2" fillId="0" borderId="0" xfId="0" applyFont="1" applyBorder="1" applyAlignment="1" applyProtection="1">
      <alignment horizontal="center"/>
    </xf>
    <xf numFmtId="164" fontId="2" fillId="0" borderId="20" xfId="0" applyFont="1" applyBorder="1" applyAlignment="1" applyProtection="1">
      <alignment horizontal="center" vertical="center"/>
    </xf>
    <xf numFmtId="164" fontId="2" fillId="0" borderId="20" xfId="0" applyFont="1" applyBorder="1" applyAlignment="1" applyProtection="1">
      <alignment vertical="center"/>
    </xf>
    <xf numFmtId="38" fontId="2" fillId="0" borderId="32" xfId="0" applyNumberFormat="1" applyFont="1" applyBorder="1" applyAlignment="1" applyProtection="1">
      <alignment horizontal="center" vertical="center"/>
      <protection locked="0"/>
    </xf>
    <xf numFmtId="164" fontId="2" fillId="0" borderId="0" xfId="0" applyFont="1" applyBorder="1" applyAlignment="1" applyProtection="1">
      <alignment horizontal="center" vertical="top"/>
    </xf>
    <xf numFmtId="164" fontId="2" fillId="0" borderId="0" xfId="0" applyFont="1" applyAlignment="1" applyProtection="1"/>
    <xf numFmtId="164" fontId="2" fillId="0" borderId="13" xfId="0" applyFont="1" applyBorder="1" applyAlignment="1" applyProtection="1">
      <alignment horizontal="left" vertical="center" wrapText="1"/>
      <protection locked="0"/>
    </xf>
    <xf numFmtId="164" fontId="2" fillId="0" borderId="20" xfId="0" applyFont="1" applyBorder="1" applyAlignment="1" applyProtection="1">
      <alignment horizontal="left" vertical="center"/>
    </xf>
    <xf numFmtId="165" fontId="2" fillId="0" borderId="0" xfId="0" applyNumberFormat="1" applyFont="1" applyBorder="1" applyAlignment="1" applyProtection="1">
      <alignment vertical="center"/>
    </xf>
    <xf numFmtId="164" fontId="2" fillId="0" borderId="0" xfId="0" applyFont="1" applyAlignment="1" applyProtection="1">
      <alignment vertical="center"/>
    </xf>
    <xf numFmtId="8" fontId="12" fillId="0" borderId="0" xfId="0" applyNumberFormat="1" applyFont="1" applyBorder="1" applyAlignment="1" applyProtection="1">
      <alignment horizontal="center"/>
    </xf>
    <xf numFmtId="8" fontId="12" fillId="0" borderId="35" xfId="0" applyNumberFormat="1" applyFont="1" applyBorder="1" applyAlignment="1" applyProtection="1">
      <alignment horizontal="center"/>
    </xf>
    <xf numFmtId="164" fontId="9" fillId="0" borderId="35" xfId="0" applyFont="1" applyBorder="1" applyAlignment="1" applyProtection="1"/>
    <xf numFmtId="164" fontId="12" fillId="0" borderId="0" xfId="0" applyFont="1" applyBorder="1" applyAlignment="1" applyProtection="1">
      <alignment horizontal="right"/>
    </xf>
    <xf numFmtId="164" fontId="9" fillId="0" borderId="0" xfId="0" applyFont="1" applyAlignment="1" applyProtection="1"/>
    <xf numFmtId="164" fontId="2" fillId="0" borderId="0" xfId="0" applyNumberFormat="1" applyFont="1" applyBorder="1" applyAlignment="1" applyProtection="1">
      <alignment horizontal="right" vertical="center"/>
    </xf>
    <xf numFmtId="164" fontId="13" fillId="0" borderId="36" xfId="0" applyNumberFormat="1" applyFont="1" applyBorder="1" applyAlignment="1" applyProtection="1">
      <alignment horizontal="center" vertical="center"/>
    </xf>
    <xf numFmtId="164" fontId="2" fillId="0" borderId="36" xfId="0" applyFont="1" applyBorder="1" applyAlignment="1" applyProtection="1">
      <alignment vertical="center"/>
    </xf>
    <xf numFmtId="164" fontId="2" fillId="0" borderId="0" xfId="0" applyNumberFormat="1" applyFont="1" applyBorder="1" applyAlignment="1" applyProtection="1">
      <alignment horizontal="left"/>
    </xf>
    <xf numFmtId="164" fontId="2" fillId="0" borderId="0" xfId="0" applyFont="1" applyBorder="1" applyAlignment="1" applyProtection="1"/>
    <xf numFmtId="164" fontId="2" fillId="0" borderId="20" xfId="0" applyFont="1" applyBorder="1" applyAlignment="1" applyProtection="1">
      <alignment horizontal="center"/>
    </xf>
    <xf numFmtId="164" fontId="2" fillId="0" borderId="20" xfId="0" applyFont="1" applyBorder="1" applyAlignment="1" applyProtection="1"/>
    <xf numFmtId="167" fontId="2" fillId="0" borderId="20" xfId="0" applyNumberFormat="1" applyFont="1" applyBorder="1" applyAlignment="1" applyProtection="1">
      <alignment horizontal="center" vertical="center"/>
      <protection locked="0"/>
    </xf>
    <xf numFmtId="167" fontId="2" fillId="0" borderId="20" xfId="0" applyNumberFormat="1" applyFont="1" applyBorder="1" applyAlignment="1" applyProtection="1">
      <alignment vertical="center"/>
      <protection locked="0"/>
    </xf>
    <xf numFmtId="164" fontId="2" fillId="0" borderId="3" xfId="0" applyNumberFormat="1" applyFont="1" applyBorder="1" applyAlignment="1" applyProtection="1">
      <alignment horizontal="left" vertical="top"/>
    </xf>
    <xf numFmtId="164" fontId="2" fillId="0" borderId="3" xfId="0" applyFont="1" applyBorder="1" applyAlignment="1" applyProtection="1"/>
    <xf numFmtId="167" fontId="13" fillId="0" borderId="20" xfId="0" applyNumberFormat="1" applyFont="1" applyBorder="1" applyAlignment="1" applyProtection="1">
      <alignment horizontal="center" vertical="center"/>
    </xf>
    <xf numFmtId="167" fontId="2" fillId="0" borderId="20" xfId="0" applyNumberFormat="1" applyFont="1" applyBorder="1" applyAlignment="1" applyProtection="1">
      <alignment horizontal="center" vertical="center"/>
    </xf>
    <xf numFmtId="8" fontId="13" fillId="0" borderId="0" xfId="0" applyNumberFormat="1" applyFont="1" applyBorder="1" applyAlignment="1" applyProtection="1">
      <alignment horizontal="right" vertical="center"/>
    </xf>
    <xf numFmtId="164" fontId="2" fillId="0" borderId="0" xfId="0" applyFont="1" applyBorder="1" applyAlignment="1" applyProtection="1">
      <alignment vertical="center"/>
    </xf>
    <xf numFmtId="164" fontId="2" fillId="0" borderId="34" xfId="0" applyNumberFormat="1" applyFont="1" applyBorder="1" applyAlignment="1" applyProtection="1">
      <alignment horizontal="right" vertical="top"/>
    </xf>
    <xf numFmtId="164" fontId="2" fillId="0" borderId="34" xfId="0" applyFont="1" applyBorder="1" applyAlignment="1" applyProtection="1"/>
    <xf numFmtId="8" fontId="2" fillId="0" borderId="9" xfId="0" applyNumberFormat="1" applyFont="1" applyBorder="1" applyAlignment="1" applyProtection="1">
      <alignment horizontal="right"/>
      <protection locked="0"/>
    </xf>
    <xf numFmtId="164" fontId="2" fillId="0" borderId="9" xfId="0" applyFont="1" applyBorder="1" applyAlignment="1" applyProtection="1">
      <alignment horizontal="right"/>
      <protection locked="0"/>
    </xf>
    <xf numFmtId="164" fontId="2" fillId="0" borderId="0" xfId="0" applyNumberFormat="1" applyFont="1" applyBorder="1" applyAlignment="1" applyProtection="1">
      <alignment horizontal="right"/>
    </xf>
    <xf numFmtId="164" fontId="13" fillId="0" borderId="0" xfId="0" applyFont="1" applyBorder="1" applyAlignment="1" applyProtection="1">
      <alignment horizontal="right" vertical="center"/>
    </xf>
    <xf numFmtId="164" fontId="2" fillId="0" borderId="9" xfId="0" applyFont="1" applyBorder="1" applyAlignment="1" applyProtection="1">
      <alignment horizontal="center" vertical="top"/>
    </xf>
    <xf numFmtId="164" fontId="2" fillId="0" borderId="31" xfId="0" applyFont="1" applyBorder="1" applyAlignment="1" applyProtection="1">
      <alignment horizontal="left" vertical="top"/>
    </xf>
    <xf numFmtId="164" fontId="2" fillId="0" borderId="31" xfId="0" applyFont="1" applyBorder="1" applyAlignment="1" applyProtection="1"/>
    <xf numFmtId="38" fontId="12" fillId="0" borderId="36" xfId="0" applyNumberFormat="1" applyFont="1" applyBorder="1" applyAlignment="1" applyProtection="1">
      <alignment horizontal="center"/>
    </xf>
    <xf numFmtId="164" fontId="9" fillId="0" borderId="36" xfId="0" applyFont="1" applyBorder="1" applyAlignment="1" applyProtection="1">
      <alignment horizontal="center"/>
    </xf>
    <xf numFmtId="8" fontId="12" fillId="0" borderId="38" xfId="0" applyNumberFormat="1" applyFont="1" applyBorder="1" applyAlignment="1" applyProtection="1">
      <alignment horizontal="center"/>
    </xf>
    <xf numFmtId="164" fontId="9" fillId="0" borderId="38" xfId="0" applyFont="1" applyBorder="1" applyAlignment="1" applyProtection="1"/>
    <xf numFmtId="164" fontId="12" fillId="0" borderId="36" xfId="0" applyFont="1" applyBorder="1" applyAlignment="1" applyProtection="1">
      <alignment horizontal="right"/>
    </xf>
    <xf numFmtId="164" fontId="9" fillId="0" borderId="36" xfId="0" applyFont="1" applyBorder="1" applyAlignment="1" applyProtection="1">
      <alignment horizontal="right"/>
    </xf>
    <xf numFmtId="164" fontId="9" fillId="0" borderId="36" xfId="0" applyFont="1" applyBorder="1" applyAlignment="1" applyProtection="1"/>
    <xf numFmtId="164" fontId="2" fillId="0" borderId="20" xfId="0" applyNumberFormat="1" applyFont="1" applyBorder="1" applyAlignment="1" applyProtection="1">
      <alignment horizontal="left" vertical="top"/>
    </xf>
    <xf numFmtId="8" fontId="2" fillId="0" borderId="0" xfId="0" applyNumberFormat="1" applyFont="1" applyBorder="1" applyAlignment="1" applyProtection="1">
      <alignment horizontal="right" vertical="center"/>
    </xf>
    <xf numFmtId="164" fontId="2" fillId="0" borderId="0" xfId="0" applyFont="1" applyBorder="1" applyAlignment="1" applyProtection="1">
      <alignment horizontal="right" vertical="center"/>
    </xf>
    <xf numFmtId="38" fontId="13" fillId="0" borderId="31" xfId="0" applyNumberFormat="1" applyFont="1" applyBorder="1" applyAlignment="1" applyProtection="1">
      <alignment horizontal="center" vertical="center"/>
    </xf>
    <xf numFmtId="164" fontId="15" fillId="0" borderId="3" xfId="0" applyFont="1" applyBorder="1" applyAlignment="1" applyProtection="1">
      <alignment horizontal="left" vertical="center" wrapText="1"/>
    </xf>
    <xf numFmtId="164" fontId="14" fillId="0" borderId="3" xfId="0" applyFont="1" applyBorder="1" applyAlignment="1" applyProtection="1">
      <alignment horizontal="left" vertical="center"/>
    </xf>
    <xf numFmtId="164" fontId="14" fillId="0" borderId="3" xfId="0" applyFont="1" applyBorder="1" applyAlignment="1" applyProtection="1">
      <alignment vertical="center"/>
    </xf>
    <xf numFmtId="165" fontId="2" fillId="0" borderId="20" xfId="0" applyNumberFormat="1" applyFont="1" applyBorder="1" applyAlignment="1" applyProtection="1"/>
    <xf numFmtId="164" fontId="13" fillId="0" borderId="3" xfId="0" applyFont="1" applyBorder="1" applyAlignment="1" applyProtection="1">
      <alignment horizontal="right" vertical="center"/>
    </xf>
    <xf numFmtId="164" fontId="2" fillId="0" borderId="0" xfId="0" applyFont="1" applyBorder="1" applyAlignment="1" applyProtection="1">
      <alignment horizontal="left"/>
    </xf>
    <xf numFmtId="164" fontId="2" fillId="0" borderId="0" xfId="0" applyFont="1" applyAlignment="1" applyProtection="1">
      <alignment horizontal="left"/>
    </xf>
    <xf numFmtId="165" fontId="2" fillId="0" borderId="31" xfId="0" applyNumberFormat="1" applyFont="1" applyBorder="1" applyAlignment="1" applyProtection="1">
      <alignment vertical="top"/>
    </xf>
    <xf numFmtId="165" fontId="2" fillId="0" borderId="0" xfId="0" applyNumberFormat="1" applyFont="1" applyBorder="1" applyAlignment="1" applyProtection="1"/>
    <xf numFmtId="164" fontId="2" fillId="0" borderId="9" xfId="0" applyNumberFormat="1" applyFont="1" applyBorder="1" applyAlignment="1" applyProtection="1">
      <alignment horizontal="left"/>
    </xf>
    <xf numFmtId="164" fontId="2" fillId="0" borderId="9" xfId="0" applyFont="1" applyBorder="1" applyAlignment="1" applyProtection="1"/>
    <xf numFmtId="164" fontId="2" fillId="0" borderId="18" xfId="0" applyFont="1" applyBorder="1" applyAlignment="1" applyProtection="1"/>
    <xf numFmtId="8" fontId="12" fillId="0" borderId="36" xfId="0" applyNumberFormat="1" applyFont="1" applyBorder="1" applyAlignment="1" applyProtection="1">
      <alignment horizontal="left"/>
    </xf>
    <xf numFmtId="164" fontId="2" fillId="0" borderId="9" xfId="0" applyFont="1" applyBorder="1" applyAlignment="1" applyProtection="1">
      <alignment horizontal="center"/>
    </xf>
    <xf numFmtId="164" fontId="2" fillId="0" borderId="0" xfId="0" applyNumberFormat="1" applyFont="1" applyBorder="1" applyAlignment="1" applyProtection="1">
      <alignment horizontal="left" vertical="top"/>
    </xf>
    <xf numFmtId="164" fontId="13" fillId="0" borderId="0" xfId="0" applyFont="1" applyBorder="1" applyAlignment="1" applyProtection="1">
      <alignment horizontal="center"/>
    </xf>
    <xf numFmtId="8" fontId="13" fillId="0" borderId="31" xfId="0" applyNumberFormat="1" applyFont="1" applyBorder="1" applyAlignment="1" applyProtection="1">
      <alignment horizontal="right" vertical="center"/>
    </xf>
    <xf numFmtId="8" fontId="13" fillId="0" borderId="34" xfId="1" applyNumberFormat="1" applyFont="1" applyBorder="1" applyAlignment="1" applyProtection="1">
      <alignment horizontal="right" vertical="top"/>
    </xf>
    <xf numFmtId="8" fontId="2" fillId="0" borderId="13" xfId="0" applyNumberFormat="1" applyFont="1" applyBorder="1" applyAlignment="1" applyProtection="1">
      <alignment horizontal="right" vertical="center"/>
      <protection locked="0"/>
    </xf>
    <xf numFmtId="8" fontId="2" fillId="0" borderId="34" xfId="0" applyNumberFormat="1" applyFont="1" applyBorder="1" applyAlignment="1" applyProtection="1">
      <alignment horizontal="right" vertical="top"/>
    </xf>
    <xf numFmtId="164" fontId="2" fillId="0" borderId="34" xfId="0" applyFont="1" applyBorder="1" applyAlignment="1" applyProtection="1">
      <alignment horizontal="right" vertical="top"/>
    </xf>
    <xf numFmtId="164" fontId="13" fillId="0" borderId="34" xfId="0" applyFont="1" applyBorder="1" applyAlignment="1" applyProtection="1">
      <alignment horizontal="right" vertical="top"/>
    </xf>
    <xf numFmtId="164" fontId="2" fillId="0" borderId="34" xfId="0" applyFont="1" applyBorder="1" applyAlignment="1" applyProtection="1">
      <alignment vertical="top"/>
    </xf>
    <xf numFmtId="164" fontId="2" fillId="0" borderId="0" xfId="0" applyFont="1" applyBorder="1" applyAlignment="1" applyProtection="1">
      <alignment horizontal="right"/>
    </xf>
    <xf numFmtId="164" fontId="13" fillId="0" borderId="0" xfId="0" applyNumberFormat="1" applyFont="1" applyBorder="1" applyAlignment="1" applyProtection="1">
      <alignment horizontal="right" vertical="center"/>
    </xf>
    <xf numFmtId="164" fontId="14" fillId="0" borderId="20" xfId="0" applyFont="1" applyBorder="1" applyAlignment="1" applyProtection="1">
      <alignment horizontal="left" vertical="center" wrapText="1"/>
    </xf>
    <xf numFmtId="164" fontId="2" fillId="0" borderId="31" xfId="0" applyFont="1" applyBorder="1" applyAlignment="1" applyProtection="1">
      <alignment vertical="top"/>
    </xf>
    <xf numFmtId="166" fontId="2" fillId="0" borderId="22" xfId="0" applyNumberFormat="1" applyFont="1" applyBorder="1" applyAlignment="1" applyProtection="1">
      <alignment horizontal="right" vertical="center"/>
    </xf>
    <xf numFmtId="166" fontId="2" fillId="0" borderId="9" xfId="0" applyNumberFormat="1" applyFont="1" applyBorder="1" applyAlignment="1" applyProtection="1">
      <alignment horizontal="right" vertical="center"/>
    </xf>
    <xf numFmtId="166" fontId="2" fillId="0" borderId="19" xfId="0" applyNumberFormat="1" applyFont="1" applyBorder="1" applyAlignment="1" applyProtection="1">
      <alignment horizontal="right" vertical="center"/>
    </xf>
    <xf numFmtId="166" fontId="2" fillId="0" borderId="20" xfId="0" applyNumberFormat="1" applyFont="1" applyBorder="1" applyAlignment="1" applyProtection="1">
      <alignment horizontal="right" vertical="center"/>
    </xf>
    <xf numFmtId="164" fontId="13" fillId="0" borderId="9" xfId="0" applyFont="1" applyBorder="1" applyAlignment="1" applyProtection="1">
      <alignment horizontal="left" vertical="center"/>
    </xf>
    <xf numFmtId="168" fontId="13" fillId="0" borderId="20" xfId="0" applyNumberFormat="1" applyFont="1" applyBorder="1" applyAlignment="1" applyProtection="1">
      <alignment horizontal="left" vertical="center"/>
      <protection locked="0"/>
    </xf>
    <xf numFmtId="165" fontId="2" fillId="0" borderId="20" xfId="0" applyNumberFormat="1" applyFont="1" applyBorder="1" applyAlignment="1" applyProtection="1">
      <alignment horizontal="center" vertical="top"/>
    </xf>
    <xf numFmtId="164" fontId="2" fillId="0" borderId="20" xfId="0" applyFont="1" applyBorder="1" applyAlignment="1" applyProtection="1">
      <alignment horizontal="center" vertical="top"/>
    </xf>
    <xf numFmtId="164" fontId="2" fillId="0" borderId="31" xfId="0" applyFont="1" applyBorder="1" applyAlignment="1" applyProtection="1">
      <alignment horizontal="left" vertical="center" wrapText="1"/>
    </xf>
    <xf numFmtId="164" fontId="6" fillId="0" borderId="22" xfId="0" applyFont="1" applyBorder="1" applyAlignment="1" applyProtection="1">
      <alignment horizontal="center" vertical="center"/>
      <protection locked="0"/>
    </xf>
    <xf numFmtId="164" fontId="6" fillId="0" borderId="10" xfId="0" applyFont="1" applyBorder="1" applyAlignment="1" applyProtection="1">
      <alignment horizontal="center" vertical="center"/>
      <protection locked="0"/>
    </xf>
    <xf numFmtId="166" fontId="5" fillId="0" borderId="19" xfId="0" applyNumberFormat="1" applyFont="1" applyBorder="1" applyAlignment="1" applyProtection="1">
      <alignment horizontal="center" vertical="center"/>
      <protection locked="0"/>
    </xf>
    <xf numFmtId="166" fontId="5" fillId="0" borderId="8" xfId="0" applyNumberFormat="1" applyFont="1" applyBorder="1" applyAlignment="1" applyProtection="1">
      <alignment horizontal="center" vertical="center"/>
      <protection locked="0"/>
    </xf>
    <xf numFmtId="164" fontId="13" fillId="0" borderId="9" xfId="0" applyFont="1" applyBorder="1" applyAlignment="1" applyProtection="1">
      <alignment horizontal="left" vertical="center"/>
      <protection locked="0"/>
    </xf>
    <xf numFmtId="164" fontId="13" fillId="0" borderId="28" xfId="0" applyFont="1" applyBorder="1" applyAlignment="1" applyProtection="1">
      <alignment horizontal="left" vertical="center"/>
      <protection locked="0"/>
    </xf>
    <xf numFmtId="164" fontId="13" fillId="0" borderId="20" xfId="0" applyFont="1" applyBorder="1" applyAlignment="1" applyProtection="1">
      <alignment horizontal="left" vertical="center"/>
      <protection locked="0"/>
    </xf>
    <xf numFmtId="164" fontId="13" fillId="0" borderId="29" xfId="0" applyFont="1" applyBorder="1" applyAlignment="1" applyProtection="1">
      <alignment horizontal="left" vertical="center"/>
      <protection locked="0"/>
    </xf>
    <xf numFmtId="167" fontId="2" fillId="0" borderId="20" xfId="0" applyNumberFormat="1" applyFont="1" applyBorder="1" applyAlignment="1" applyProtection="1">
      <alignment vertical="center"/>
    </xf>
    <xf numFmtId="8" fontId="2" fillId="0" borderId="0" xfId="0" applyNumberFormat="1" applyFont="1" applyBorder="1" applyAlignment="1" applyProtection="1">
      <alignment horizontal="right"/>
    </xf>
    <xf numFmtId="164" fontId="6" fillId="0" borderId="22" xfId="0" applyFont="1" applyBorder="1" applyAlignment="1" applyProtection="1">
      <alignment horizontal="center" vertical="center"/>
    </xf>
    <xf numFmtId="164" fontId="6" fillId="0" borderId="10" xfId="0" applyFont="1" applyBorder="1" applyAlignment="1" applyProtection="1">
      <alignment horizontal="center" vertical="center"/>
    </xf>
    <xf numFmtId="166" fontId="5" fillId="0" borderId="19" xfId="0" applyNumberFormat="1" applyFont="1" applyBorder="1" applyAlignment="1" applyProtection="1">
      <alignment horizontal="center" vertical="center"/>
    </xf>
    <xf numFmtId="166" fontId="5" fillId="0" borderId="8" xfId="0" applyNumberFormat="1" applyFont="1" applyBorder="1" applyAlignment="1" applyProtection="1">
      <alignment horizontal="center" vertical="center"/>
    </xf>
    <xf numFmtId="164" fontId="13" fillId="0" borderId="28" xfId="0" applyFont="1" applyBorder="1" applyAlignment="1" applyProtection="1">
      <alignment horizontal="left" vertical="center"/>
    </xf>
    <xf numFmtId="164" fontId="13" fillId="0" borderId="20" xfId="0" applyFont="1" applyBorder="1" applyAlignment="1" applyProtection="1">
      <alignment horizontal="left" vertical="center"/>
    </xf>
    <xf numFmtId="164" fontId="13" fillId="0" borderId="29" xfId="0" applyFont="1" applyBorder="1" applyAlignment="1" applyProtection="1">
      <alignment horizontal="left" vertical="center"/>
    </xf>
    <xf numFmtId="164" fontId="2" fillId="0" borderId="0" xfId="0" applyFont="1" applyBorder="1" applyAlignment="1" applyProtection="1">
      <alignment horizontal="center" vertical="center" wrapText="1"/>
      <protection locked="0"/>
    </xf>
    <xf numFmtId="164" fontId="2" fillId="0" borderId="0" xfId="0" applyFont="1" applyAlignment="1" applyProtection="1">
      <protection locked="0"/>
    </xf>
    <xf numFmtId="164" fontId="2" fillId="0" borderId="33" xfId="0" applyFont="1" applyBorder="1" applyAlignment="1" applyProtection="1">
      <alignment horizontal="left" vertical="center" wrapText="1"/>
      <protection locked="0"/>
    </xf>
    <xf numFmtId="164" fontId="2" fillId="0" borderId="14" xfId="0" applyFont="1" applyBorder="1" applyAlignment="1" applyProtection="1">
      <alignment horizontal="center" vertical="center" wrapText="1"/>
      <protection locked="0"/>
    </xf>
    <xf numFmtId="164" fontId="2" fillId="0" borderId="14" xfId="0" applyFont="1" applyBorder="1" applyAlignment="1" applyProtection="1">
      <protection locked="0"/>
    </xf>
    <xf numFmtId="164" fontId="2" fillId="0" borderId="14" xfId="0" applyFont="1" applyBorder="1" applyAlignment="1" applyProtection="1">
      <alignment horizontal="left" vertical="center" wrapText="1"/>
      <protection locked="0"/>
    </xf>
    <xf numFmtId="8" fontId="2" fillId="0" borderId="0" xfId="0" applyNumberFormat="1" applyFont="1" applyBorder="1" applyAlignment="1" applyProtection="1">
      <alignment vertical="center"/>
    </xf>
    <xf numFmtId="164" fontId="13" fillId="0" borderId="3" xfId="0" applyFont="1" applyBorder="1" applyAlignment="1" applyProtection="1">
      <alignment horizontal="center" vertical="center"/>
    </xf>
    <xf numFmtId="164" fontId="2" fillId="0" borderId="3" xfId="0" applyFont="1" applyBorder="1" applyAlignment="1" applyProtection="1">
      <alignment vertical="center"/>
    </xf>
    <xf numFmtId="8" fontId="13" fillId="0" borderId="3" xfId="0" applyNumberFormat="1" applyFont="1" applyBorder="1" applyAlignment="1" applyProtection="1">
      <alignment vertical="center"/>
    </xf>
    <xf numFmtId="8" fontId="2" fillId="0" borderId="3" xfId="0" applyNumberFormat="1" applyFont="1" applyBorder="1" applyAlignment="1" applyProtection="1">
      <alignment vertical="center"/>
    </xf>
    <xf numFmtId="164" fontId="2" fillId="0" borderId="0" xfId="0" applyFont="1" applyBorder="1" applyAlignment="1" applyProtection="1">
      <alignment horizontal="center" vertical="center"/>
    </xf>
    <xf numFmtId="164" fontId="2" fillId="0" borderId="35" xfId="0" applyFont="1" applyBorder="1" applyAlignment="1" applyProtection="1">
      <alignment horizontal="center" vertical="center"/>
    </xf>
    <xf numFmtId="166" fontId="13" fillId="0" borderId="0" xfId="0" applyNumberFormat="1" applyFont="1" applyAlignment="1" applyProtection="1">
      <alignment horizontal="right" vertical="center"/>
    </xf>
    <xf numFmtId="164" fontId="2" fillId="0" borderId="0" xfId="0" applyFont="1" applyAlignment="1" applyProtection="1">
      <alignment horizontal="right" vertical="center"/>
    </xf>
    <xf numFmtId="164" fontId="10" fillId="0" borderId="0" xfId="0" applyFont="1" applyBorder="1" applyAlignment="1" applyProtection="1">
      <alignment horizontal="center" vertical="center"/>
    </xf>
    <xf numFmtId="38" fontId="2" fillId="0" borderId="33" xfId="0" applyNumberFormat="1" applyFont="1" applyBorder="1" applyAlignment="1" applyProtection="1">
      <alignment horizontal="center" vertical="center"/>
      <protection locked="0"/>
    </xf>
    <xf numFmtId="8" fontId="2" fillId="0" borderId="20" xfId="0" applyNumberFormat="1" applyFont="1" applyBorder="1" applyAlignment="1" applyProtection="1">
      <alignment horizontal="right" vertical="center"/>
      <protection locked="0"/>
    </xf>
    <xf numFmtId="38" fontId="2" fillId="0" borderId="14" xfId="0" applyNumberFormat="1" applyFont="1" applyBorder="1" applyAlignment="1" applyProtection="1">
      <alignment horizontal="center" vertical="center"/>
      <protection locked="0"/>
    </xf>
    <xf numFmtId="8" fontId="2" fillId="0" borderId="0" xfId="0" applyNumberFormat="1" applyFont="1" applyAlignment="1" applyProtection="1">
      <alignment vertical="center"/>
    </xf>
    <xf numFmtId="8" fontId="9" fillId="0" borderId="0" xfId="0" applyNumberFormat="1" applyFont="1" applyAlignment="1" applyProtection="1">
      <alignment vertical="center"/>
    </xf>
    <xf numFmtId="164" fontId="2" fillId="0" borderId="33" xfId="0" applyFont="1" applyBorder="1" applyAlignment="1" applyProtection="1">
      <alignment horizontal="center" vertical="center" wrapText="1"/>
      <protection locked="0"/>
    </xf>
    <xf numFmtId="164" fontId="2" fillId="0" borderId="33" xfId="0" applyFont="1" applyBorder="1" applyAlignment="1" applyProtection="1">
      <protection locked="0"/>
    </xf>
    <xf numFmtId="164" fontId="2" fillId="0" borderId="0" xfId="0" applyFont="1" applyAlignment="1" applyProtection="1">
      <alignment horizontal="center" vertical="center"/>
    </xf>
    <xf numFmtId="8" fontId="2" fillId="0" borderId="0" xfId="0" applyNumberFormat="1" applyFont="1" applyAlignment="1" applyProtection="1">
      <alignment horizontal="right" vertical="center"/>
    </xf>
    <xf numFmtId="8" fontId="9" fillId="0" borderId="0" xfId="0" applyNumberFormat="1" applyFont="1" applyBorder="1" applyAlignment="1" applyProtection="1">
      <alignment vertical="center"/>
    </xf>
  </cellXfs>
  <cellStyles count="2">
    <cellStyle name="Currency" xfId="1" builtinId="4"/>
    <cellStyle name="Normal" xfId="0" builtinId="0"/>
  </cellStyles>
  <dxfs count="90">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39"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2059"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twoCellAnchor>
    <xdr:from>
      <xdr:col>1</xdr:col>
      <xdr:colOff>47625</xdr:colOff>
      <xdr:row>0</xdr:row>
      <xdr:rowOff>28575</xdr:rowOff>
    </xdr:from>
    <xdr:to>
      <xdr:col>5</xdr:col>
      <xdr:colOff>66675</xdr:colOff>
      <xdr:row>0</xdr:row>
      <xdr:rowOff>419100</xdr:rowOff>
    </xdr:to>
    <xdr:pic>
      <xdr:nvPicPr>
        <xdr:cNvPr id="2060"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308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410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513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6154"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7178"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820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922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25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syncVertical="1" syncRef="B1" transitionEvaluation="1"/>
  <dimension ref="A1:AL261"/>
  <sheetViews>
    <sheetView showGridLines="0" tabSelected="1" topLeftCell="B1" zoomScale="130" zoomScaleNormal="130" workbookViewId="0">
      <selection activeCell="F16" sqref="F16:U16"/>
    </sheetView>
  </sheetViews>
  <sheetFormatPr defaultColWidth="9.7109375" defaultRowHeight="18"/>
  <cols>
    <col min="1" max="1" width="1.42578125" style="33" customWidth="1"/>
    <col min="2" max="2" width="2.7109375" style="33" customWidth="1"/>
    <col min="3" max="3" width="2.7109375" style="51" customWidth="1"/>
    <col min="4" max="4" width="8.42578125" style="1" customWidth="1"/>
    <col min="5" max="5" width="1.7109375" style="1" customWidth="1"/>
    <col min="6" max="6" width="4.28515625" style="52" customWidth="1"/>
    <col min="7" max="15" width="4.28515625" style="1" customWidth="1"/>
    <col min="16" max="16" width="4.28515625" style="54" customWidth="1"/>
    <col min="17" max="19" width="4.2851562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4" t="s">
        <v>51</v>
      </c>
      <c r="H1" s="104"/>
      <c r="I1" s="104"/>
      <c r="J1" s="104"/>
      <c r="K1" s="104"/>
      <c r="L1" s="104"/>
      <c r="M1" s="104"/>
      <c r="N1" s="104"/>
      <c r="O1" s="104"/>
      <c r="P1" s="104"/>
      <c r="Q1" s="104"/>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200" t="s">
        <v>66</v>
      </c>
      <c r="G2" s="200"/>
      <c r="H2" s="200"/>
      <c r="I2" s="200"/>
      <c r="J2" s="200"/>
      <c r="K2" s="200"/>
      <c r="L2" s="200"/>
      <c r="M2" s="200"/>
      <c r="N2" s="200"/>
      <c r="O2" s="200"/>
      <c r="P2" s="200"/>
      <c r="Q2" s="200"/>
      <c r="R2" s="200"/>
      <c r="S2" s="200"/>
      <c r="T2" s="200"/>
      <c r="U2" s="200"/>
      <c r="V2" s="201"/>
      <c r="W2" s="187" t="s">
        <v>48</v>
      </c>
      <c r="X2" s="188"/>
      <c r="Y2" s="188"/>
      <c r="Z2" s="191" t="s">
        <v>52</v>
      </c>
      <c r="AA2" s="191"/>
      <c r="AB2" s="196" t="s">
        <v>47</v>
      </c>
      <c r="AC2" s="197"/>
      <c r="AE2" s="4"/>
      <c r="AF2" s="4"/>
    </row>
    <row r="3" spans="1:32" s="3" customFormat="1" ht="20.100000000000001" customHeight="1">
      <c r="A3" s="108" t="s">
        <v>2</v>
      </c>
      <c r="B3" s="109"/>
      <c r="C3" s="109"/>
      <c r="D3" s="109"/>
      <c r="E3" s="109"/>
      <c r="F3" s="202" t="s">
        <v>67</v>
      </c>
      <c r="G3" s="202"/>
      <c r="H3" s="202"/>
      <c r="I3" s="202"/>
      <c r="J3" s="202"/>
      <c r="K3" s="202"/>
      <c r="L3" s="202"/>
      <c r="M3" s="202"/>
      <c r="N3" s="202"/>
      <c r="O3" s="202"/>
      <c r="P3" s="202"/>
      <c r="Q3" s="202"/>
      <c r="R3" s="202"/>
      <c r="S3" s="202"/>
      <c r="T3" s="202"/>
      <c r="U3" s="202"/>
      <c r="V3" s="203"/>
      <c r="W3" s="189" t="s">
        <v>49</v>
      </c>
      <c r="X3" s="190"/>
      <c r="Y3" s="190"/>
      <c r="Z3" s="192">
        <v>103909</v>
      </c>
      <c r="AA3" s="192"/>
      <c r="AB3" s="198">
        <v>1</v>
      </c>
      <c r="AC3" s="19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13.5" customHeight="1">
      <c r="A7" s="11"/>
      <c r="B7" s="105" t="s">
        <v>53</v>
      </c>
      <c r="C7" s="105"/>
      <c r="D7" s="105"/>
      <c r="E7" s="88"/>
      <c r="F7" s="116" t="s">
        <v>68</v>
      </c>
      <c r="G7" s="116"/>
      <c r="H7" s="116"/>
      <c r="I7" s="116"/>
      <c r="J7" s="116"/>
      <c r="K7" s="116"/>
      <c r="L7" s="116"/>
      <c r="M7" s="116"/>
      <c r="N7" s="116"/>
      <c r="O7" s="116"/>
      <c r="P7" s="116"/>
      <c r="Q7" s="116"/>
      <c r="R7" s="116"/>
      <c r="S7" s="116"/>
      <c r="T7" s="116"/>
      <c r="U7" s="116"/>
      <c r="V7" s="5"/>
      <c r="W7" s="113">
        <v>2</v>
      </c>
      <c r="X7" s="113"/>
      <c r="Y7" s="5"/>
      <c r="Z7" s="178">
        <v>10393</v>
      </c>
      <c r="AA7" s="178"/>
      <c r="AB7" s="178"/>
      <c r="AC7" s="13"/>
      <c r="AE7" s="14">
        <f t="shared" ref="AE7:AE17" si="0">IF(W7&lt;0,W7,0)</f>
        <v>0</v>
      </c>
      <c r="AF7" s="14">
        <f t="shared" ref="AF7:AF17" si="1">IF(W7&gt;0,W7,0)</f>
        <v>2</v>
      </c>
    </row>
    <row r="8" spans="1:32" s="3" customFormat="1" ht="13.5" customHeight="1">
      <c r="A8" s="11"/>
      <c r="B8" s="105" t="s">
        <v>56</v>
      </c>
      <c r="C8" s="105"/>
      <c r="D8" s="105"/>
      <c r="E8" s="88"/>
      <c r="F8" s="116" t="s">
        <v>54</v>
      </c>
      <c r="G8" s="116"/>
      <c r="H8" s="116"/>
      <c r="I8" s="116"/>
      <c r="J8" s="116"/>
      <c r="K8" s="116"/>
      <c r="L8" s="116"/>
      <c r="M8" s="116"/>
      <c r="N8" s="116"/>
      <c r="O8" s="116"/>
      <c r="P8" s="116"/>
      <c r="Q8" s="116"/>
      <c r="R8" s="116"/>
      <c r="S8" s="116"/>
      <c r="T8" s="116"/>
      <c r="U8" s="116"/>
      <c r="V8" s="102"/>
      <c r="W8" s="113">
        <v>2</v>
      </c>
      <c r="X8" s="113"/>
      <c r="Y8" s="102"/>
      <c r="Z8" s="178">
        <v>11742</v>
      </c>
      <c r="AA8" s="178"/>
      <c r="AB8" s="178"/>
      <c r="AC8" s="13"/>
      <c r="AE8" s="14">
        <f t="shared" si="0"/>
        <v>0</v>
      </c>
      <c r="AF8" s="14">
        <f t="shared" si="1"/>
        <v>2</v>
      </c>
    </row>
    <row r="9" spans="1:32" s="3" customFormat="1" ht="13.5" customHeight="1">
      <c r="A9" s="11"/>
      <c r="B9" s="105" t="s">
        <v>57</v>
      </c>
      <c r="C9" s="105"/>
      <c r="D9" s="105"/>
      <c r="E9" s="88"/>
      <c r="F9" s="116" t="s">
        <v>55</v>
      </c>
      <c r="G9" s="116"/>
      <c r="H9" s="116"/>
      <c r="I9" s="116"/>
      <c r="J9" s="116"/>
      <c r="K9" s="116"/>
      <c r="L9" s="116"/>
      <c r="M9" s="116"/>
      <c r="N9" s="116"/>
      <c r="O9" s="116"/>
      <c r="P9" s="116"/>
      <c r="Q9" s="116"/>
      <c r="R9" s="116"/>
      <c r="S9" s="116"/>
      <c r="T9" s="116"/>
      <c r="U9" s="116"/>
      <c r="V9" s="102"/>
      <c r="W9" s="113">
        <v>7</v>
      </c>
      <c r="X9" s="113"/>
      <c r="Y9" s="102"/>
      <c r="Z9" s="178">
        <v>16611</v>
      </c>
      <c r="AA9" s="178"/>
      <c r="AB9" s="178"/>
      <c r="AC9" s="13"/>
      <c r="AE9" s="14">
        <f t="shared" si="0"/>
        <v>0</v>
      </c>
      <c r="AF9" s="14">
        <f t="shared" si="1"/>
        <v>7</v>
      </c>
    </row>
    <row r="10" spans="1:32" s="3" customFormat="1" ht="13.5" customHeight="1">
      <c r="A10" s="11"/>
      <c r="B10" s="105" t="s">
        <v>58</v>
      </c>
      <c r="C10" s="105"/>
      <c r="D10" s="105"/>
      <c r="E10" s="88"/>
      <c r="F10" s="116" t="s">
        <v>69</v>
      </c>
      <c r="G10" s="116"/>
      <c r="H10" s="116"/>
      <c r="I10" s="116"/>
      <c r="J10" s="116"/>
      <c r="K10" s="116"/>
      <c r="L10" s="116"/>
      <c r="M10" s="116"/>
      <c r="N10" s="116"/>
      <c r="O10" s="116"/>
      <c r="P10" s="116"/>
      <c r="Q10" s="116"/>
      <c r="R10" s="116"/>
      <c r="S10" s="116"/>
      <c r="T10" s="116"/>
      <c r="U10" s="116"/>
      <c r="V10" s="102"/>
      <c r="W10" s="113">
        <v>2</v>
      </c>
      <c r="X10" s="113"/>
      <c r="Y10" s="102"/>
      <c r="Z10" s="178">
        <v>9295</v>
      </c>
      <c r="AA10" s="178"/>
      <c r="AB10" s="178"/>
      <c r="AC10" s="13"/>
      <c r="AE10" s="14">
        <f t="shared" si="0"/>
        <v>0</v>
      </c>
      <c r="AF10" s="14">
        <f t="shared" si="1"/>
        <v>2</v>
      </c>
    </row>
    <row r="11" spans="1:32" s="3" customFormat="1" ht="13.5" customHeight="1">
      <c r="A11" s="11"/>
      <c r="B11" s="105" t="s">
        <v>59</v>
      </c>
      <c r="C11" s="105"/>
      <c r="D11" s="105"/>
      <c r="E11" s="88"/>
      <c r="F11" s="116" t="s">
        <v>70</v>
      </c>
      <c r="G11" s="116"/>
      <c r="H11" s="116"/>
      <c r="I11" s="116"/>
      <c r="J11" s="116"/>
      <c r="K11" s="116"/>
      <c r="L11" s="116"/>
      <c r="M11" s="116"/>
      <c r="N11" s="116"/>
      <c r="O11" s="116"/>
      <c r="P11" s="116"/>
      <c r="Q11" s="116"/>
      <c r="R11" s="116"/>
      <c r="S11" s="116"/>
      <c r="T11" s="116"/>
      <c r="U11" s="116"/>
      <c r="V11" s="102"/>
      <c r="W11" s="113">
        <v>2</v>
      </c>
      <c r="X11" s="113"/>
      <c r="Y11" s="102"/>
      <c r="Z11" s="178">
        <v>4556</v>
      </c>
      <c r="AA11" s="178"/>
      <c r="AB11" s="178"/>
      <c r="AC11" s="13"/>
      <c r="AE11" s="14">
        <f t="shared" si="0"/>
        <v>0</v>
      </c>
      <c r="AF11" s="14">
        <f t="shared" si="1"/>
        <v>2</v>
      </c>
    </row>
    <row r="12" spans="1:32" s="3" customFormat="1" ht="13.5" customHeight="1">
      <c r="A12" s="11"/>
      <c r="B12" s="105" t="s">
        <v>60</v>
      </c>
      <c r="C12" s="105"/>
      <c r="D12" s="105"/>
      <c r="E12" s="88"/>
      <c r="F12" s="116" t="s">
        <v>61</v>
      </c>
      <c r="G12" s="116"/>
      <c r="H12" s="116"/>
      <c r="I12" s="116"/>
      <c r="J12" s="116"/>
      <c r="K12" s="116"/>
      <c r="L12" s="116"/>
      <c r="M12" s="116"/>
      <c r="N12" s="116"/>
      <c r="O12" s="116"/>
      <c r="P12" s="116"/>
      <c r="Q12" s="116"/>
      <c r="R12" s="116"/>
      <c r="S12" s="116"/>
      <c r="T12" s="116"/>
      <c r="U12" s="116"/>
      <c r="V12" s="102"/>
      <c r="W12" s="113">
        <v>3</v>
      </c>
      <c r="X12" s="113"/>
      <c r="Y12" s="102"/>
      <c r="Z12" s="178">
        <v>11432</v>
      </c>
      <c r="AA12" s="178"/>
      <c r="AB12" s="178"/>
      <c r="AC12" s="13"/>
      <c r="AE12" s="14">
        <f t="shared" si="0"/>
        <v>0</v>
      </c>
      <c r="AF12" s="14">
        <f t="shared" si="1"/>
        <v>3</v>
      </c>
    </row>
    <row r="13" spans="1:32" s="3" customFormat="1" ht="13.5" customHeight="1">
      <c r="A13" s="11"/>
      <c r="B13" s="105" t="s">
        <v>63</v>
      </c>
      <c r="C13" s="105"/>
      <c r="D13" s="105"/>
      <c r="E13" s="88"/>
      <c r="F13" s="116" t="s">
        <v>62</v>
      </c>
      <c r="G13" s="116"/>
      <c r="H13" s="116"/>
      <c r="I13" s="116"/>
      <c r="J13" s="116"/>
      <c r="K13" s="116"/>
      <c r="L13" s="116"/>
      <c r="M13" s="116"/>
      <c r="N13" s="116"/>
      <c r="O13" s="116"/>
      <c r="P13" s="116"/>
      <c r="Q13" s="116"/>
      <c r="R13" s="116"/>
      <c r="S13" s="116"/>
      <c r="T13" s="116"/>
      <c r="U13" s="116"/>
      <c r="V13" s="102"/>
      <c r="W13" s="113">
        <v>2</v>
      </c>
      <c r="X13" s="113"/>
      <c r="Y13" s="102"/>
      <c r="Z13" s="178">
        <v>15106</v>
      </c>
      <c r="AA13" s="178"/>
      <c r="AB13" s="178"/>
      <c r="AC13" s="13"/>
      <c r="AE13" s="14">
        <f t="shared" si="0"/>
        <v>0</v>
      </c>
      <c r="AF13" s="14">
        <f t="shared" si="1"/>
        <v>2</v>
      </c>
    </row>
    <row r="14" spans="1:32" s="3" customFormat="1" ht="13.5" customHeight="1">
      <c r="A14" s="11"/>
      <c r="B14" s="105" t="s">
        <v>64</v>
      </c>
      <c r="C14" s="105"/>
      <c r="D14" s="105"/>
      <c r="E14" s="88"/>
      <c r="F14" s="116" t="s">
        <v>71</v>
      </c>
      <c r="G14" s="116"/>
      <c r="H14" s="116"/>
      <c r="I14" s="116"/>
      <c r="J14" s="116"/>
      <c r="K14" s="116"/>
      <c r="L14" s="116"/>
      <c r="M14" s="116"/>
      <c r="N14" s="116"/>
      <c r="O14" s="116"/>
      <c r="P14" s="116"/>
      <c r="Q14" s="116"/>
      <c r="R14" s="116"/>
      <c r="S14" s="116"/>
      <c r="T14" s="116"/>
      <c r="U14" s="116"/>
      <c r="V14" s="102"/>
      <c r="W14" s="113">
        <v>1</v>
      </c>
      <c r="X14" s="113"/>
      <c r="Y14" s="102"/>
      <c r="Z14" s="178">
        <v>10331</v>
      </c>
      <c r="AA14" s="178"/>
      <c r="AB14" s="178"/>
      <c r="AC14" s="13"/>
      <c r="AE14" s="14">
        <f t="shared" si="0"/>
        <v>0</v>
      </c>
      <c r="AF14" s="14">
        <f t="shared" si="1"/>
        <v>1</v>
      </c>
    </row>
    <row r="15" spans="1:32" s="3" customFormat="1" ht="13.5" customHeight="1">
      <c r="A15" s="11"/>
      <c r="B15" s="105" t="s">
        <v>65</v>
      </c>
      <c r="C15" s="105"/>
      <c r="D15" s="105"/>
      <c r="E15" s="88"/>
      <c r="F15" s="116" t="s">
        <v>72</v>
      </c>
      <c r="G15" s="116"/>
      <c r="H15" s="116"/>
      <c r="I15" s="116"/>
      <c r="J15" s="116"/>
      <c r="K15" s="116"/>
      <c r="L15" s="116"/>
      <c r="M15" s="116"/>
      <c r="N15" s="116"/>
      <c r="O15" s="116"/>
      <c r="P15" s="116"/>
      <c r="Q15" s="116"/>
      <c r="R15" s="116"/>
      <c r="S15" s="116"/>
      <c r="T15" s="116"/>
      <c r="U15" s="116"/>
      <c r="V15" s="102"/>
      <c r="W15" s="113">
        <v>6</v>
      </c>
      <c r="X15" s="113"/>
      <c r="Y15" s="102"/>
      <c r="Z15" s="178">
        <v>5560</v>
      </c>
      <c r="AA15" s="178"/>
      <c r="AB15" s="178"/>
      <c r="AC15" s="13"/>
      <c r="AE15" s="14">
        <f t="shared" si="0"/>
        <v>0</v>
      </c>
      <c r="AF15" s="14">
        <f t="shared" si="1"/>
        <v>6</v>
      </c>
    </row>
    <row r="16" spans="1:32" s="3" customFormat="1" ht="13.5" customHeight="1">
      <c r="A16" s="11"/>
      <c r="B16" s="105"/>
      <c r="C16" s="105"/>
      <c r="D16" s="105"/>
      <c r="E16" s="88"/>
      <c r="F16" s="116"/>
      <c r="G16" s="116"/>
      <c r="H16" s="116"/>
      <c r="I16" s="116"/>
      <c r="J16" s="116"/>
      <c r="K16" s="116"/>
      <c r="L16" s="116"/>
      <c r="M16" s="116"/>
      <c r="N16" s="116"/>
      <c r="O16" s="116"/>
      <c r="P16" s="116"/>
      <c r="Q16" s="116"/>
      <c r="R16" s="116"/>
      <c r="S16" s="116"/>
      <c r="T16" s="116"/>
      <c r="U16" s="116"/>
      <c r="V16" s="102"/>
      <c r="W16" s="113"/>
      <c r="X16" s="113"/>
      <c r="Y16" s="102"/>
      <c r="Z16" s="178"/>
      <c r="AA16" s="178"/>
      <c r="AB16" s="178"/>
      <c r="AC16" s="13"/>
      <c r="AE16" s="14">
        <f t="shared" si="0"/>
        <v>0</v>
      </c>
      <c r="AF16" s="14">
        <f t="shared" si="1"/>
        <v>0</v>
      </c>
    </row>
    <row r="17" spans="1:38" s="3" customFormat="1" ht="13.5" customHeight="1">
      <c r="A17" s="11"/>
      <c r="B17" s="105"/>
      <c r="C17" s="105"/>
      <c r="D17" s="105"/>
      <c r="E17" s="88"/>
      <c r="F17" s="116"/>
      <c r="G17" s="116"/>
      <c r="H17" s="116"/>
      <c r="I17" s="116"/>
      <c r="J17" s="116"/>
      <c r="K17" s="116"/>
      <c r="L17" s="116"/>
      <c r="M17" s="116"/>
      <c r="N17" s="116"/>
      <c r="O17" s="116"/>
      <c r="P17" s="116"/>
      <c r="Q17" s="116"/>
      <c r="R17" s="116"/>
      <c r="S17" s="116"/>
      <c r="T17" s="116"/>
      <c r="U17" s="116"/>
      <c r="V17" s="102"/>
      <c r="W17" s="113"/>
      <c r="X17" s="113"/>
      <c r="Y17" s="102"/>
      <c r="Z17" s="178"/>
      <c r="AA17" s="178"/>
      <c r="AB17" s="178"/>
      <c r="AC17" s="13"/>
      <c r="AE17" s="14">
        <f t="shared" si="0"/>
        <v>0</v>
      </c>
      <c r="AF17" s="14">
        <f t="shared" si="1"/>
        <v>0</v>
      </c>
    </row>
    <row r="18" spans="1:38" s="3" customFormat="1" ht="38.25" customHeight="1" thickBot="1">
      <c r="A18" s="16"/>
      <c r="B18" s="160" t="s">
        <v>35</v>
      </c>
      <c r="C18" s="161"/>
      <c r="D18" s="161"/>
      <c r="E18" s="161"/>
      <c r="F18" s="161"/>
      <c r="G18" s="161"/>
      <c r="H18" s="161"/>
      <c r="I18" s="161"/>
      <c r="J18" s="161"/>
      <c r="K18" s="161"/>
      <c r="L18" s="161"/>
      <c r="M18" s="161"/>
      <c r="N18" s="161"/>
      <c r="O18" s="161"/>
      <c r="P18" s="161"/>
      <c r="Q18" s="162"/>
      <c r="R18" s="162"/>
      <c r="S18" s="164" t="s">
        <v>31</v>
      </c>
      <c r="T18" s="135"/>
      <c r="U18" s="135"/>
      <c r="V18" s="135"/>
      <c r="W18" s="159">
        <f>MIN(AE7:AE17)+MAX(AF7:AF17)</f>
        <v>7</v>
      </c>
      <c r="X18" s="159"/>
      <c r="Y18" s="90"/>
      <c r="Z18" s="176">
        <f>SUM(Z7:AB17)</f>
        <v>95026</v>
      </c>
      <c r="AA18" s="176"/>
      <c r="AB18" s="176"/>
      <c r="AC18" s="18"/>
      <c r="AE18" s="4"/>
      <c r="AF18" s="4"/>
    </row>
    <row r="19" spans="1:38" s="21" customFormat="1" ht="21.95" customHeight="1" thickTop="1">
      <c r="A19" s="19"/>
      <c r="B19" s="153" t="s">
        <v>28</v>
      </c>
      <c r="C19" s="154"/>
      <c r="D19" s="154"/>
      <c r="E19" s="154"/>
      <c r="F19" s="154"/>
      <c r="G19" s="154"/>
      <c r="H19" s="154"/>
      <c r="I19" s="154"/>
      <c r="J19" s="154"/>
      <c r="K19" s="153" t="s">
        <v>29</v>
      </c>
      <c r="L19" s="155"/>
      <c r="M19" s="155"/>
      <c r="N19" s="155"/>
      <c r="O19" s="155"/>
      <c r="P19" s="155"/>
      <c r="Q19" s="155"/>
      <c r="R19" s="155"/>
      <c r="S19" s="151" t="str">
        <f>IF(W18=0,"UNCHANGED,",IF(W18&lt;0,"REDUCED","INCREASED"))</f>
        <v>INCREASED</v>
      </c>
      <c r="T19" s="152"/>
      <c r="U19" s="152"/>
      <c r="V19" s="152"/>
      <c r="W19" s="149">
        <f>IF(W18=0,"",W18)</f>
        <v>7</v>
      </c>
      <c r="X19" s="150"/>
      <c r="Y19" s="172" t="str">
        <f>IF(W18=0,"","Calendar Day(s),")</f>
        <v>Calendar Day(s),</v>
      </c>
      <c r="Z19" s="172"/>
      <c r="AA19" s="172"/>
      <c r="AB19" s="172"/>
      <c r="AC19" s="20"/>
      <c r="AE19" s="2"/>
      <c r="AF19" s="2"/>
    </row>
    <row r="20" spans="1:38" s="26" customFormat="1" ht="20.100000000000001" customHeight="1">
      <c r="A20" s="22"/>
      <c r="B20" s="123" t="s">
        <v>30</v>
      </c>
      <c r="C20" s="124"/>
      <c r="D20" s="124"/>
      <c r="E20" s="124"/>
      <c r="F20" s="124"/>
      <c r="G20" s="124"/>
      <c r="H20" s="124"/>
      <c r="I20" s="124"/>
      <c r="J20" s="124"/>
      <c r="K20" s="124"/>
      <c r="L20" s="124"/>
      <c r="M20" s="124"/>
      <c r="N20" s="124"/>
      <c r="O20" s="124"/>
      <c r="P20" s="124"/>
      <c r="Q20" s="124"/>
      <c r="R20" s="124"/>
      <c r="S20" s="121" t="str">
        <f>IF(Z18=0,"UNCHANGED.",IF(Z18&lt;0,"REDUCED","INCREASED"))</f>
        <v>INCREASED</v>
      </c>
      <c r="T20" s="122"/>
      <c r="U20" s="122"/>
      <c r="V20" s="122"/>
      <c r="W20" s="120">
        <f>IF(Z18=0,"",Z18)</f>
        <v>95026</v>
      </c>
      <c r="X20" s="120"/>
      <c r="Y20" s="120"/>
      <c r="Z20" s="120"/>
      <c r="AA20" s="91" t="str">
        <f>IF(Z18&lt;&gt;0,".","")</f>
        <v>.</v>
      </c>
      <c r="AB20" s="92"/>
      <c r="AC20" s="24"/>
      <c r="AD20" s="23"/>
      <c r="AE20" s="25"/>
      <c r="AF20" s="25"/>
      <c r="AG20" s="23"/>
      <c r="AH20" s="23"/>
      <c r="AI20" s="23"/>
    </row>
    <row r="21" spans="1:38" s="26" customFormat="1" ht="18" customHeight="1">
      <c r="A21" s="6"/>
      <c r="B21" s="165" t="s">
        <v>38</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27"/>
      <c r="AE21" s="2"/>
      <c r="AF21" s="2"/>
    </row>
    <row r="22" spans="1:38" s="30" customFormat="1" ht="39.950000000000003" customHeight="1">
      <c r="A22" s="28"/>
      <c r="B22" s="185" t="s">
        <v>37</v>
      </c>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c r="AA22" s="185"/>
      <c r="AB22" s="185"/>
      <c r="AC22" s="29"/>
      <c r="AE22" s="2"/>
      <c r="AF22" s="2"/>
    </row>
    <row r="23" spans="1:38" s="35" customFormat="1" ht="16.5">
      <c r="A23" s="22"/>
      <c r="B23" s="31"/>
      <c r="C23" s="128" t="s">
        <v>1</v>
      </c>
      <c r="D23" s="129"/>
      <c r="E23" s="129"/>
      <c r="F23" s="129"/>
      <c r="G23" s="129"/>
      <c r="H23" s="129"/>
      <c r="I23" s="129"/>
      <c r="J23" s="129"/>
      <c r="K23" s="129"/>
      <c r="L23" s="129"/>
      <c r="M23" s="129"/>
      <c r="N23" s="31"/>
      <c r="O23" s="73"/>
      <c r="P23" s="128" t="s">
        <v>14</v>
      </c>
      <c r="Q23" s="129"/>
      <c r="R23" s="129"/>
      <c r="S23" s="129"/>
      <c r="T23" s="129"/>
      <c r="U23" s="129"/>
      <c r="V23" s="129"/>
      <c r="W23" s="129"/>
      <c r="X23" s="129"/>
      <c r="Y23" s="129"/>
      <c r="Z23" s="129"/>
      <c r="AA23" s="129"/>
      <c r="AB23" s="129"/>
      <c r="AC23" s="32"/>
      <c r="AD23" s="33"/>
      <c r="AE23" s="34"/>
      <c r="AF23" s="34"/>
      <c r="AG23" s="33"/>
      <c r="AH23" s="33"/>
      <c r="AI23" s="33"/>
      <c r="AJ23" s="33"/>
      <c r="AK23" s="33"/>
      <c r="AL23" s="33"/>
    </row>
    <row r="24" spans="1:38" ht="16.5" customHeight="1">
      <c r="A24" s="22"/>
      <c r="B24" s="31"/>
      <c r="C24" s="129" t="s">
        <v>2</v>
      </c>
      <c r="D24" s="129"/>
      <c r="E24" s="129"/>
      <c r="F24" s="129"/>
      <c r="G24" s="129"/>
      <c r="H24" s="129"/>
      <c r="I24" s="129"/>
      <c r="J24" s="129"/>
      <c r="K24" s="129"/>
      <c r="L24" s="129"/>
      <c r="M24" s="129"/>
      <c r="N24" s="31"/>
      <c r="O24" s="171"/>
      <c r="P24" s="168"/>
      <c r="Q24" s="129"/>
      <c r="R24" s="129"/>
      <c r="S24" s="129"/>
      <c r="T24" s="129"/>
      <c r="U24" s="129"/>
      <c r="V24" s="129"/>
      <c r="W24" s="129"/>
      <c r="X24" s="168"/>
      <c r="Y24" s="115"/>
      <c r="Z24" s="129"/>
      <c r="AA24" s="115"/>
      <c r="AB24" s="115"/>
      <c r="AC24" s="32"/>
    </row>
    <row r="25" spans="1:38" ht="16.5" customHeight="1">
      <c r="A25" s="22"/>
      <c r="B25" s="31"/>
      <c r="C25" s="129"/>
      <c r="D25" s="129"/>
      <c r="E25" s="129"/>
      <c r="F25" s="129"/>
      <c r="G25" s="129"/>
      <c r="H25" s="129"/>
      <c r="I25" s="129"/>
      <c r="J25" s="129"/>
      <c r="K25" s="129"/>
      <c r="L25" s="129"/>
      <c r="M25" s="129"/>
      <c r="N25" s="31"/>
      <c r="O25" s="171"/>
      <c r="P25" s="131"/>
      <c r="Q25" s="131"/>
      <c r="R25" s="131"/>
      <c r="S25" s="131"/>
      <c r="T25" s="131"/>
      <c r="U25" s="131"/>
      <c r="V25" s="131"/>
      <c r="W25" s="131"/>
      <c r="X25" s="129"/>
      <c r="Y25" s="115"/>
      <c r="Z25" s="131"/>
      <c r="AA25" s="131"/>
      <c r="AB25" s="131"/>
      <c r="AC25" s="32"/>
    </row>
    <row r="26" spans="1:38" ht="16.5">
      <c r="A26" s="22"/>
      <c r="B26" s="31"/>
      <c r="C26" s="175" t="str">
        <f>F3</f>
        <v>TBI Construction</v>
      </c>
      <c r="D26" s="115"/>
      <c r="E26" s="115"/>
      <c r="F26" s="115"/>
      <c r="G26" s="115"/>
      <c r="H26" s="115"/>
      <c r="I26" s="115"/>
      <c r="J26" s="115"/>
      <c r="K26" s="115"/>
      <c r="L26" s="115"/>
      <c r="M26" s="115"/>
      <c r="N26" s="31"/>
      <c r="O26" s="74"/>
      <c r="P26" s="174" t="s">
        <v>11</v>
      </c>
      <c r="Q26" s="129"/>
      <c r="R26" s="129"/>
      <c r="S26" s="129"/>
      <c r="T26" s="129"/>
      <c r="U26" s="129"/>
      <c r="V26" s="129"/>
      <c r="W26" s="129"/>
      <c r="X26" s="129"/>
      <c r="Y26" s="115"/>
      <c r="Z26" s="72" t="s">
        <v>7</v>
      </c>
      <c r="AA26" s="72"/>
      <c r="AB26" s="72"/>
      <c r="AC26" s="32"/>
    </row>
    <row r="27" spans="1:38" ht="16.5">
      <c r="A27" s="22"/>
      <c r="B27" s="31"/>
      <c r="C27" s="131"/>
      <c r="D27" s="131"/>
      <c r="E27" s="131"/>
      <c r="F27" s="131"/>
      <c r="G27" s="131"/>
      <c r="H27" s="131"/>
      <c r="I27" s="131"/>
      <c r="J27" s="131"/>
      <c r="K27" s="131"/>
      <c r="L27" s="131"/>
      <c r="M27" s="131"/>
      <c r="N27" s="31"/>
      <c r="O27" s="171"/>
      <c r="P27" s="168"/>
      <c r="Q27" s="129"/>
      <c r="R27" s="129"/>
      <c r="S27" s="129"/>
      <c r="T27" s="129"/>
      <c r="U27" s="129"/>
      <c r="V27" s="129"/>
      <c r="W27" s="129"/>
      <c r="X27" s="129"/>
      <c r="Y27" s="115"/>
      <c r="Z27" s="168"/>
      <c r="AA27" s="115"/>
      <c r="AB27" s="115"/>
      <c r="AC27" s="32"/>
    </row>
    <row r="28" spans="1:38" ht="16.5">
      <c r="A28" s="22"/>
      <c r="B28" s="31"/>
      <c r="C28" s="173" t="s">
        <v>22</v>
      </c>
      <c r="D28" s="170"/>
      <c r="E28" s="170"/>
      <c r="F28" s="170"/>
      <c r="G28" s="170"/>
      <c r="H28" s="170"/>
      <c r="I28" s="170"/>
      <c r="J28" s="170"/>
      <c r="K28" s="170"/>
      <c r="L28" s="170"/>
      <c r="M28" s="170"/>
      <c r="N28" s="31"/>
      <c r="O28" s="171"/>
      <c r="P28" s="131"/>
      <c r="Q28" s="131"/>
      <c r="R28" s="131"/>
      <c r="S28" s="131"/>
      <c r="T28" s="131"/>
      <c r="U28" s="131"/>
      <c r="V28" s="131"/>
      <c r="W28" s="131"/>
      <c r="X28" s="129"/>
      <c r="Y28" s="115"/>
      <c r="Z28" s="131"/>
      <c r="AA28" s="131"/>
      <c r="AB28" s="131"/>
      <c r="AC28" s="32"/>
    </row>
    <row r="29" spans="1:38" ht="21" customHeight="1">
      <c r="A29" s="22"/>
      <c r="B29" s="31"/>
      <c r="C29" s="131"/>
      <c r="D29" s="131"/>
      <c r="E29" s="131"/>
      <c r="F29" s="131"/>
      <c r="G29" s="131"/>
      <c r="H29" s="131"/>
      <c r="I29" s="131"/>
      <c r="J29" s="131"/>
      <c r="K29" s="131"/>
      <c r="L29" s="131"/>
      <c r="M29" s="131"/>
      <c r="N29" s="77"/>
      <c r="O29" s="75"/>
      <c r="P29" s="156" t="s">
        <v>36</v>
      </c>
      <c r="Q29" s="131"/>
      <c r="R29" s="131"/>
      <c r="S29" s="131"/>
      <c r="T29" s="131"/>
      <c r="U29" s="131"/>
      <c r="V29" s="131"/>
      <c r="W29" s="131"/>
      <c r="X29" s="131"/>
      <c r="Y29" s="131"/>
      <c r="Z29" s="76" t="s">
        <v>7</v>
      </c>
      <c r="AA29" s="76"/>
      <c r="AB29" s="76"/>
      <c r="AC29" s="36"/>
    </row>
    <row r="30" spans="1:38" ht="16.5">
      <c r="A30" s="22"/>
      <c r="B30" s="31"/>
      <c r="C30" s="146" t="s">
        <v>15</v>
      </c>
      <c r="D30" s="146"/>
      <c r="E30" s="146"/>
      <c r="F30" s="146"/>
      <c r="G30" s="146"/>
      <c r="H30" s="146"/>
      <c r="I30" s="146"/>
      <c r="J30" s="146"/>
      <c r="K30" s="146"/>
      <c r="L30" s="146"/>
      <c r="M30" s="146"/>
      <c r="N30" s="31"/>
      <c r="O30" s="78"/>
      <c r="P30" s="169" t="s">
        <v>4</v>
      </c>
      <c r="Q30" s="170"/>
      <c r="R30" s="170"/>
      <c r="S30" s="170"/>
      <c r="T30" s="170"/>
      <c r="U30" s="170"/>
      <c r="V30" s="170"/>
      <c r="W30" s="170"/>
      <c r="X30" s="129"/>
      <c r="Y30" s="170"/>
      <c r="Z30" s="170"/>
      <c r="AA30" s="170"/>
      <c r="AB30" s="170"/>
      <c r="AC30" s="37"/>
    </row>
    <row r="31" spans="1:38" ht="35.1" customHeight="1">
      <c r="A31" s="22"/>
      <c r="B31" s="31"/>
      <c r="C31" s="130"/>
      <c r="D31" s="131"/>
      <c r="E31" s="131"/>
      <c r="F31" s="131"/>
      <c r="G31" s="131"/>
      <c r="H31" s="131"/>
      <c r="I31" s="131"/>
      <c r="J31" s="31"/>
      <c r="K31" s="130"/>
      <c r="L31" s="131"/>
      <c r="M31" s="131"/>
      <c r="N31" s="31"/>
      <c r="O31" s="73"/>
      <c r="P31" s="131" t="s">
        <v>0</v>
      </c>
      <c r="Q31" s="131"/>
      <c r="R31" s="131"/>
      <c r="S31" s="131"/>
      <c r="T31" s="131"/>
      <c r="U31" s="131"/>
      <c r="V31" s="131"/>
      <c r="W31" s="131"/>
      <c r="X31" s="168"/>
      <c r="Y31" s="115"/>
      <c r="Z31" s="163"/>
      <c r="AA31" s="131"/>
      <c r="AB31" s="131"/>
      <c r="AC31" s="27"/>
    </row>
    <row r="32" spans="1:38" ht="21.95" customHeight="1" thickBot="1">
      <c r="A32" s="38"/>
      <c r="B32" s="17"/>
      <c r="C32" s="147" t="s">
        <v>3</v>
      </c>
      <c r="D32" s="148"/>
      <c r="E32" s="148"/>
      <c r="F32" s="148"/>
      <c r="G32" s="148"/>
      <c r="H32" s="148"/>
      <c r="I32" s="148"/>
      <c r="J32" s="31"/>
      <c r="K32" s="186" t="s">
        <v>7</v>
      </c>
      <c r="L32" s="148"/>
      <c r="M32" s="148"/>
      <c r="N32" s="31"/>
      <c r="O32" s="79"/>
      <c r="P32" s="134" t="s">
        <v>39</v>
      </c>
      <c r="Q32" s="135"/>
      <c r="R32" s="135"/>
      <c r="S32" s="135"/>
      <c r="T32" s="135"/>
      <c r="U32" s="135"/>
      <c r="V32" s="135"/>
      <c r="W32" s="135"/>
      <c r="X32" s="135"/>
      <c r="Y32" s="135"/>
      <c r="Z32" s="167" t="s">
        <v>7</v>
      </c>
      <c r="AA32" s="167"/>
      <c r="AB32" s="167"/>
      <c r="AC32" s="39"/>
    </row>
    <row r="33" spans="1:32" s="5" customFormat="1" ht="21.95" customHeight="1" thickTop="1">
      <c r="A33" s="80"/>
      <c r="B33" s="126" t="s">
        <v>5</v>
      </c>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81"/>
      <c r="AE33" s="4"/>
      <c r="AF33" s="4"/>
    </row>
    <row r="34" spans="1:32" s="5" customFormat="1" ht="12.75">
      <c r="A34" s="82"/>
      <c r="B34" s="125" t="s">
        <v>50</v>
      </c>
      <c r="C34" s="119"/>
      <c r="D34" s="119"/>
      <c r="E34" s="119"/>
      <c r="F34" s="119"/>
      <c r="G34" s="119"/>
      <c r="H34" s="119"/>
      <c r="I34" s="119"/>
      <c r="J34" s="119"/>
      <c r="K34" s="132" t="s">
        <v>26</v>
      </c>
      <c r="L34" s="133"/>
      <c r="M34" s="133"/>
      <c r="N34" s="133"/>
      <c r="O34" s="184" t="s">
        <v>40</v>
      </c>
      <c r="P34" s="139"/>
      <c r="Q34" s="139"/>
      <c r="R34" s="139"/>
      <c r="S34" s="139"/>
      <c r="T34" s="139"/>
      <c r="U34" s="139"/>
      <c r="V34" s="139"/>
      <c r="W34" s="139"/>
      <c r="X34" s="139"/>
      <c r="Y34" s="136" t="str">
        <f>IF(K34&gt;0,K34+W18,"")</f>
        <v/>
      </c>
      <c r="Z34" s="137"/>
      <c r="AA34" s="137"/>
      <c r="AB34" s="137"/>
      <c r="AC34" s="13"/>
      <c r="AE34" s="4"/>
      <c r="AF34" s="4"/>
    </row>
    <row r="35" spans="1:32" s="7" customFormat="1" ht="18.95" customHeight="1">
      <c r="A35" s="6"/>
      <c r="B35" s="144" t="s">
        <v>21</v>
      </c>
      <c r="C35" s="115"/>
      <c r="D35" s="115"/>
      <c r="E35" s="115"/>
      <c r="F35" s="115"/>
      <c r="G35" s="115"/>
      <c r="H35" s="115"/>
      <c r="I35" s="115"/>
      <c r="J35" s="115"/>
      <c r="K35" s="142">
        <v>746512</v>
      </c>
      <c r="L35" s="143"/>
      <c r="M35" s="143"/>
      <c r="N35" s="143"/>
      <c r="O35" s="183" t="s">
        <v>19</v>
      </c>
      <c r="P35" s="129"/>
      <c r="Q35" s="129"/>
      <c r="R35" s="129"/>
      <c r="S35" s="129"/>
      <c r="T35" s="129"/>
      <c r="U35" s="129"/>
      <c r="V35" s="129"/>
      <c r="W35" s="129"/>
      <c r="X35" s="129"/>
      <c r="Y35" s="142">
        <f>SUM(F35:K37)</f>
        <v>746512</v>
      </c>
      <c r="Z35" s="143"/>
      <c r="AA35" s="143"/>
      <c r="AB35" s="143"/>
      <c r="AC35" s="27"/>
      <c r="AE35" s="2"/>
      <c r="AF35" s="2"/>
    </row>
    <row r="36" spans="1:32" s="5" customFormat="1" ht="18.95" customHeight="1">
      <c r="A36" s="82"/>
      <c r="B36" s="125" t="s">
        <v>6</v>
      </c>
      <c r="C36" s="115"/>
      <c r="D36" s="115"/>
      <c r="E36" s="115"/>
      <c r="F36" s="115"/>
      <c r="G36" s="115"/>
      <c r="H36" s="115"/>
      <c r="I36" s="115"/>
      <c r="J36" s="115"/>
      <c r="K36" s="157">
        <v>0</v>
      </c>
      <c r="L36" s="158"/>
      <c r="M36" s="158"/>
      <c r="N36" s="158"/>
      <c r="O36" s="145" t="str">
        <f>IF(Z18=0,"This Change Order:",IF(Z18&lt;0,"This Change Order, DEDUCT:","This Change Order, ADD:"))</f>
        <v>This Change Order, ADD:</v>
      </c>
      <c r="P36" s="139"/>
      <c r="Q36" s="139"/>
      <c r="R36" s="139"/>
      <c r="S36" s="139"/>
      <c r="T36" s="139"/>
      <c r="U36" s="139"/>
      <c r="V36" s="139"/>
      <c r="W36" s="139"/>
      <c r="X36" s="139"/>
      <c r="Y36" s="138">
        <f>Z18</f>
        <v>95026</v>
      </c>
      <c r="Z36" s="138"/>
      <c r="AA36" s="138"/>
      <c r="AB36" s="138"/>
      <c r="AC36" s="13"/>
      <c r="AE36" s="4"/>
      <c r="AF36" s="4"/>
    </row>
    <row r="37" spans="1:32" s="85" customFormat="1" ht="24" customHeight="1" thickBot="1">
      <c r="A37" s="83"/>
      <c r="B37" s="140" t="s">
        <v>10</v>
      </c>
      <c r="C37" s="141"/>
      <c r="D37" s="141"/>
      <c r="E37" s="141"/>
      <c r="F37" s="141"/>
      <c r="G37" s="141"/>
      <c r="H37" s="141"/>
      <c r="I37" s="141"/>
      <c r="J37" s="141"/>
      <c r="K37" s="179">
        <v>0</v>
      </c>
      <c r="L37" s="180"/>
      <c r="M37" s="180"/>
      <c r="N37" s="180"/>
      <c r="O37" s="181" t="s">
        <v>20</v>
      </c>
      <c r="P37" s="182"/>
      <c r="Q37" s="182"/>
      <c r="R37" s="182"/>
      <c r="S37" s="182"/>
      <c r="T37" s="182"/>
      <c r="U37" s="182"/>
      <c r="V37" s="182"/>
      <c r="W37" s="182"/>
      <c r="X37" s="182"/>
      <c r="Y37" s="177">
        <f>SUM(Y35:Y36)</f>
        <v>841538</v>
      </c>
      <c r="Z37" s="177"/>
      <c r="AA37" s="177"/>
      <c r="AB37" s="177"/>
      <c r="AC37" s="84"/>
      <c r="AE37" s="42"/>
      <c r="AF37" s="42"/>
    </row>
    <row r="38" spans="1:32" s="3" customFormat="1" ht="18.75" thickTop="1">
      <c r="A38" s="43"/>
      <c r="B38" s="43"/>
      <c r="C38" s="44"/>
      <c r="F38" s="45"/>
      <c r="P38" s="46"/>
      <c r="Q38" s="46"/>
      <c r="R38" s="46"/>
      <c r="S38" s="46"/>
      <c r="T38" s="46"/>
      <c r="U38" s="46"/>
      <c r="V38" s="46"/>
      <c r="W38" s="46"/>
      <c r="X38" s="46"/>
      <c r="Y38" s="46"/>
      <c r="Z38" s="46"/>
      <c r="AA38" s="46"/>
      <c r="AB38" s="46"/>
      <c r="AE38" s="4"/>
      <c r="AF38" s="4"/>
    </row>
    <row r="39" spans="1:32" s="5" customFormat="1" ht="12.75">
      <c r="A39" s="40"/>
      <c r="B39" s="40"/>
      <c r="C39" s="93"/>
      <c r="F39" s="139"/>
      <c r="G39" s="139"/>
      <c r="H39" s="139"/>
      <c r="I39" s="139"/>
      <c r="J39" s="139"/>
      <c r="K39" s="139"/>
      <c r="L39" s="139"/>
      <c r="M39" s="139"/>
      <c r="N39" s="139"/>
      <c r="O39" s="139"/>
      <c r="P39" s="139"/>
      <c r="Q39" s="139"/>
      <c r="R39" s="139"/>
      <c r="S39" s="139"/>
      <c r="T39" s="139"/>
      <c r="U39" s="139"/>
      <c r="V39" s="139"/>
      <c r="W39" s="64"/>
      <c r="X39" s="64"/>
      <c r="Y39" s="64"/>
      <c r="Z39" s="64"/>
      <c r="AA39" s="64"/>
      <c r="AB39" s="64"/>
      <c r="AE39" s="4"/>
      <c r="AF39" s="4"/>
    </row>
    <row r="40" spans="1:32" s="5" customFormat="1" ht="12.75">
      <c r="A40" s="40"/>
      <c r="B40" s="40"/>
      <c r="C40" s="93"/>
      <c r="Q40" s="119"/>
      <c r="R40" s="119"/>
      <c r="S40" s="119"/>
      <c r="T40" s="119"/>
      <c r="U40" s="119"/>
      <c r="V40" s="119"/>
      <c r="W40" s="119"/>
      <c r="X40" s="64"/>
      <c r="Y40" s="64"/>
      <c r="Z40" s="64"/>
      <c r="AA40" s="64"/>
      <c r="AB40" s="64"/>
      <c r="AC40" s="64"/>
      <c r="AD40" s="64"/>
      <c r="AE40" s="4"/>
      <c r="AF40" s="4"/>
    </row>
    <row r="41" spans="1:32" s="5" customFormat="1" ht="12.75">
      <c r="A41" s="40"/>
      <c r="B41" s="40"/>
      <c r="C41" s="93"/>
      <c r="H41" s="119"/>
      <c r="I41" s="119"/>
      <c r="J41" s="119"/>
      <c r="K41" s="119"/>
      <c r="M41" s="119"/>
      <c r="N41" s="119"/>
      <c r="O41" s="119"/>
      <c r="P41" s="119"/>
      <c r="R41" s="64"/>
      <c r="S41" s="118"/>
      <c r="T41" s="118"/>
      <c r="U41" s="64"/>
      <c r="V41" s="64"/>
      <c r="W41" s="64"/>
      <c r="X41" s="64"/>
      <c r="Y41" s="64"/>
      <c r="Z41" s="64"/>
      <c r="AA41" s="64"/>
      <c r="AB41" s="64"/>
      <c r="AC41" s="64"/>
      <c r="AD41" s="64"/>
      <c r="AE41" s="4"/>
      <c r="AF41" s="4"/>
    </row>
    <row r="42" spans="1:32" s="5" customFormat="1" ht="12.75">
      <c r="A42" s="40"/>
      <c r="B42" s="40"/>
      <c r="C42" s="93"/>
      <c r="G42" s="96"/>
      <c r="H42" s="119"/>
      <c r="I42" s="119"/>
      <c r="J42" s="119"/>
      <c r="K42" s="119"/>
      <c r="M42" s="119"/>
      <c r="N42" s="119"/>
      <c r="O42" s="119"/>
      <c r="P42" s="119"/>
      <c r="R42" s="64"/>
      <c r="S42" s="118"/>
      <c r="T42" s="118"/>
      <c r="U42" s="64"/>
      <c r="V42" s="64"/>
      <c r="W42" s="64"/>
      <c r="X42" s="64"/>
      <c r="Y42" s="64"/>
      <c r="Z42" s="64"/>
      <c r="AA42" s="64"/>
      <c r="AB42" s="64"/>
      <c r="AC42" s="64"/>
      <c r="AD42" s="64"/>
      <c r="AE42" s="4"/>
      <c r="AF42" s="4"/>
    </row>
    <row r="43" spans="1:32" s="5" customFormat="1" ht="12.75">
      <c r="A43" s="40"/>
      <c r="B43" s="40"/>
      <c r="C43" s="93"/>
      <c r="G43" s="96"/>
      <c r="H43" s="119"/>
      <c r="I43" s="119"/>
      <c r="J43" s="119"/>
      <c r="K43" s="119"/>
      <c r="M43" s="119"/>
      <c r="N43" s="119"/>
      <c r="O43" s="119"/>
      <c r="P43" s="119"/>
      <c r="R43" s="64"/>
      <c r="S43" s="118"/>
      <c r="T43" s="118"/>
      <c r="U43" s="64"/>
      <c r="V43" s="64"/>
      <c r="W43" s="64"/>
      <c r="X43" s="64"/>
      <c r="Y43" s="64"/>
      <c r="Z43" s="64"/>
      <c r="AA43" s="64"/>
      <c r="AB43" s="64"/>
      <c r="AC43" s="64"/>
      <c r="AD43" s="64"/>
      <c r="AE43" s="4"/>
      <c r="AF43" s="4"/>
    </row>
    <row r="44" spans="1:32" s="5" customFormat="1" ht="12.75">
      <c r="A44" s="40"/>
      <c r="B44" s="40"/>
      <c r="C44" s="93"/>
      <c r="G44" s="96"/>
      <c r="H44" s="119"/>
      <c r="I44" s="119"/>
      <c r="J44" s="119"/>
      <c r="K44" s="119"/>
      <c r="M44" s="119"/>
      <c r="N44" s="119"/>
      <c r="O44" s="119"/>
      <c r="P44" s="119"/>
      <c r="R44" s="64"/>
      <c r="S44" s="118"/>
      <c r="T44" s="118"/>
      <c r="U44" s="64"/>
      <c r="V44" s="64"/>
      <c r="W44" s="64"/>
      <c r="X44" s="64"/>
      <c r="Y44" s="64"/>
      <c r="Z44" s="64"/>
      <c r="AA44" s="64"/>
      <c r="AB44" s="64"/>
      <c r="AC44" s="64"/>
      <c r="AD44" s="64"/>
      <c r="AE44" s="4"/>
      <c r="AF44" s="4"/>
    </row>
    <row r="45" spans="1:32" s="5" customFormat="1" ht="12.75">
      <c r="A45" s="40"/>
      <c r="B45" s="40"/>
      <c r="C45" s="93"/>
      <c r="G45" s="96"/>
      <c r="H45" s="119"/>
      <c r="I45" s="119"/>
      <c r="J45" s="119"/>
      <c r="K45" s="119"/>
      <c r="M45" s="119"/>
      <c r="N45" s="119"/>
      <c r="O45" s="119"/>
      <c r="P45" s="119"/>
      <c r="R45" s="64"/>
      <c r="S45" s="118"/>
      <c r="T45" s="118"/>
      <c r="U45" s="64"/>
      <c r="V45" s="64"/>
      <c r="W45" s="64"/>
      <c r="X45" s="64"/>
      <c r="Y45" s="64"/>
      <c r="Z45" s="64"/>
      <c r="AA45" s="64"/>
      <c r="AB45" s="64"/>
      <c r="AC45" s="64"/>
      <c r="AD45" s="64"/>
      <c r="AE45" s="4"/>
      <c r="AF45" s="4"/>
    </row>
    <row r="46" spans="1:32" s="5" customFormat="1" ht="12.75">
      <c r="A46" s="40"/>
      <c r="B46" s="40"/>
      <c r="C46" s="93"/>
      <c r="G46" s="96"/>
      <c r="H46" s="119"/>
      <c r="I46" s="119"/>
      <c r="J46" s="119"/>
      <c r="K46" s="119"/>
      <c r="M46" s="119"/>
      <c r="N46" s="119"/>
      <c r="O46" s="119"/>
      <c r="P46" s="119"/>
      <c r="R46" s="64"/>
      <c r="S46" s="118"/>
      <c r="T46" s="118"/>
      <c r="U46" s="64"/>
      <c r="V46" s="64"/>
      <c r="W46" s="64"/>
      <c r="X46" s="64"/>
      <c r="Y46" s="64"/>
      <c r="Z46" s="64"/>
      <c r="AA46" s="64"/>
      <c r="AB46" s="64"/>
      <c r="AC46" s="64"/>
      <c r="AD46" s="64"/>
      <c r="AE46" s="4"/>
      <c r="AF46" s="4"/>
    </row>
    <row r="47" spans="1:32" s="5" customFormat="1" ht="12.75">
      <c r="A47" s="40"/>
      <c r="B47" s="40"/>
      <c r="C47" s="93"/>
      <c r="G47" s="96"/>
      <c r="H47" s="119"/>
      <c r="I47" s="119"/>
      <c r="J47" s="119"/>
      <c r="K47" s="119"/>
      <c r="M47" s="119"/>
      <c r="N47" s="119"/>
      <c r="O47" s="119"/>
      <c r="P47" s="119"/>
      <c r="R47" s="64"/>
      <c r="S47" s="118"/>
      <c r="T47" s="118"/>
      <c r="U47" s="64"/>
      <c r="V47" s="64"/>
      <c r="W47" s="64"/>
      <c r="X47" s="64"/>
      <c r="Y47" s="64"/>
      <c r="Z47" s="64"/>
      <c r="AA47" s="64"/>
      <c r="AB47" s="64"/>
      <c r="AC47" s="64"/>
      <c r="AD47" s="64"/>
      <c r="AE47" s="4"/>
      <c r="AF47" s="4"/>
    </row>
    <row r="48" spans="1:32" s="5" customFormat="1" ht="12.75">
      <c r="A48" s="40"/>
      <c r="B48" s="40"/>
      <c r="C48" s="93"/>
      <c r="G48" s="96"/>
      <c r="H48" s="119"/>
      <c r="I48" s="119"/>
      <c r="J48" s="119"/>
      <c r="K48" s="119"/>
      <c r="M48" s="119"/>
      <c r="N48" s="119"/>
      <c r="O48" s="119"/>
      <c r="P48" s="119"/>
      <c r="R48" s="64"/>
      <c r="S48" s="118"/>
      <c r="T48" s="118"/>
      <c r="U48" s="64"/>
      <c r="V48" s="64"/>
      <c r="W48" s="64"/>
      <c r="X48" s="64"/>
      <c r="Y48" s="64"/>
      <c r="Z48" s="64"/>
      <c r="AA48" s="64"/>
      <c r="AB48" s="64"/>
      <c r="AC48" s="64"/>
      <c r="AD48" s="64"/>
      <c r="AE48" s="4"/>
      <c r="AF48" s="4"/>
    </row>
    <row r="49" spans="1:32" s="5" customFormat="1" ht="12.75">
      <c r="A49" s="40"/>
      <c r="B49" s="40"/>
      <c r="C49" s="93"/>
      <c r="G49" s="96"/>
      <c r="H49" s="119"/>
      <c r="I49" s="119"/>
      <c r="J49" s="119"/>
      <c r="K49" s="119"/>
      <c r="M49" s="119"/>
      <c r="N49" s="119"/>
      <c r="O49" s="119"/>
      <c r="P49" s="119"/>
      <c r="R49" s="64"/>
      <c r="S49" s="118"/>
      <c r="T49" s="118"/>
      <c r="U49" s="64"/>
      <c r="V49" s="64"/>
      <c r="W49" s="64"/>
      <c r="X49" s="64"/>
      <c r="Y49" s="64"/>
      <c r="Z49" s="64"/>
      <c r="AA49" s="64"/>
      <c r="AB49" s="64"/>
      <c r="AC49" s="64"/>
      <c r="AD49" s="64"/>
      <c r="AE49" s="4"/>
      <c r="AF49" s="4"/>
    </row>
    <row r="50" spans="1:32" s="5" customFormat="1" ht="12.75">
      <c r="A50" s="40"/>
      <c r="B50" s="40"/>
      <c r="C50" s="93"/>
      <c r="G50" s="96"/>
      <c r="H50" s="119"/>
      <c r="I50" s="119"/>
      <c r="J50" s="119"/>
      <c r="K50" s="119"/>
      <c r="M50" s="119"/>
      <c r="N50" s="119"/>
      <c r="O50" s="119"/>
      <c r="P50" s="119"/>
      <c r="R50" s="64"/>
      <c r="S50" s="118"/>
      <c r="T50" s="118"/>
      <c r="U50" s="64"/>
      <c r="V50" s="64"/>
      <c r="W50" s="64"/>
      <c r="X50" s="64"/>
      <c r="Y50" s="64"/>
      <c r="Z50" s="64"/>
      <c r="AA50" s="64"/>
      <c r="AB50" s="64"/>
      <c r="AC50" s="64"/>
      <c r="AD50" s="64"/>
      <c r="AE50" s="4"/>
      <c r="AF50" s="4"/>
    </row>
    <row r="51" spans="1:32" s="5" customFormat="1" ht="12.75">
      <c r="A51" s="40"/>
      <c r="B51" s="40"/>
      <c r="C51" s="93"/>
      <c r="G51" s="96"/>
      <c r="Q51" s="64"/>
      <c r="R51" s="64"/>
      <c r="S51" s="64"/>
      <c r="T51" s="64"/>
      <c r="U51" s="64"/>
      <c r="V51" s="64"/>
      <c r="W51" s="64"/>
      <c r="X51" s="64"/>
      <c r="Y51" s="64"/>
      <c r="Z51" s="64"/>
      <c r="AA51" s="64"/>
      <c r="AB51" s="64"/>
      <c r="AC51" s="64"/>
      <c r="AE51" s="4"/>
      <c r="AF51" s="4"/>
    </row>
    <row r="52" spans="1:32" s="49" customFormat="1" ht="14.25">
      <c r="A52" s="47"/>
      <c r="B52" s="47"/>
      <c r="C52" s="48"/>
      <c r="Q52" s="50"/>
      <c r="R52" s="50"/>
      <c r="S52" s="50"/>
      <c r="T52" s="50"/>
      <c r="U52" s="50"/>
      <c r="V52" s="50"/>
      <c r="W52" s="50"/>
      <c r="X52" s="50"/>
      <c r="Y52" s="50"/>
      <c r="Z52" s="50"/>
      <c r="AA52" s="50"/>
      <c r="AB52" s="50"/>
      <c r="AC52" s="50"/>
      <c r="AE52" s="4"/>
      <c r="AF52" s="4"/>
    </row>
    <row r="53" spans="1:32" s="49" customFormat="1" ht="14.25">
      <c r="A53" s="47"/>
      <c r="B53" s="47"/>
      <c r="C53" s="48"/>
      <c r="Q53" s="50"/>
      <c r="R53" s="50"/>
      <c r="S53" s="50"/>
      <c r="T53" s="50"/>
      <c r="U53" s="50"/>
      <c r="V53" s="50"/>
      <c r="W53" s="50"/>
      <c r="X53" s="50"/>
      <c r="Y53" s="50"/>
      <c r="Z53" s="50"/>
      <c r="AA53" s="50"/>
      <c r="AB53" s="50"/>
      <c r="AC53" s="50"/>
      <c r="AE53" s="4"/>
      <c r="AF53" s="4"/>
    </row>
    <row r="54" spans="1:32" s="3" customFormat="1">
      <c r="A54" s="43"/>
      <c r="B54" s="43"/>
      <c r="C54" s="44"/>
      <c r="F54" s="45"/>
      <c r="Q54" s="46"/>
      <c r="R54" s="46"/>
      <c r="S54" s="46"/>
      <c r="T54" s="46"/>
      <c r="U54" s="46"/>
      <c r="V54" s="46"/>
      <c r="W54" s="46"/>
      <c r="X54" s="46"/>
      <c r="Y54" s="46"/>
      <c r="Z54" s="46"/>
      <c r="AA54" s="46"/>
      <c r="AB54" s="46"/>
      <c r="AC54" s="46"/>
      <c r="AE54" s="4"/>
      <c r="AF54" s="4"/>
    </row>
    <row r="55" spans="1:32" s="3" customFormat="1">
      <c r="A55" s="43"/>
      <c r="B55" s="43"/>
      <c r="C55" s="44"/>
      <c r="F55" s="45"/>
      <c r="Q55" s="46"/>
      <c r="R55" s="46"/>
      <c r="S55" s="46"/>
      <c r="T55" s="46"/>
      <c r="U55" s="46"/>
      <c r="V55" s="46"/>
      <c r="W55" s="46"/>
      <c r="X55" s="46"/>
      <c r="Y55" s="46"/>
      <c r="Z55" s="46"/>
      <c r="AA55" s="46"/>
      <c r="AB55" s="46"/>
      <c r="AC55" s="46"/>
      <c r="AE55" s="4"/>
      <c r="AF55" s="4"/>
    </row>
    <row r="56" spans="1:32" s="3" customFormat="1">
      <c r="A56" s="43"/>
      <c r="B56" s="43"/>
      <c r="C56" s="44"/>
      <c r="F56" s="45"/>
      <c r="Q56" s="46"/>
      <c r="R56" s="46"/>
      <c r="S56" s="46"/>
      <c r="T56" s="46"/>
      <c r="U56" s="46"/>
      <c r="V56" s="46"/>
      <c r="W56" s="46"/>
      <c r="X56" s="46"/>
      <c r="Y56" s="46"/>
      <c r="Z56" s="46"/>
      <c r="AA56" s="46"/>
      <c r="AB56" s="46"/>
      <c r="AC56" s="46"/>
      <c r="AE56" s="4"/>
      <c r="AF56" s="4"/>
    </row>
    <row r="57" spans="1:32" s="3" customFormat="1">
      <c r="A57" s="43"/>
      <c r="B57" s="43"/>
      <c r="C57" s="44"/>
      <c r="F57" s="45"/>
      <c r="Q57" s="46"/>
      <c r="R57" s="46"/>
      <c r="S57" s="46"/>
      <c r="T57" s="46"/>
      <c r="U57" s="46"/>
      <c r="V57" s="46"/>
      <c r="W57" s="46"/>
      <c r="X57" s="46"/>
      <c r="Y57" s="46"/>
      <c r="Z57" s="46"/>
      <c r="AA57" s="46"/>
      <c r="AB57" s="46"/>
      <c r="AC57" s="46"/>
      <c r="AE57" s="4"/>
      <c r="AF57" s="4"/>
    </row>
    <row r="58" spans="1:32">
      <c r="P58" s="1"/>
      <c r="AC58" s="53"/>
    </row>
    <row r="59" spans="1:32">
      <c r="P59" s="1"/>
      <c r="AC59" s="53"/>
    </row>
    <row r="60" spans="1:32">
      <c r="P60" s="1"/>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1"/>
      <c r="AC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row r="260" spans="16:16">
      <c r="P260" s="53"/>
    </row>
    <row r="261" spans="16:16">
      <c r="P261" s="53"/>
    </row>
  </sheetData>
  <sheetProtection selectLockedCells="1"/>
  <mergeCells count="155">
    <mergeCell ref="Z16:AB16"/>
    <mergeCell ref="AB2:AC2"/>
    <mergeCell ref="AB3:AC3"/>
    <mergeCell ref="F2:V2"/>
    <mergeCell ref="F3:V3"/>
    <mergeCell ref="Z17:AB17"/>
    <mergeCell ref="Z10:AB10"/>
    <mergeCell ref="B13:D13"/>
    <mergeCell ref="F11:U11"/>
    <mergeCell ref="Z9:AB9"/>
    <mergeCell ref="W16:X16"/>
    <mergeCell ref="W9:X9"/>
    <mergeCell ref="Z11:AB11"/>
    <mergeCell ref="B14:D14"/>
    <mergeCell ref="B15:D15"/>
    <mergeCell ref="F14:U14"/>
    <mergeCell ref="W14:X14"/>
    <mergeCell ref="Z14:AB14"/>
    <mergeCell ref="F15:U15"/>
    <mergeCell ref="W15:X15"/>
    <mergeCell ref="Z15:AB15"/>
    <mergeCell ref="B9:D9"/>
    <mergeCell ref="B10:D10"/>
    <mergeCell ref="B11:D11"/>
    <mergeCell ref="Z7:AB7"/>
    <mergeCell ref="Z8:AB8"/>
    <mergeCell ref="Z5:AB5"/>
    <mergeCell ref="W13:X13"/>
    <mergeCell ref="F9:U9"/>
    <mergeCell ref="F7:U7"/>
    <mergeCell ref="F8:U8"/>
    <mergeCell ref="W12:X12"/>
    <mergeCell ref="B4:AB4"/>
    <mergeCell ref="Y37:AB37"/>
    <mergeCell ref="B12:D12"/>
    <mergeCell ref="B16:D16"/>
    <mergeCell ref="H50:K50"/>
    <mergeCell ref="M49:P49"/>
    <mergeCell ref="M50:P50"/>
    <mergeCell ref="Z13:AB13"/>
    <mergeCell ref="W17:X17"/>
    <mergeCell ref="K37:N37"/>
    <mergeCell ref="M43:P43"/>
    <mergeCell ref="M44:P44"/>
    <mergeCell ref="Z12:AB12"/>
    <mergeCell ref="O37:X37"/>
    <mergeCell ref="O35:X35"/>
    <mergeCell ref="O34:X34"/>
    <mergeCell ref="Y35:AB35"/>
    <mergeCell ref="Z27:AB28"/>
    <mergeCell ref="B22:AB22"/>
    <mergeCell ref="K32:M32"/>
    <mergeCell ref="K31:M31"/>
    <mergeCell ref="H49:K49"/>
    <mergeCell ref="X32:Y32"/>
    <mergeCell ref="X29:Y29"/>
    <mergeCell ref="X27:Y28"/>
    <mergeCell ref="Z31:AB31"/>
    <mergeCell ref="S18:V18"/>
    <mergeCell ref="B21:AB21"/>
    <mergeCell ref="Z32:AB32"/>
    <mergeCell ref="X31:Y31"/>
    <mergeCell ref="P27:W28"/>
    <mergeCell ref="P30:AB30"/>
    <mergeCell ref="O27:O28"/>
    <mergeCell ref="C24:M25"/>
    <mergeCell ref="Y19:AB19"/>
    <mergeCell ref="C28:M29"/>
    <mergeCell ref="X26:Y26"/>
    <mergeCell ref="P26:W26"/>
    <mergeCell ref="X24:Y25"/>
    <mergeCell ref="C26:M27"/>
    <mergeCell ref="Z18:AB18"/>
    <mergeCell ref="O24:O25"/>
    <mergeCell ref="P24:W25"/>
    <mergeCell ref="Z24:AB25"/>
    <mergeCell ref="K35:N35"/>
    <mergeCell ref="F17:U17"/>
    <mergeCell ref="B35:J35"/>
    <mergeCell ref="O36:X36"/>
    <mergeCell ref="P31:W31"/>
    <mergeCell ref="C30:M30"/>
    <mergeCell ref="C32:I32"/>
    <mergeCell ref="W19:X19"/>
    <mergeCell ref="S19:V19"/>
    <mergeCell ref="B19:J19"/>
    <mergeCell ref="K19:R19"/>
    <mergeCell ref="P29:W29"/>
    <mergeCell ref="K36:N36"/>
    <mergeCell ref="W18:X18"/>
    <mergeCell ref="B18:R18"/>
    <mergeCell ref="M48:P48"/>
    <mergeCell ref="F39:V39"/>
    <mergeCell ref="H41:K41"/>
    <mergeCell ref="M46:P46"/>
    <mergeCell ref="M47:P47"/>
    <mergeCell ref="B36:J36"/>
    <mergeCell ref="H43:K43"/>
    <mergeCell ref="H44:K44"/>
    <mergeCell ref="S45:T45"/>
    <mergeCell ref="S46:T46"/>
    <mergeCell ref="H42:K42"/>
    <mergeCell ref="M41:P41"/>
    <mergeCell ref="M42:P42"/>
    <mergeCell ref="S41:T41"/>
    <mergeCell ref="S42:T42"/>
    <mergeCell ref="B37:J37"/>
    <mergeCell ref="S49:T49"/>
    <mergeCell ref="S50:T50"/>
    <mergeCell ref="Q40:W40"/>
    <mergeCell ref="S47:T47"/>
    <mergeCell ref="S43:T43"/>
    <mergeCell ref="S44:T44"/>
    <mergeCell ref="S48:T48"/>
    <mergeCell ref="W20:Z20"/>
    <mergeCell ref="S20:V20"/>
    <mergeCell ref="B20:R20"/>
    <mergeCell ref="B34:J34"/>
    <mergeCell ref="B33:AB33"/>
    <mergeCell ref="C23:M23"/>
    <mergeCell ref="C31:I31"/>
    <mergeCell ref="P23:AB23"/>
    <mergeCell ref="K34:N34"/>
    <mergeCell ref="P32:W32"/>
    <mergeCell ref="H45:K45"/>
    <mergeCell ref="H46:K46"/>
    <mergeCell ref="H47:K47"/>
    <mergeCell ref="H48:K48"/>
    <mergeCell ref="M45:P45"/>
    <mergeCell ref="Y34:AB34"/>
    <mergeCell ref="Y36:AB36"/>
    <mergeCell ref="B1:F1"/>
    <mergeCell ref="G1:AB1"/>
    <mergeCell ref="B17:D17"/>
    <mergeCell ref="A2:E2"/>
    <mergeCell ref="A3:E3"/>
    <mergeCell ref="V5:Y5"/>
    <mergeCell ref="B6:D6"/>
    <mergeCell ref="W8:X8"/>
    <mergeCell ref="V6:Y6"/>
    <mergeCell ref="W11:X11"/>
    <mergeCell ref="F10:U10"/>
    <mergeCell ref="W10:X10"/>
    <mergeCell ref="W7:X7"/>
    <mergeCell ref="F6:U6"/>
    <mergeCell ref="B7:D7"/>
    <mergeCell ref="B8:D8"/>
    <mergeCell ref="W2:Y2"/>
    <mergeCell ref="W3:Y3"/>
    <mergeCell ref="F16:U16"/>
    <mergeCell ref="F12:U12"/>
    <mergeCell ref="F13:U13"/>
    <mergeCell ref="Z2:AA2"/>
    <mergeCell ref="Z3:AA3"/>
    <mergeCell ref="Z6:AB6"/>
  </mergeCells>
  <phoneticPr fontId="0" type="noConversion"/>
  <conditionalFormatting sqref="Z19">
    <cfRule type="expression" dxfId="89" priority="1" stopIfTrue="1">
      <formula>W18&lt;&gt;0</formula>
    </cfRule>
  </conditionalFormatting>
  <conditionalFormatting sqref="AA19">
    <cfRule type="expression" dxfId="88" priority="2" stopIfTrue="1">
      <formula>W18&lt;&gt;0</formula>
    </cfRule>
  </conditionalFormatting>
  <conditionalFormatting sqref="X20">
    <cfRule type="expression" dxfId="87" priority="3" stopIfTrue="1">
      <formula>Z18&lt;&gt;0</formula>
    </cfRule>
  </conditionalFormatting>
  <conditionalFormatting sqref="Y19">
    <cfRule type="expression" dxfId="86" priority="4" stopIfTrue="1">
      <formula>W18&lt;&gt;0</formula>
    </cfRule>
  </conditionalFormatting>
  <conditionalFormatting sqref="AB19">
    <cfRule type="expression" dxfId="85" priority="5" stopIfTrue="1">
      <formula>W18&lt;&gt;0</formula>
    </cfRule>
  </conditionalFormatting>
  <conditionalFormatting sqref="W20">
    <cfRule type="expression" dxfId="84" priority="6" stopIfTrue="1">
      <formula>Z18&lt;&gt;0</formula>
    </cfRule>
  </conditionalFormatting>
  <conditionalFormatting sqref="Y20">
    <cfRule type="expression" dxfId="83" priority="7" stopIfTrue="1">
      <formula>Z18&lt;&gt;0</formula>
    </cfRule>
  </conditionalFormatting>
  <conditionalFormatting sqref="Z20">
    <cfRule type="expression" dxfId="82" priority="8" stopIfTrue="1">
      <formula>Z18&lt;&gt;0</formula>
    </cfRule>
  </conditionalFormatting>
  <conditionalFormatting sqref="W19:X19">
    <cfRule type="cellIs" dxfId="81"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sheetPr syncVertical="1" syncRef="A1" transitionEvaluation="1"/>
  <dimension ref="A1:AL252"/>
  <sheetViews>
    <sheetView showGridLines="0" zoomScale="140" zoomScaleNormal="140" workbookViewId="0">
      <selection activeCell="B7" sqref="B7:D7"/>
    </sheetView>
  </sheetViews>
  <sheetFormatPr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ustomWidth="1"/>
    <col min="31" max="32" width="9.7109375" style="2" customWidth="1"/>
    <col min="33" max="16384" width="9.140625" style="1"/>
  </cols>
  <sheetData>
    <row r="1" spans="1:32" ht="35.1" customHeight="1" thickTop="1">
      <c r="A1" s="101"/>
      <c r="B1" s="103"/>
      <c r="C1" s="103"/>
      <c r="D1" s="103"/>
      <c r="E1" s="103"/>
      <c r="F1" s="103"/>
      <c r="G1" s="104" t="s">
        <v>51</v>
      </c>
      <c r="H1" s="104"/>
      <c r="I1" s="104"/>
      <c r="J1" s="104"/>
      <c r="K1" s="104"/>
      <c r="L1" s="104"/>
      <c r="M1" s="104"/>
      <c r="N1" s="104"/>
      <c r="O1" s="104"/>
      <c r="P1" s="104"/>
      <c r="Q1" s="104"/>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2</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1'!Y34</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SUM(H40:H40)</f>
        <v>95026</v>
      </c>
      <c r="I39" s="223"/>
      <c r="J39" s="223"/>
      <c r="K39" s="221"/>
      <c r="M39" s="222">
        <f>SUM(M40:M40)</f>
        <v>0</v>
      </c>
      <c r="N39" s="223"/>
      <c r="O39" s="223"/>
      <c r="P39" s="221"/>
      <c r="R39" s="64"/>
      <c r="S39" s="220">
        <f>SUM(S40)</f>
        <v>7</v>
      </c>
      <c r="T39" s="221"/>
      <c r="V39" s="64"/>
      <c r="W39" s="64"/>
      <c r="Y39" s="64"/>
      <c r="Z39" s="64"/>
      <c r="AA39" s="64"/>
      <c r="AB39" s="64"/>
      <c r="AC39" s="64"/>
      <c r="AD39" s="64"/>
      <c r="AE39" s="4"/>
      <c r="AF39" s="4"/>
    </row>
    <row r="40" spans="1:32" s="5" customFormat="1" ht="13.5" thickTop="1">
      <c r="A40" s="40"/>
      <c r="B40" s="40"/>
      <c r="E40" s="95"/>
      <c r="F40" s="94" t="s">
        <v>17</v>
      </c>
      <c r="G40" s="96">
        <v>1</v>
      </c>
      <c r="H40" s="157">
        <f>IF('CO 1'!Z18&gt;0,'CO 1'!Z18,"")</f>
        <v>95026</v>
      </c>
      <c r="I40" s="219"/>
      <c r="J40" s="219"/>
      <c r="K40" s="139"/>
      <c r="L40" s="41"/>
      <c r="M40" s="157" t="str">
        <f>IF('CO 1'!Z18&lt;0,'CO 1'!Z18,"")</f>
        <v/>
      </c>
      <c r="N40" s="219"/>
      <c r="O40" s="219"/>
      <c r="P40" s="139"/>
      <c r="Q40" s="40"/>
      <c r="R40" s="64"/>
      <c r="S40" s="224">
        <f>'CO 1'!W18</f>
        <v>7</v>
      </c>
      <c r="T40" s="139"/>
      <c r="U40" s="40"/>
      <c r="V40" s="64"/>
      <c r="W40" s="64"/>
      <c r="Y40" s="64"/>
      <c r="Z40" s="64"/>
      <c r="AA40" s="64"/>
      <c r="AB40" s="64"/>
      <c r="AC40" s="64"/>
      <c r="AD40" s="64"/>
      <c r="AE40" s="4"/>
      <c r="AF40" s="4"/>
    </row>
    <row r="41" spans="1:32" s="65" customFormat="1" ht="12.75">
      <c r="A41" s="97"/>
      <c r="B41" s="97"/>
      <c r="C41" s="71"/>
      <c r="G41" s="98"/>
      <c r="P41" s="66"/>
      <c r="Q41" s="66"/>
      <c r="R41" s="66"/>
      <c r="S41" s="66"/>
      <c r="T41" s="66"/>
      <c r="U41" s="66"/>
      <c r="V41" s="66"/>
      <c r="W41" s="66"/>
      <c r="X41" s="66"/>
      <c r="Y41" s="66"/>
      <c r="Z41" s="66"/>
      <c r="AA41" s="66"/>
      <c r="AB41" s="66"/>
      <c r="AE41" s="4"/>
      <c r="AF41" s="4"/>
    </row>
    <row r="42" spans="1:32" s="5" customFormat="1" ht="12.75">
      <c r="A42" s="40"/>
      <c r="B42" s="40"/>
      <c r="C42" s="93"/>
      <c r="G42" s="96"/>
      <c r="H42" s="232"/>
      <c r="I42" s="232"/>
      <c r="J42" s="232"/>
      <c r="K42" s="119"/>
      <c r="M42" s="232"/>
      <c r="N42" s="232"/>
      <c r="O42" s="232"/>
      <c r="P42" s="119"/>
      <c r="R42" s="64"/>
      <c r="S42" s="119"/>
      <c r="T42" s="119"/>
      <c r="V42" s="64"/>
      <c r="W42" s="64"/>
      <c r="Y42" s="64"/>
      <c r="Z42" s="64"/>
      <c r="AA42" s="64"/>
      <c r="AB42" s="64"/>
      <c r="AC42" s="64"/>
      <c r="AD42" s="64"/>
      <c r="AE42" s="4"/>
      <c r="AF42" s="4"/>
    </row>
    <row r="43" spans="1:32" s="5" customFormat="1" ht="12.75">
      <c r="A43" s="40"/>
      <c r="B43" s="40"/>
      <c r="C43" s="93"/>
      <c r="G43" s="96"/>
      <c r="H43" s="232"/>
      <c r="I43" s="232"/>
      <c r="J43" s="232"/>
      <c r="K43" s="119"/>
      <c r="M43" s="232"/>
      <c r="N43" s="232"/>
      <c r="O43" s="232"/>
      <c r="P43" s="119"/>
      <c r="R43" s="64"/>
      <c r="S43" s="119"/>
      <c r="T43" s="119"/>
      <c r="V43" s="64"/>
      <c r="W43" s="64"/>
      <c r="Y43" s="64"/>
      <c r="Z43" s="64"/>
      <c r="AA43" s="64"/>
      <c r="AB43" s="64"/>
      <c r="AC43" s="64"/>
      <c r="AD43" s="64"/>
      <c r="AE43" s="4"/>
      <c r="AF43" s="4"/>
    </row>
    <row r="44" spans="1:32" s="5" customFormat="1" ht="12.75">
      <c r="A44" s="40"/>
      <c r="B44" s="40"/>
      <c r="C44" s="93"/>
      <c r="G44" s="96"/>
      <c r="H44" s="232"/>
      <c r="I44" s="232"/>
      <c r="J44" s="232"/>
      <c r="K44" s="119"/>
      <c r="M44" s="232"/>
      <c r="N44" s="232"/>
      <c r="O44" s="232"/>
      <c r="P44" s="119"/>
      <c r="R44" s="64"/>
      <c r="S44" s="119"/>
      <c r="T44" s="119"/>
      <c r="V44" s="64"/>
      <c r="W44" s="64"/>
      <c r="Y44" s="64"/>
      <c r="Z44" s="64"/>
      <c r="AA44" s="64"/>
      <c r="AB44" s="64"/>
      <c r="AC44" s="64"/>
      <c r="AD44" s="64"/>
      <c r="AE44" s="4"/>
      <c r="AF44" s="4"/>
    </row>
    <row r="45" spans="1:32" s="5" customFormat="1" ht="12.75">
      <c r="A45" s="40"/>
      <c r="B45" s="40"/>
      <c r="C45" s="93"/>
      <c r="G45" s="96"/>
      <c r="H45" s="232"/>
      <c r="I45" s="232"/>
      <c r="J45" s="232"/>
      <c r="K45" s="119"/>
      <c r="M45" s="232"/>
      <c r="N45" s="232"/>
      <c r="O45" s="232"/>
      <c r="P45" s="119"/>
      <c r="R45" s="64"/>
      <c r="S45" s="119"/>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119"/>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119"/>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119"/>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119"/>
      <c r="T49" s="119"/>
      <c r="V49" s="64"/>
      <c r="W49" s="64"/>
      <c r="Y49" s="64"/>
      <c r="Z49" s="64"/>
      <c r="AA49" s="64"/>
      <c r="AB49" s="64"/>
      <c r="AC49" s="64"/>
      <c r="AD49" s="64"/>
      <c r="AE49" s="4"/>
      <c r="AF49" s="4"/>
    </row>
    <row r="50" spans="1:32" s="49" customFormat="1" ht="14.25">
      <c r="A50" s="47"/>
      <c r="B50" s="47"/>
      <c r="C50" s="48"/>
      <c r="H50" s="233"/>
      <c r="I50" s="233"/>
      <c r="J50" s="233"/>
      <c r="K50" s="59"/>
      <c r="M50" s="233"/>
      <c r="N50" s="233"/>
      <c r="O50" s="233"/>
      <c r="Q50" s="50"/>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5"/>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5"/>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sheetData>
  <sheetProtection selectLockedCells="1"/>
  <mergeCells count="154">
    <mergeCell ref="Z2:AA2"/>
    <mergeCell ref="Z3:AA3"/>
    <mergeCell ref="B15:D15"/>
    <mergeCell ref="A2:E2"/>
    <mergeCell ref="A3:E3"/>
    <mergeCell ref="B8:D8"/>
    <mergeCell ref="B4:AB4"/>
    <mergeCell ref="B13:D13"/>
    <mergeCell ref="B9:D9"/>
    <mergeCell ref="B11:D11"/>
    <mergeCell ref="F11:U11"/>
    <mergeCell ref="Z6:AB6"/>
    <mergeCell ref="F8:U8"/>
    <mergeCell ref="F9:U9"/>
    <mergeCell ref="F10:U10"/>
    <mergeCell ref="B10:D10"/>
    <mergeCell ref="W7:X7"/>
    <mergeCell ref="W8:X8"/>
    <mergeCell ref="W9:X9"/>
    <mergeCell ref="W10:X10"/>
    <mergeCell ref="F13:U13"/>
    <mergeCell ref="W13:X13"/>
    <mergeCell ref="W12:X12"/>
    <mergeCell ref="Z8:AB8"/>
    <mergeCell ref="X29:Y29"/>
    <mergeCell ref="X27:Y27"/>
    <mergeCell ref="X25:Y26"/>
    <mergeCell ref="W16:X16"/>
    <mergeCell ref="W14:X14"/>
    <mergeCell ref="M48:P48"/>
    <mergeCell ref="O35:X35"/>
    <mergeCell ref="S46:T46"/>
    <mergeCell ref="S47:T47"/>
    <mergeCell ref="S48:T48"/>
    <mergeCell ref="M42:P42"/>
    <mergeCell ref="M40:P40"/>
    <mergeCell ref="K35:N35"/>
    <mergeCell ref="S17:V17"/>
    <mergeCell ref="S18:V18"/>
    <mergeCell ref="Y35:AB35"/>
    <mergeCell ref="K30:M30"/>
    <mergeCell ref="M39:P39"/>
    <mergeCell ref="Z30:AB30"/>
    <mergeCell ref="Y32:AB32"/>
    <mergeCell ref="O33:X33"/>
    <mergeCell ref="P29:W29"/>
    <mergeCell ref="O34:X34"/>
    <mergeCell ref="H45:K45"/>
    <mergeCell ref="S49:T49"/>
    <mergeCell ref="H51:J51"/>
    <mergeCell ref="M51:O51"/>
    <mergeCell ref="M49:P49"/>
    <mergeCell ref="H48:K48"/>
    <mergeCell ref="M50:O50"/>
    <mergeCell ref="H50:J50"/>
    <mergeCell ref="H49:K49"/>
    <mergeCell ref="H46:K46"/>
    <mergeCell ref="H47:K47"/>
    <mergeCell ref="H44:K44"/>
    <mergeCell ref="H42:K42"/>
    <mergeCell ref="M45:P45"/>
    <mergeCell ref="M46:P46"/>
    <mergeCell ref="M47:P47"/>
    <mergeCell ref="M43:P43"/>
    <mergeCell ref="H43:K43"/>
    <mergeCell ref="S44:T44"/>
    <mergeCell ref="M44:P44"/>
    <mergeCell ref="S45:T45"/>
    <mergeCell ref="Z12:AB12"/>
    <mergeCell ref="Z25:AB26"/>
    <mergeCell ref="W15:X15"/>
    <mergeCell ref="Z11:AB11"/>
    <mergeCell ref="Z14:AB14"/>
    <mergeCell ref="Z15:AB15"/>
    <mergeCell ref="W18:Z18"/>
    <mergeCell ref="W11:X11"/>
    <mergeCell ref="P25:W26"/>
    <mergeCell ref="B16:R16"/>
    <mergeCell ref="S16:V16"/>
    <mergeCell ref="B12:D12"/>
    <mergeCell ref="Z16:AB16"/>
    <mergeCell ref="F12:U12"/>
    <mergeCell ref="C30:I30"/>
    <mergeCell ref="P21:AB21"/>
    <mergeCell ref="P27:W27"/>
    <mergeCell ref="S43:T43"/>
    <mergeCell ref="H40:K40"/>
    <mergeCell ref="Z5:AB5"/>
    <mergeCell ref="F6:U6"/>
    <mergeCell ref="Z7:AB7"/>
    <mergeCell ref="Y33:AB33"/>
    <mergeCell ref="Z13:AB13"/>
    <mergeCell ref="Z29:AB29"/>
    <mergeCell ref="Y17:AB17"/>
    <mergeCell ref="W17:X17"/>
    <mergeCell ref="B35:J35"/>
    <mergeCell ref="S39:T39"/>
    <mergeCell ref="S42:T42"/>
    <mergeCell ref="H39:K39"/>
    <mergeCell ref="S40:T40"/>
    <mergeCell ref="H38:K38"/>
    <mergeCell ref="M38:P38"/>
    <mergeCell ref="F37:V37"/>
    <mergeCell ref="F39:G39"/>
    <mergeCell ref="Q38:W38"/>
    <mergeCell ref="P30:W30"/>
    <mergeCell ref="B14:D14"/>
    <mergeCell ref="F14:U14"/>
    <mergeCell ref="V6:Y6"/>
    <mergeCell ref="F7:U7"/>
    <mergeCell ref="B1:F1"/>
    <mergeCell ref="G1:AB1"/>
    <mergeCell ref="W2:Y2"/>
    <mergeCell ref="W3:Y3"/>
    <mergeCell ref="C28:M28"/>
    <mergeCell ref="O22:O23"/>
    <mergeCell ref="P22:W23"/>
    <mergeCell ref="P28:AB28"/>
    <mergeCell ref="B18:R18"/>
    <mergeCell ref="X24:Y24"/>
    <mergeCell ref="B19:AB19"/>
    <mergeCell ref="B17:J17"/>
    <mergeCell ref="K17:R17"/>
    <mergeCell ref="B20:AB20"/>
    <mergeCell ref="C21:M21"/>
    <mergeCell ref="Z22:AB23"/>
    <mergeCell ref="C26:M27"/>
    <mergeCell ref="X22:Y23"/>
    <mergeCell ref="Z9:AB9"/>
    <mergeCell ref="Z10:AB10"/>
    <mergeCell ref="B34:J34"/>
    <mergeCell ref="B31:AB31"/>
    <mergeCell ref="Y34:AB34"/>
    <mergeCell ref="K32:N32"/>
    <mergeCell ref="K33:N33"/>
    <mergeCell ref="K34:N34"/>
    <mergeCell ref="AB2:AC2"/>
    <mergeCell ref="AB3:AC3"/>
    <mergeCell ref="F2:V2"/>
    <mergeCell ref="F3:V3"/>
    <mergeCell ref="B32:J32"/>
    <mergeCell ref="B33:J33"/>
    <mergeCell ref="K29:M29"/>
    <mergeCell ref="C22:M23"/>
    <mergeCell ref="C29:I29"/>
    <mergeCell ref="X30:Y30"/>
    <mergeCell ref="O32:X32"/>
    <mergeCell ref="O25:O26"/>
    <mergeCell ref="C24:M25"/>
    <mergeCell ref="P24:W24"/>
    <mergeCell ref="V5:Y5"/>
    <mergeCell ref="B6:D6"/>
    <mergeCell ref="B7:D7"/>
    <mergeCell ref="F15:U15"/>
  </mergeCells>
  <phoneticPr fontId="0" type="noConversion"/>
  <conditionalFormatting sqref="Z17">
    <cfRule type="expression" dxfId="80" priority="1" stopIfTrue="1">
      <formula>W16&lt;&gt;0</formula>
    </cfRule>
  </conditionalFormatting>
  <conditionalFormatting sqref="AA17">
    <cfRule type="expression" dxfId="79" priority="2" stopIfTrue="1">
      <formula>W16&lt;&gt;0</formula>
    </cfRule>
  </conditionalFormatting>
  <conditionalFormatting sqref="X18">
    <cfRule type="expression" dxfId="78" priority="3" stopIfTrue="1">
      <formula>Z16&lt;&gt;0</formula>
    </cfRule>
  </conditionalFormatting>
  <conditionalFormatting sqref="Y17">
    <cfRule type="expression" dxfId="77" priority="4" stopIfTrue="1">
      <formula>W16&lt;&gt;0</formula>
    </cfRule>
  </conditionalFormatting>
  <conditionalFormatting sqref="AB17">
    <cfRule type="expression" dxfId="76" priority="5" stopIfTrue="1">
      <formula>W16&lt;&gt;0</formula>
    </cfRule>
  </conditionalFormatting>
  <conditionalFormatting sqref="W18">
    <cfRule type="expression" dxfId="75" priority="6" stopIfTrue="1">
      <formula>Z16&lt;&gt;0</formula>
    </cfRule>
  </conditionalFormatting>
  <conditionalFormatting sqref="Y18">
    <cfRule type="expression" dxfId="74" priority="7" stopIfTrue="1">
      <formula>Z16&lt;&gt;0</formula>
    </cfRule>
  </conditionalFormatting>
  <conditionalFormatting sqref="Z18">
    <cfRule type="expression" dxfId="73" priority="8" stopIfTrue="1">
      <formula>Z16&lt;&gt;0</formula>
    </cfRule>
  </conditionalFormatting>
  <conditionalFormatting sqref="W17:X17">
    <cfRule type="cellIs" dxfId="72"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sheetPr syncVertical="1" syncRef="A1" transitionEvaluation="1"/>
  <dimension ref="A1:AL253"/>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3</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2'!Y32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SUM(H40:H41)</f>
        <v>95026</v>
      </c>
      <c r="I39" s="223"/>
      <c r="J39" s="223"/>
      <c r="K39" s="221"/>
      <c r="M39" s="222">
        <f>SUM(M40:M41)</f>
        <v>0</v>
      </c>
      <c r="N39" s="223"/>
      <c r="O39" s="223"/>
      <c r="P39" s="221"/>
      <c r="R39" s="64"/>
      <c r="S39" s="220">
        <f>SUM(S40:S41)</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157" t="str">
        <f>IF('CO 2'!Z16&gt;0,'CO 2'!Z16,"")</f>
        <v/>
      </c>
      <c r="I41" s="219"/>
      <c r="J41" s="219"/>
      <c r="K41" s="139"/>
      <c r="L41" s="94"/>
      <c r="M41" s="157" t="str">
        <f>IF('CO 2'!Z16&lt;0,'CO 2'!Z16,"")</f>
        <v/>
      </c>
      <c r="N41" s="219"/>
      <c r="O41" s="219"/>
      <c r="P41" s="139"/>
      <c r="R41" s="64"/>
      <c r="S41" s="224">
        <f>'CO 2'!W16</f>
        <v>0</v>
      </c>
      <c r="T41" s="139"/>
      <c r="U41" s="40"/>
      <c r="V41" s="64"/>
      <c r="W41" s="64"/>
      <c r="Y41" s="64"/>
      <c r="Z41" s="64"/>
      <c r="AA41" s="64"/>
      <c r="AB41" s="64"/>
      <c r="AC41" s="64"/>
      <c r="AD41" s="64"/>
      <c r="AE41" s="4"/>
      <c r="AF41" s="4"/>
    </row>
    <row r="42" spans="1:32" s="65" customFormat="1" ht="12.75">
      <c r="A42" s="97"/>
      <c r="B42" s="97"/>
      <c r="C42" s="71"/>
      <c r="G42" s="98"/>
      <c r="H42" s="97"/>
      <c r="I42" s="97"/>
      <c r="J42" s="97"/>
      <c r="K42" s="97"/>
      <c r="L42" s="97"/>
      <c r="M42" s="97"/>
      <c r="N42" s="97"/>
      <c r="O42" s="97"/>
      <c r="P42" s="66"/>
      <c r="Q42" s="66"/>
      <c r="R42" s="66"/>
      <c r="S42" s="66"/>
      <c r="T42" s="66"/>
      <c r="U42" s="66"/>
      <c r="V42" s="66"/>
      <c r="W42" s="66"/>
      <c r="X42" s="66"/>
      <c r="Y42" s="66"/>
      <c r="Z42" s="66"/>
      <c r="AA42" s="66"/>
      <c r="AB42" s="66"/>
      <c r="AE42" s="4"/>
      <c r="AF42" s="4"/>
    </row>
    <row r="43" spans="1:32" s="5" customFormat="1" ht="12.75">
      <c r="A43" s="40"/>
      <c r="B43" s="40"/>
      <c r="C43" s="93"/>
      <c r="G43" s="96"/>
      <c r="H43" s="232"/>
      <c r="I43" s="232"/>
      <c r="J43" s="232"/>
      <c r="K43" s="119"/>
      <c r="M43" s="232"/>
      <c r="N43" s="232"/>
      <c r="O43" s="232"/>
      <c r="P43" s="119"/>
      <c r="R43" s="64"/>
      <c r="S43" s="236"/>
      <c r="T43" s="119"/>
      <c r="V43" s="64"/>
      <c r="W43" s="64"/>
      <c r="Y43" s="64"/>
      <c r="Z43" s="64"/>
      <c r="AA43" s="64"/>
      <c r="AB43" s="64"/>
      <c r="AC43" s="64"/>
      <c r="AD43" s="64"/>
      <c r="AE43" s="4"/>
      <c r="AF43" s="4"/>
    </row>
    <row r="44" spans="1:32" s="5" customFormat="1" ht="12.75">
      <c r="A44" s="40"/>
      <c r="B44" s="40"/>
      <c r="C44" s="93"/>
      <c r="G44" s="96"/>
      <c r="H44" s="232"/>
      <c r="I44" s="232"/>
      <c r="J44" s="232"/>
      <c r="K44" s="119"/>
      <c r="M44" s="232"/>
      <c r="N44" s="232"/>
      <c r="O44" s="232"/>
      <c r="P44" s="119"/>
      <c r="R44" s="64"/>
      <c r="S44" s="236"/>
      <c r="T44" s="119"/>
      <c r="V44" s="64"/>
      <c r="W44" s="64"/>
      <c r="Y44" s="64"/>
      <c r="Z44" s="64"/>
      <c r="AA44" s="64"/>
      <c r="AB44" s="64"/>
      <c r="AC44" s="64"/>
      <c r="AD44" s="64"/>
      <c r="AE44" s="4"/>
      <c r="AF44" s="4"/>
    </row>
    <row r="45" spans="1:32" s="5" customFormat="1" ht="12.75">
      <c r="A45" s="40"/>
      <c r="B45" s="40"/>
      <c r="C45" s="93"/>
      <c r="G45" s="96"/>
      <c r="H45" s="232"/>
      <c r="I45" s="232"/>
      <c r="J45" s="232"/>
      <c r="K45" s="119"/>
      <c r="M45" s="232"/>
      <c r="N45" s="232"/>
      <c r="O45" s="232"/>
      <c r="P45" s="119"/>
      <c r="R45" s="64"/>
      <c r="S45" s="236"/>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236"/>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36"/>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36"/>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36"/>
      <c r="T49" s="119"/>
      <c r="V49" s="64"/>
      <c r="W49" s="64"/>
      <c r="Y49" s="64"/>
      <c r="Z49" s="64"/>
      <c r="AA49" s="64"/>
      <c r="AB49" s="64"/>
      <c r="AC49" s="64"/>
      <c r="AD49" s="64"/>
      <c r="AE49" s="4"/>
      <c r="AF49" s="4"/>
    </row>
    <row r="50" spans="1:32" s="49" customFormat="1" ht="14.25">
      <c r="A50" s="47"/>
      <c r="B50" s="47"/>
      <c r="C50" s="48"/>
      <c r="H50" s="233"/>
      <c r="I50" s="233"/>
      <c r="J50" s="233"/>
      <c r="K50" s="59"/>
      <c r="M50" s="233"/>
      <c r="N50" s="233"/>
      <c r="O50" s="233"/>
      <c r="Q50" s="50"/>
      <c r="R50" s="67"/>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R51" s="67"/>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7"/>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4"/>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sheetData>
  <sheetProtection selectLockedCells="1"/>
  <mergeCells count="154">
    <mergeCell ref="W3:Y3"/>
    <mergeCell ref="A2:E2"/>
    <mergeCell ref="A3:E3"/>
    <mergeCell ref="X29:Y29"/>
    <mergeCell ref="B4:AB4"/>
    <mergeCell ref="Z2:AA2"/>
    <mergeCell ref="Z3:AA3"/>
    <mergeCell ref="W2:Y2"/>
    <mergeCell ref="B16:R16"/>
    <mergeCell ref="S16:V16"/>
    <mergeCell ref="V6:Y6"/>
    <mergeCell ref="B9:D9"/>
    <mergeCell ref="F7:U7"/>
    <mergeCell ref="W11:X11"/>
    <mergeCell ref="F9:U9"/>
    <mergeCell ref="W12:X12"/>
    <mergeCell ref="W14:X14"/>
    <mergeCell ref="Z29:AB29"/>
    <mergeCell ref="C24:M25"/>
    <mergeCell ref="Z25:AB26"/>
    <mergeCell ref="P25:W26"/>
    <mergeCell ref="P24:W24"/>
    <mergeCell ref="X24:Y24"/>
    <mergeCell ref="Z15:AB15"/>
    <mergeCell ref="B7:D7"/>
    <mergeCell ref="B8:D8"/>
    <mergeCell ref="W15:X15"/>
    <mergeCell ref="W16:X16"/>
    <mergeCell ref="W9:X9"/>
    <mergeCell ref="W10:X10"/>
    <mergeCell ref="W7:X7"/>
    <mergeCell ref="F8:U8"/>
    <mergeCell ref="Z11:AB11"/>
    <mergeCell ref="Z14:AB14"/>
    <mergeCell ref="B10:D10"/>
    <mergeCell ref="B14:D14"/>
    <mergeCell ref="B11:D11"/>
    <mergeCell ref="F14:U14"/>
    <mergeCell ref="F15:U15"/>
    <mergeCell ref="F12:U12"/>
    <mergeCell ref="F13:U13"/>
    <mergeCell ref="X22:Y23"/>
    <mergeCell ref="F11:U11"/>
    <mergeCell ref="B15:D15"/>
    <mergeCell ref="B12:D12"/>
    <mergeCell ref="F10:U10"/>
    <mergeCell ref="W8:X8"/>
    <mergeCell ref="H50:J50"/>
    <mergeCell ref="K35:N35"/>
    <mergeCell ref="X30:Y30"/>
    <mergeCell ref="H48:K48"/>
    <mergeCell ref="M46:P46"/>
    <mergeCell ref="O22:O23"/>
    <mergeCell ref="K29:M29"/>
    <mergeCell ref="X27:Y27"/>
    <mergeCell ref="S46:T46"/>
    <mergeCell ref="Y33:AB33"/>
    <mergeCell ref="Z16:AB16"/>
    <mergeCell ref="H51:J51"/>
    <mergeCell ref="H49:K49"/>
    <mergeCell ref="M50:O50"/>
    <mergeCell ref="M51:O51"/>
    <mergeCell ref="M49:P49"/>
    <mergeCell ref="B17:J17"/>
    <mergeCell ref="K17:R17"/>
    <mergeCell ref="P21:AB21"/>
    <mergeCell ref="X25:Y26"/>
    <mergeCell ref="C26:M27"/>
    <mergeCell ref="C28:M28"/>
    <mergeCell ref="Z22:AB23"/>
    <mergeCell ref="S40:T40"/>
    <mergeCell ref="S41:T41"/>
    <mergeCell ref="Y32:AB32"/>
    <mergeCell ref="M47:P47"/>
    <mergeCell ref="Z30:AB30"/>
    <mergeCell ref="K34:N34"/>
    <mergeCell ref="O34:X34"/>
    <mergeCell ref="F37:V37"/>
    <mergeCell ref="B35:J35"/>
    <mergeCell ref="F39:G39"/>
    <mergeCell ref="H38:K38"/>
    <mergeCell ref="B34:J34"/>
    <mergeCell ref="Z6:AB6"/>
    <mergeCell ref="V5:Y5"/>
    <mergeCell ref="Y17:AB17"/>
    <mergeCell ref="P22:W23"/>
    <mergeCell ref="B20:AB20"/>
    <mergeCell ref="Z7:AB7"/>
    <mergeCell ref="Z8:AB8"/>
    <mergeCell ref="S17:V17"/>
    <mergeCell ref="P27:W27"/>
    <mergeCell ref="B18:R18"/>
    <mergeCell ref="Z9:AB9"/>
    <mergeCell ref="Z10:AB10"/>
    <mergeCell ref="O25:O26"/>
    <mergeCell ref="W13:X13"/>
    <mergeCell ref="B19:AB19"/>
    <mergeCell ref="W17:X17"/>
    <mergeCell ref="C21:M21"/>
    <mergeCell ref="C22:M23"/>
    <mergeCell ref="Z5:AB5"/>
    <mergeCell ref="Z13:AB13"/>
    <mergeCell ref="Z12:AB12"/>
    <mergeCell ref="B13:D13"/>
    <mergeCell ref="F6:U6"/>
    <mergeCell ref="B6:D6"/>
    <mergeCell ref="B33:J33"/>
    <mergeCell ref="Y34:AB34"/>
    <mergeCell ref="Y35:AB35"/>
    <mergeCell ref="O35:X35"/>
    <mergeCell ref="S49:T49"/>
    <mergeCell ref="Q38:W38"/>
    <mergeCell ref="S39:T39"/>
    <mergeCell ref="S43:T43"/>
    <mergeCell ref="S44:T44"/>
    <mergeCell ref="S45:T45"/>
    <mergeCell ref="S48:T48"/>
    <mergeCell ref="H43:K43"/>
    <mergeCell ref="M39:P39"/>
    <mergeCell ref="M43:P43"/>
    <mergeCell ref="H41:K41"/>
    <mergeCell ref="M40:P40"/>
    <mergeCell ref="M41:P41"/>
    <mergeCell ref="H40:K40"/>
    <mergeCell ref="H44:K44"/>
    <mergeCell ref="S47:T47"/>
    <mergeCell ref="M38:P38"/>
    <mergeCell ref="H39:K39"/>
    <mergeCell ref="M48:P48"/>
    <mergeCell ref="H47:K47"/>
    <mergeCell ref="H46:K46"/>
    <mergeCell ref="H45:K45"/>
    <mergeCell ref="M44:P44"/>
    <mergeCell ref="M45:P45"/>
    <mergeCell ref="B1:P1"/>
    <mergeCell ref="Q1:AB1"/>
    <mergeCell ref="B31:AB31"/>
    <mergeCell ref="K33:N33"/>
    <mergeCell ref="B32:J32"/>
    <mergeCell ref="O32:X32"/>
    <mergeCell ref="K32:N32"/>
    <mergeCell ref="P29:W29"/>
    <mergeCell ref="P28:AB28"/>
    <mergeCell ref="AB2:AC2"/>
    <mergeCell ref="AB3:AC3"/>
    <mergeCell ref="F2:V2"/>
    <mergeCell ref="F3:V3"/>
    <mergeCell ref="C29:I29"/>
    <mergeCell ref="C30:I30"/>
    <mergeCell ref="K30:M30"/>
    <mergeCell ref="P30:W30"/>
    <mergeCell ref="W18:Z18"/>
    <mergeCell ref="S18:V18"/>
    <mergeCell ref="O33:X33"/>
  </mergeCells>
  <phoneticPr fontId="0" type="noConversion"/>
  <conditionalFormatting sqref="Z17">
    <cfRule type="expression" dxfId="71" priority="1" stopIfTrue="1">
      <formula>W16&lt;&gt;0</formula>
    </cfRule>
  </conditionalFormatting>
  <conditionalFormatting sqref="AA17">
    <cfRule type="expression" dxfId="70" priority="2" stopIfTrue="1">
      <formula>W16&lt;&gt;0</formula>
    </cfRule>
  </conditionalFormatting>
  <conditionalFormatting sqref="X18">
    <cfRule type="expression" dxfId="69" priority="3" stopIfTrue="1">
      <formula>Z16&lt;&gt;0</formula>
    </cfRule>
  </conditionalFormatting>
  <conditionalFormatting sqref="Y17">
    <cfRule type="expression" dxfId="68" priority="4" stopIfTrue="1">
      <formula>W16&lt;&gt;0</formula>
    </cfRule>
  </conditionalFormatting>
  <conditionalFormatting sqref="AB17">
    <cfRule type="expression" dxfId="67" priority="5" stopIfTrue="1">
      <formula>W16&lt;&gt;0</formula>
    </cfRule>
  </conditionalFormatting>
  <conditionalFormatting sqref="W18">
    <cfRule type="expression" dxfId="66" priority="6" stopIfTrue="1">
      <formula>Z16&lt;&gt;0</formula>
    </cfRule>
  </conditionalFormatting>
  <conditionalFormatting sqref="Y18">
    <cfRule type="expression" dxfId="65" priority="7" stopIfTrue="1">
      <formula>Z16&lt;&gt;0</formula>
    </cfRule>
  </conditionalFormatting>
  <conditionalFormatting sqref="Z18">
    <cfRule type="expression" dxfId="64" priority="8" stopIfTrue="1">
      <formula>Z16&lt;&gt;0</formula>
    </cfRule>
  </conditionalFormatting>
  <conditionalFormatting sqref="W17:X17">
    <cfRule type="cellIs" dxfId="63"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sheetPr syncVertical="1" syncRef="A1" transitionEvaluation="1"/>
  <dimension ref="A1:AL254"/>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4</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3'!Y32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SUM(H40:H42)</f>
        <v>95026</v>
      </c>
      <c r="I39" s="223"/>
      <c r="J39" s="223"/>
      <c r="K39" s="221"/>
      <c r="M39" s="222">
        <f>SUM(M40:M42)</f>
        <v>0</v>
      </c>
      <c r="N39" s="223"/>
      <c r="O39" s="223"/>
      <c r="P39" s="221"/>
      <c r="R39" s="64"/>
      <c r="S39" s="220">
        <f>SUM(S40:S42)</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157" t="str">
        <f>IF('CO 3'!Z16&gt;0,'CO 3'!Z16,"")</f>
        <v/>
      </c>
      <c r="I42" s="219"/>
      <c r="J42" s="219"/>
      <c r="K42" s="139"/>
      <c r="L42" s="94"/>
      <c r="M42" s="157" t="str">
        <f>IF('CO 3'!Z16&lt;0,'CO 3'!Z16,"")</f>
        <v/>
      </c>
      <c r="N42" s="219"/>
      <c r="O42" s="219"/>
      <c r="P42" s="139"/>
      <c r="R42" s="64"/>
      <c r="S42" s="224">
        <f>'CO 3'!W16</f>
        <v>0</v>
      </c>
      <c r="T42" s="139"/>
      <c r="U42" s="40"/>
      <c r="V42" s="64"/>
      <c r="W42" s="64"/>
      <c r="Y42" s="64"/>
      <c r="Z42" s="64"/>
      <c r="AA42" s="64"/>
      <c r="AB42" s="64"/>
      <c r="AC42" s="64"/>
      <c r="AD42" s="64"/>
      <c r="AE42" s="4"/>
      <c r="AF42" s="4"/>
    </row>
    <row r="43" spans="1:32" s="65" customFormat="1" ht="12.75">
      <c r="A43" s="97"/>
      <c r="B43" s="97"/>
      <c r="C43" s="71"/>
      <c r="G43" s="98"/>
      <c r="H43" s="97"/>
      <c r="I43" s="97"/>
      <c r="J43" s="97"/>
      <c r="K43" s="97"/>
      <c r="L43" s="97"/>
      <c r="M43" s="97"/>
      <c r="N43" s="97"/>
      <c r="O43" s="97"/>
      <c r="P43" s="66"/>
      <c r="Q43" s="66"/>
      <c r="R43" s="66"/>
      <c r="S43" s="66"/>
      <c r="T43" s="66"/>
      <c r="U43" s="66"/>
      <c r="V43" s="66"/>
      <c r="W43" s="66"/>
      <c r="X43" s="66"/>
      <c r="Y43" s="66"/>
      <c r="Z43" s="66"/>
      <c r="AA43" s="66"/>
      <c r="AB43" s="66"/>
      <c r="AE43" s="4"/>
      <c r="AF43" s="4"/>
    </row>
    <row r="44" spans="1:32" s="5" customFormat="1" ht="12.75">
      <c r="A44" s="40"/>
      <c r="B44" s="40"/>
      <c r="C44" s="93"/>
      <c r="G44" s="96"/>
      <c r="H44" s="232"/>
      <c r="I44" s="232"/>
      <c r="J44" s="232"/>
      <c r="K44" s="119"/>
      <c r="M44" s="232"/>
      <c r="N44" s="232"/>
      <c r="O44" s="232"/>
      <c r="P44" s="119"/>
      <c r="R44" s="64"/>
      <c r="S44" s="224"/>
      <c r="T44" s="119"/>
      <c r="V44" s="64"/>
      <c r="W44" s="64"/>
      <c r="Y44" s="64"/>
      <c r="Z44" s="64"/>
      <c r="AA44" s="64"/>
      <c r="AB44" s="64"/>
      <c r="AC44" s="64"/>
      <c r="AD44" s="64"/>
      <c r="AE44" s="4"/>
      <c r="AF44" s="4"/>
    </row>
    <row r="45" spans="1:32" s="5" customFormat="1" ht="12.75">
      <c r="A45" s="40"/>
      <c r="B45" s="40"/>
      <c r="C45" s="93"/>
      <c r="G45" s="96"/>
      <c r="H45" s="232"/>
      <c r="I45" s="232"/>
      <c r="J45" s="232"/>
      <c r="K45" s="119"/>
      <c r="M45" s="232"/>
      <c r="N45" s="232"/>
      <c r="O45" s="232"/>
      <c r="P45" s="119"/>
      <c r="R45" s="64"/>
      <c r="S45" s="224"/>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224"/>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sheetData>
  <sheetProtection selectLockedCells="1"/>
  <mergeCells count="154">
    <mergeCell ref="B9:D9"/>
    <mergeCell ref="B10:D10"/>
    <mergeCell ref="F13:U13"/>
    <mergeCell ref="W13:X13"/>
    <mergeCell ref="W12:X12"/>
    <mergeCell ref="B11:D11"/>
    <mergeCell ref="W7:X7"/>
    <mergeCell ref="W9:X9"/>
    <mergeCell ref="C21:M21"/>
    <mergeCell ref="C26:M27"/>
    <mergeCell ref="P22:W23"/>
    <mergeCell ref="P28:AB28"/>
    <mergeCell ref="Z22:AB23"/>
    <mergeCell ref="X22:Y23"/>
    <mergeCell ref="C28:M28"/>
    <mergeCell ref="C22:M23"/>
    <mergeCell ref="Z2:AA2"/>
    <mergeCell ref="Z3:AA3"/>
    <mergeCell ref="W2:Y2"/>
    <mergeCell ref="W3:Y3"/>
    <mergeCell ref="F11:U11"/>
    <mergeCell ref="B14:D14"/>
    <mergeCell ref="B15:D15"/>
    <mergeCell ref="A2:E2"/>
    <mergeCell ref="A3:E3"/>
    <mergeCell ref="F9:U9"/>
    <mergeCell ref="F10:U10"/>
    <mergeCell ref="F12:U12"/>
    <mergeCell ref="B6:D6"/>
    <mergeCell ref="B7:D7"/>
    <mergeCell ref="B4:AB4"/>
    <mergeCell ref="B13:D13"/>
    <mergeCell ref="M50:O50"/>
    <mergeCell ref="H50:J50"/>
    <mergeCell ref="H49:K49"/>
    <mergeCell ref="M46:P46"/>
    <mergeCell ref="M47:P47"/>
    <mergeCell ref="M48:P48"/>
    <mergeCell ref="O35:X35"/>
    <mergeCell ref="O33:X33"/>
    <mergeCell ref="Q38:W38"/>
    <mergeCell ref="S46:T46"/>
    <mergeCell ref="S47:T47"/>
    <mergeCell ref="S48:T48"/>
    <mergeCell ref="S49:T49"/>
    <mergeCell ref="K33:N33"/>
    <mergeCell ref="H39:K39"/>
    <mergeCell ref="H44:K44"/>
    <mergeCell ref="H51:J51"/>
    <mergeCell ref="M51:O51"/>
    <mergeCell ref="M49:P49"/>
    <mergeCell ref="H48:K48"/>
    <mergeCell ref="Z13:AB13"/>
    <mergeCell ref="Z29:AB29"/>
    <mergeCell ref="K34:N34"/>
    <mergeCell ref="H46:K46"/>
    <mergeCell ref="H47:K47"/>
    <mergeCell ref="M44:P44"/>
    <mergeCell ref="M45:P45"/>
    <mergeCell ref="M42:P42"/>
    <mergeCell ref="M40:P40"/>
    <mergeCell ref="O34:X34"/>
    <mergeCell ref="Z30:AB30"/>
    <mergeCell ref="X30:Y30"/>
    <mergeCell ref="Y35:AB35"/>
    <mergeCell ref="Y32:AB32"/>
    <mergeCell ref="S16:V16"/>
    <mergeCell ref="K29:M29"/>
    <mergeCell ref="Y33:AB33"/>
    <mergeCell ref="S45:T45"/>
    <mergeCell ref="C29:I29"/>
    <mergeCell ref="F14:U14"/>
    <mergeCell ref="S44:T44"/>
    <mergeCell ref="H45:K45"/>
    <mergeCell ref="S41:T41"/>
    <mergeCell ref="S42:T42"/>
    <mergeCell ref="H41:K41"/>
    <mergeCell ref="S40:T40"/>
    <mergeCell ref="H42:K42"/>
    <mergeCell ref="M41:P41"/>
    <mergeCell ref="M39:P39"/>
    <mergeCell ref="H40:K40"/>
    <mergeCell ref="V6:Y6"/>
    <mergeCell ref="V5:Y5"/>
    <mergeCell ref="Z6:AB6"/>
    <mergeCell ref="F7:U7"/>
    <mergeCell ref="F8:U8"/>
    <mergeCell ref="H38:K38"/>
    <mergeCell ref="M38:P38"/>
    <mergeCell ref="P21:AB21"/>
    <mergeCell ref="P27:W27"/>
    <mergeCell ref="P30:W30"/>
    <mergeCell ref="Y34:AB34"/>
    <mergeCell ref="B16:R16"/>
    <mergeCell ref="B33:J33"/>
    <mergeCell ref="C30:I30"/>
    <mergeCell ref="K30:M30"/>
    <mergeCell ref="K32:N32"/>
    <mergeCell ref="P29:W29"/>
    <mergeCell ref="P25:W26"/>
    <mergeCell ref="W10:X10"/>
    <mergeCell ref="W11:X11"/>
    <mergeCell ref="Z14:AB14"/>
    <mergeCell ref="Z15:AB15"/>
    <mergeCell ref="Z11:AB11"/>
    <mergeCell ref="Z16:AB16"/>
    <mergeCell ref="F39:G39"/>
    <mergeCell ref="K35:N35"/>
    <mergeCell ref="X24:Y24"/>
    <mergeCell ref="O22:O23"/>
    <mergeCell ref="B35:J35"/>
    <mergeCell ref="F37:V37"/>
    <mergeCell ref="B34:J34"/>
    <mergeCell ref="Z8:AB8"/>
    <mergeCell ref="Z9:AB9"/>
    <mergeCell ref="Z10:AB10"/>
    <mergeCell ref="Z12:AB12"/>
    <mergeCell ref="O32:X32"/>
    <mergeCell ref="P24:W24"/>
    <mergeCell ref="S39:T39"/>
    <mergeCell ref="X29:Y29"/>
    <mergeCell ref="X27:Y27"/>
    <mergeCell ref="X25:Y26"/>
    <mergeCell ref="W16:X16"/>
    <mergeCell ref="W14:X14"/>
    <mergeCell ref="W15:X15"/>
    <mergeCell ref="B19:AB19"/>
    <mergeCell ref="W18:Z18"/>
    <mergeCell ref="S18:V18"/>
    <mergeCell ref="B12:D12"/>
    <mergeCell ref="B1:P1"/>
    <mergeCell ref="Q1:AB1"/>
    <mergeCell ref="B20:AB20"/>
    <mergeCell ref="O25:O26"/>
    <mergeCell ref="C24:M25"/>
    <mergeCell ref="B32:J32"/>
    <mergeCell ref="S17:V17"/>
    <mergeCell ref="F15:U15"/>
    <mergeCell ref="B18:R18"/>
    <mergeCell ref="B17:J17"/>
    <mergeCell ref="AB2:AC2"/>
    <mergeCell ref="AB3:AC3"/>
    <mergeCell ref="F2:V2"/>
    <mergeCell ref="F3:V3"/>
    <mergeCell ref="Y17:AB17"/>
    <mergeCell ref="W17:X17"/>
    <mergeCell ref="B8:D8"/>
    <mergeCell ref="W8:X8"/>
    <mergeCell ref="Z5:AB5"/>
    <mergeCell ref="F6:U6"/>
    <mergeCell ref="Z7:AB7"/>
    <mergeCell ref="K17:R17"/>
    <mergeCell ref="Z25:AB26"/>
    <mergeCell ref="B31:AB31"/>
  </mergeCells>
  <phoneticPr fontId="0" type="noConversion"/>
  <conditionalFormatting sqref="Z17">
    <cfRule type="expression" dxfId="62" priority="1" stopIfTrue="1">
      <formula>W16&lt;&gt;0</formula>
    </cfRule>
  </conditionalFormatting>
  <conditionalFormatting sqref="AA17">
    <cfRule type="expression" dxfId="61" priority="2" stopIfTrue="1">
      <formula>W16&lt;&gt;0</formula>
    </cfRule>
  </conditionalFormatting>
  <conditionalFormatting sqref="X18">
    <cfRule type="expression" dxfId="60" priority="3" stopIfTrue="1">
      <formula>Z16&lt;&gt;0</formula>
    </cfRule>
  </conditionalFormatting>
  <conditionalFormatting sqref="Y17">
    <cfRule type="expression" dxfId="59" priority="4" stopIfTrue="1">
      <formula>W16&lt;&gt;0</formula>
    </cfRule>
  </conditionalFormatting>
  <conditionalFormatting sqref="AB17">
    <cfRule type="expression" dxfId="58" priority="5" stopIfTrue="1">
      <formula>W16&lt;&gt;0</formula>
    </cfRule>
  </conditionalFormatting>
  <conditionalFormatting sqref="W18">
    <cfRule type="expression" dxfId="57" priority="6" stopIfTrue="1">
      <formula>Z16&lt;&gt;0</formula>
    </cfRule>
  </conditionalFormatting>
  <conditionalFormatting sqref="Y18">
    <cfRule type="expression" dxfId="56" priority="7" stopIfTrue="1">
      <formula>Z16&lt;&gt;0</formula>
    </cfRule>
  </conditionalFormatting>
  <conditionalFormatting sqref="Z18">
    <cfRule type="expression" dxfId="55" priority="8" stopIfTrue="1">
      <formula>Z16&lt;&gt;0</formula>
    </cfRule>
  </conditionalFormatting>
  <conditionalFormatting sqref="W17:X17">
    <cfRule type="cellIs" dxfId="54"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sheetPr syncVertical="1" syncRef="A1" transitionEvaluation="1"/>
  <dimension ref="A1:AL255"/>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5</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4'!Y32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SUM(H40:H43)</f>
        <v>95026</v>
      </c>
      <c r="I39" s="223"/>
      <c r="J39" s="223"/>
      <c r="K39" s="221"/>
      <c r="M39" s="222">
        <f>SUM(M40:M43)</f>
        <v>0</v>
      </c>
      <c r="N39" s="223"/>
      <c r="O39" s="223"/>
      <c r="P39" s="221"/>
      <c r="R39" s="64"/>
      <c r="S39" s="220">
        <f>SUM(S40:S43)</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157" t="str">
        <f>IF('CO 4'!Z16&gt;0,'CO 4'!Z16,"")</f>
        <v/>
      </c>
      <c r="I43" s="219"/>
      <c r="J43" s="219"/>
      <c r="K43" s="139"/>
      <c r="L43" s="94"/>
      <c r="M43" s="157" t="str">
        <f>IF('CO 4'!Z16&lt;0,'CO 4'!Z16,"")</f>
        <v/>
      </c>
      <c r="N43" s="219"/>
      <c r="O43" s="219"/>
      <c r="P43" s="139"/>
      <c r="R43" s="64"/>
      <c r="S43" s="224">
        <f>'CO 4'!W16</f>
        <v>0</v>
      </c>
      <c r="T43" s="139"/>
      <c r="U43" s="40"/>
      <c r="V43" s="64"/>
      <c r="W43" s="64"/>
      <c r="Y43" s="64"/>
      <c r="Z43" s="64"/>
      <c r="AA43" s="64"/>
      <c r="AB43" s="64"/>
      <c r="AC43" s="64"/>
      <c r="AD43" s="64"/>
      <c r="AE43" s="4"/>
      <c r="AF43" s="4"/>
    </row>
    <row r="44" spans="1:32" s="65" customFormat="1" ht="12.75">
      <c r="A44" s="97"/>
      <c r="B44" s="97"/>
      <c r="C44" s="71"/>
      <c r="G44" s="99"/>
      <c r="H44" s="97"/>
      <c r="I44" s="97"/>
      <c r="J44" s="97"/>
      <c r="K44" s="97"/>
      <c r="L44" s="97"/>
      <c r="M44" s="97"/>
      <c r="N44" s="97"/>
      <c r="O44" s="97"/>
      <c r="P44" s="66"/>
      <c r="Q44" s="66"/>
      <c r="R44" s="66"/>
      <c r="S44" s="66"/>
      <c r="T44" s="66"/>
      <c r="U44" s="66"/>
      <c r="V44" s="66"/>
      <c r="W44" s="66"/>
      <c r="X44" s="66"/>
      <c r="Y44" s="66"/>
      <c r="Z44" s="66"/>
      <c r="AA44" s="66"/>
      <c r="AB44" s="66"/>
      <c r="AE44" s="4"/>
      <c r="AF44" s="4"/>
    </row>
    <row r="45" spans="1:32" s="5" customFormat="1" ht="12.75">
      <c r="A45" s="40"/>
      <c r="B45" s="40"/>
      <c r="C45" s="93"/>
      <c r="G45" s="96"/>
      <c r="H45" s="232"/>
      <c r="I45" s="232"/>
      <c r="J45" s="232"/>
      <c r="K45" s="119"/>
      <c r="M45" s="232"/>
      <c r="N45" s="232"/>
      <c r="O45" s="232"/>
      <c r="P45" s="119"/>
      <c r="R45" s="64"/>
      <c r="S45" s="224"/>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224"/>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sheetData>
  <sheetProtection selectLockedCells="1"/>
  <mergeCells count="154">
    <mergeCell ref="Z5:AB5"/>
    <mergeCell ref="Z11:AB11"/>
    <mergeCell ref="F13:U13"/>
    <mergeCell ref="W13:X13"/>
    <mergeCell ref="V6:Y6"/>
    <mergeCell ref="B9:D9"/>
    <mergeCell ref="F7:U7"/>
    <mergeCell ref="F11:U11"/>
    <mergeCell ref="W8:X8"/>
    <mergeCell ref="F6:U6"/>
    <mergeCell ref="W9:X9"/>
    <mergeCell ref="Z6:AB6"/>
    <mergeCell ref="Z9:AB9"/>
    <mergeCell ref="Z7:AB7"/>
    <mergeCell ref="Z8:AB8"/>
    <mergeCell ref="Z12:AB12"/>
    <mergeCell ref="W2:Y2"/>
    <mergeCell ref="W11:X11"/>
    <mergeCell ref="B13:D13"/>
    <mergeCell ref="F12:U12"/>
    <mergeCell ref="W12:X12"/>
    <mergeCell ref="B12:D12"/>
    <mergeCell ref="B11:D11"/>
    <mergeCell ref="B6:D6"/>
    <mergeCell ref="B7:D7"/>
    <mergeCell ref="B8:D8"/>
    <mergeCell ref="V5:Y5"/>
    <mergeCell ref="F8:U8"/>
    <mergeCell ref="F9:U9"/>
    <mergeCell ref="W10:X10"/>
    <mergeCell ref="B10:D10"/>
    <mergeCell ref="H51:J51"/>
    <mergeCell ref="H49:K49"/>
    <mergeCell ref="M50:O50"/>
    <mergeCell ref="M51:O51"/>
    <mergeCell ref="M49:P49"/>
    <mergeCell ref="P27:W27"/>
    <mergeCell ref="C28:M28"/>
    <mergeCell ref="C21:M21"/>
    <mergeCell ref="C22:M23"/>
    <mergeCell ref="C26:M27"/>
    <mergeCell ref="C24:M25"/>
    <mergeCell ref="O25:O26"/>
    <mergeCell ref="M45:P45"/>
    <mergeCell ref="H50:J50"/>
    <mergeCell ref="H42:K42"/>
    <mergeCell ref="M41:P41"/>
    <mergeCell ref="H45:K45"/>
    <mergeCell ref="B35:J35"/>
    <mergeCell ref="K34:N34"/>
    <mergeCell ref="K35:N35"/>
    <mergeCell ref="O32:X32"/>
    <mergeCell ref="B34:J34"/>
    <mergeCell ref="C30:I30"/>
    <mergeCell ref="K30:M30"/>
    <mergeCell ref="W17:X17"/>
    <mergeCell ref="Y17:AB17"/>
    <mergeCell ref="Z14:AB14"/>
    <mergeCell ref="Z15:AB15"/>
    <mergeCell ref="Z16:AB16"/>
    <mergeCell ref="F10:U10"/>
    <mergeCell ref="F14:U14"/>
    <mergeCell ref="W14:X14"/>
    <mergeCell ref="F15:U15"/>
    <mergeCell ref="W15:X15"/>
    <mergeCell ref="W16:X16"/>
    <mergeCell ref="Z13:AB13"/>
    <mergeCell ref="F39:G39"/>
    <mergeCell ref="H39:K39"/>
    <mergeCell ref="F37:V37"/>
    <mergeCell ref="H40:K40"/>
    <mergeCell ref="H38:K38"/>
    <mergeCell ref="M38:P38"/>
    <mergeCell ref="P25:W26"/>
    <mergeCell ref="X25:Y26"/>
    <mergeCell ref="X24:Y24"/>
    <mergeCell ref="O34:X34"/>
    <mergeCell ref="Y35:AB35"/>
    <mergeCell ref="O35:X35"/>
    <mergeCell ref="X29:Y29"/>
    <mergeCell ref="Y33:AB33"/>
    <mergeCell ref="Y34:AB34"/>
    <mergeCell ref="M40:P40"/>
    <mergeCell ref="M39:P39"/>
    <mergeCell ref="O33:X33"/>
    <mergeCell ref="H41:K41"/>
    <mergeCell ref="H43:K43"/>
    <mergeCell ref="M42:P42"/>
    <mergeCell ref="M43:P43"/>
    <mergeCell ref="S49:T49"/>
    <mergeCell ref="Q38:W38"/>
    <mergeCell ref="S42:T42"/>
    <mergeCell ref="S43:T43"/>
    <mergeCell ref="S39:T39"/>
    <mergeCell ref="S48:T48"/>
    <mergeCell ref="S47:T47"/>
    <mergeCell ref="S40:T40"/>
    <mergeCell ref="H48:K48"/>
    <mergeCell ref="M46:P46"/>
    <mergeCell ref="M47:P47"/>
    <mergeCell ref="M48:P48"/>
    <mergeCell ref="H47:K47"/>
    <mergeCell ref="H46:K46"/>
    <mergeCell ref="S41:T41"/>
    <mergeCell ref="S45:T45"/>
    <mergeCell ref="S46:T46"/>
    <mergeCell ref="Z2:AA2"/>
    <mergeCell ref="B17:J17"/>
    <mergeCell ref="S18:V18"/>
    <mergeCell ref="B18:R18"/>
    <mergeCell ref="S17:V17"/>
    <mergeCell ref="K17:R17"/>
    <mergeCell ref="W18:Z18"/>
    <mergeCell ref="Z29:AB29"/>
    <mergeCell ref="B19:AB19"/>
    <mergeCell ref="B20:AB20"/>
    <mergeCell ref="P24:W24"/>
    <mergeCell ref="P22:W23"/>
    <mergeCell ref="P21:AB21"/>
    <mergeCell ref="C29:I29"/>
    <mergeCell ref="Z25:AB26"/>
    <mergeCell ref="Z22:AB23"/>
    <mergeCell ref="K29:M29"/>
    <mergeCell ref="X22:Y23"/>
    <mergeCell ref="B16:R16"/>
    <mergeCell ref="S16:V16"/>
    <mergeCell ref="B14:D14"/>
    <mergeCell ref="B15:D15"/>
    <mergeCell ref="X27:Y27"/>
    <mergeCell ref="O22:O23"/>
    <mergeCell ref="Z3:AA3"/>
    <mergeCell ref="P30:W30"/>
    <mergeCell ref="B1:P1"/>
    <mergeCell ref="Q1:AB1"/>
    <mergeCell ref="W3:Y3"/>
    <mergeCell ref="A2:E2"/>
    <mergeCell ref="A3:E3"/>
    <mergeCell ref="B33:J33"/>
    <mergeCell ref="B32:J32"/>
    <mergeCell ref="B31:AB31"/>
    <mergeCell ref="Y32:AB32"/>
    <mergeCell ref="K32:N32"/>
    <mergeCell ref="K33:N33"/>
    <mergeCell ref="Z30:AB30"/>
    <mergeCell ref="X30:Y30"/>
    <mergeCell ref="AB2:AC2"/>
    <mergeCell ref="AB3:AC3"/>
    <mergeCell ref="F2:V2"/>
    <mergeCell ref="F3:V3"/>
    <mergeCell ref="Z10:AB10"/>
    <mergeCell ref="P29:W29"/>
    <mergeCell ref="P28:AB28"/>
    <mergeCell ref="W7:X7"/>
    <mergeCell ref="B4:AB4"/>
  </mergeCells>
  <phoneticPr fontId="0" type="noConversion"/>
  <conditionalFormatting sqref="Z17">
    <cfRule type="expression" dxfId="53" priority="1" stopIfTrue="1">
      <formula>W16&lt;&gt;0</formula>
    </cfRule>
  </conditionalFormatting>
  <conditionalFormatting sqref="AA17">
    <cfRule type="expression" dxfId="52" priority="2" stopIfTrue="1">
      <formula>W16&lt;&gt;0</formula>
    </cfRule>
  </conditionalFormatting>
  <conditionalFormatting sqref="X18">
    <cfRule type="expression" dxfId="51" priority="3" stopIfTrue="1">
      <formula>Z16&lt;&gt;0</formula>
    </cfRule>
  </conditionalFormatting>
  <conditionalFormatting sqref="Y17">
    <cfRule type="expression" dxfId="50" priority="4" stopIfTrue="1">
      <formula>W16&lt;&gt;0</formula>
    </cfRule>
  </conditionalFormatting>
  <conditionalFormatting sqref="AB17">
    <cfRule type="expression" dxfId="49" priority="5" stopIfTrue="1">
      <formula>W16&lt;&gt;0</formula>
    </cfRule>
  </conditionalFormatting>
  <conditionalFormatting sqref="W18">
    <cfRule type="expression" dxfId="48" priority="6" stopIfTrue="1">
      <formula>Z16&lt;&gt;0</formula>
    </cfRule>
  </conditionalFormatting>
  <conditionalFormatting sqref="Y18">
    <cfRule type="expression" dxfId="47" priority="7" stopIfTrue="1">
      <formula>Z16&lt;&gt;0</formula>
    </cfRule>
  </conditionalFormatting>
  <conditionalFormatting sqref="Z18">
    <cfRule type="expression" dxfId="46" priority="8" stopIfTrue="1">
      <formula>Z16&lt;&gt;0</formula>
    </cfRule>
  </conditionalFormatting>
  <conditionalFormatting sqref="W17:X17">
    <cfRule type="cellIs" dxfId="45"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sheetPr syncVertical="1" syncRef="A1" transitionEvaluation="1"/>
  <dimension ref="A1:AL256"/>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6</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5'!Y32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79"/>
      <c r="M35" s="179"/>
      <c r="N35" s="179"/>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SUM(H40:H44)</f>
        <v>95026</v>
      </c>
      <c r="I39" s="223"/>
      <c r="J39" s="223"/>
      <c r="K39" s="221"/>
      <c r="M39" s="222">
        <f>SUM(M40:M44)</f>
        <v>0</v>
      </c>
      <c r="N39" s="223"/>
      <c r="O39" s="223"/>
      <c r="P39" s="221"/>
      <c r="R39" s="64"/>
      <c r="S39" s="220">
        <f>SUM(S40:S44)</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94"/>
      <c r="M44" s="157" t="str">
        <f>IF('CO 5'!Z16&lt;0,'CO 5'!Z16,"")</f>
        <v/>
      </c>
      <c r="N44" s="219"/>
      <c r="O44" s="219"/>
      <c r="P44" s="139"/>
      <c r="R44" s="64"/>
      <c r="S44" s="224">
        <f>'CO 5'!W16</f>
        <v>0</v>
      </c>
      <c r="T44" s="139"/>
      <c r="U44" s="40"/>
      <c r="V44" s="64"/>
      <c r="W44" s="64"/>
      <c r="Y44" s="64"/>
      <c r="Z44" s="64"/>
      <c r="AA44" s="64"/>
      <c r="AB44" s="64"/>
      <c r="AC44" s="64"/>
      <c r="AD44" s="64"/>
      <c r="AE44" s="4"/>
      <c r="AF44" s="4"/>
    </row>
    <row r="45" spans="1:32" s="97" customFormat="1" ht="12.75">
      <c r="C45" s="68"/>
      <c r="G45" s="99"/>
      <c r="P45" s="66"/>
      <c r="Q45" s="66"/>
      <c r="R45" s="66"/>
      <c r="S45" s="66"/>
      <c r="T45" s="66"/>
      <c r="U45" s="66"/>
      <c r="V45" s="66"/>
      <c r="W45" s="66"/>
      <c r="X45" s="66"/>
      <c r="Y45" s="66"/>
      <c r="Z45" s="66"/>
      <c r="AA45" s="66"/>
      <c r="AB45" s="66"/>
      <c r="AE45" s="4"/>
      <c r="AF45" s="4"/>
    </row>
    <row r="46" spans="1:32" s="5" customFormat="1" ht="12.75">
      <c r="A46" s="40"/>
      <c r="B46" s="40"/>
      <c r="C46" s="93"/>
      <c r="G46" s="96"/>
      <c r="H46" s="232"/>
      <c r="I46" s="232"/>
      <c r="J46" s="232"/>
      <c r="K46" s="119"/>
      <c r="M46" s="232"/>
      <c r="N46" s="232"/>
      <c r="O46" s="232"/>
      <c r="P46" s="119"/>
      <c r="R46" s="64"/>
      <c r="S46" s="224"/>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sheetData>
  <sheetProtection selectLockedCells="1"/>
  <mergeCells count="154">
    <mergeCell ref="A3:E3"/>
    <mergeCell ref="AB3:AC3"/>
    <mergeCell ref="F2:V2"/>
    <mergeCell ref="F3:V3"/>
    <mergeCell ref="Z2:AA2"/>
    <mergeCell ref="Z3:AA3"/>
    <mergeCell ref="W2:Y2"/>
    <mergeCell ref="W3:Y3"/>
    <mergeCell ref="W13:X13"/>
    <mergeCell ref="W12:X12"/>
    <mergeCell ref="W10:X10"/>
    <mergeCell ref="Z11:AB11"/>
    <mergeCell ref="V5:Y5"/>
    <mergeCell ref="AB2:AC2"/>
    <mergeCell ref="B4:AB4"/>
    <mergeCell ref="Z5:AB5"/>
    <mergeCell ref="Z7:AB7"/>
    <mergeCell ref="A2:E2"/>
    <mergeCell ref="Z6:AB6"/>
    <mergeCell ref="Z8:AB8"/>
    <mergeCell ref="Z9:AB9"/>
    <mergeCell ref="Z10:AB10"/>
    <mergeCell ref="Z12:AB12"/>
    <mergeCell ref="F15:U15"/>
    <mergeCell ref="B11:D11"/>
    <mergeCell ref="F11:U11"/>
    <mergeCell ref="B14:D14"/>
    <mergeCell ref="B15:D15"/>
    <mergeCell ref="W15:X15"/>
    <mergeCell ref="W11:X11"/>
    <mergeCell ref="B6:D6"/>
    <mergeCell ref="B7:D7"/>
    <mergeCell ref="B9:D9"/>
    <mergeCell ref="B10:D10"/>
    <mergeCell ref="B8:D8"/>
    <mergeCell ref="W8:X8"/>
    <mergeCell ref="V6:Y6"/>
    <mergeCell ref="F7:U7"/>
    <mergeCell ref="F8:U8"/>
    <mergeCell ref="F9:U9"/>
    <mergeCell ref="F10:U10"/>
    <mergeCell ref="F12:U12"/>
    <mergeCell ref="W7:X7"/>
    <mergeCell ref="W9:X9"/>
    <mergeCell ref="F6:U6"/>
    <mergeCell ref="B13:D13"/>
    <mergeCell ref="F13:U13"/>
    <mergeCell ref="O35:X35"/>
    <mergeCell ref="O33:X33"/>
    <mergeCell ref="S43:T43"/>
    <mergeCell ref="S46:T46"/>
    <mergeCell ref="S47:T47"/>
    <mergeCell ref="S48:T48"/>
    <mergeCell ref="S49:T49"/>
    <mergeCell ref="M42:P42"/>
    <mergeCell ref="H42:K42"/>
    <mergeCell ref="B35:J35"/>
    <mergeCell ref="H40:K40"/>
    <mergeCell ref="S39:T39"/>
    <mergeCell ref="O34:X34"/>
    <mergeCell ref="K34:N34"/>
    <mergeCell ref="M40:P40"/>
    <mergeCell ref="H39:K39"/>
    <mergeCell ref="Q38:W38"/>
    <mergeCell ref="H38:K38"/>
    <mergeCell ref="M38:P38"/>
    <mergeCell ref="F37:V37"/>
    <mergeCell ref="S41:T41"/>
    <mergeCell ref="S42:T42"/>
    <mergeCell ref="H41:K41"/>
    <mergeCell ref="S40:T40"/>
    <mergeCell ref="H51:J51"/>
    <mergeCell ref="M51:O51"/>
    <mergeCell ref="M49:P49"/>
    <mergeCell ref="H48:K48"/>
    <mergeCell ref="S44:T44"/>
    <mergeCell ref="H46:K46"/>
    <mergeCell ref="H47:K47"/>
    <mergeCell ref="M43:P43"/>
    <mergeCell ref="H43:K43"/>
    <mergeCell ref="H44:K44"/>
    <mergeCell ref="M44:P44"/>
    <mergeCell ref="M50:O50"/>
    <mergeCell ref="H50:J50"/>
    <mergeCell ref="H49:K49"/>
    <mergeCell ref="M46:P46"/>
    <mergeCell ref="M47:P47"/>
    <mergeCell ref="M48:P48"/>
    <mergeCell ref="P25:W26"/>
    <mergeCell ref="Z30:AB30"/>
    <mergeCell ref="Y32:AB32"/>
    <mergeCell ref="Z25:AB26"/>
    <mergeCell ref="W18:Z18"/>
    <mergeCell ref="S18:V18"/>
    <mergeCell ref="B18:R18"/>
    <mergeCell ref="B17:J17"/>
    <mergeCell ref="K17:R17"/>
    <mergeCell ref="Y17:AB17"/>
    <mergeCell ref="X30:Y30"/>
    <mergeCell ref="X24:Y24"/>
    <mergeCell ref="C30:I30"/>
    <mergeCell ref="K30:M30"/>
    <mergeCell ref="B19:AB19"/>
    <mergeCell ref="W17:X17"/>
    <mergeCell ref="S17:V17"/>
    <mergeCell ref="P21:AB21"/>
    <mergeCell ref="M39:P39"/>
    <mergeCell ref="F39:G39"/>
    <mergeCell ref="M41:P41"/>
    <mergeCell ref="Y35:AB35"/>
    <mergeCell ref="B16:R16"/>
    <mergeCell ref="S16:V16"/>
    <mergeCell ref="B12:D12"/>
    <mergeCell ref="K29:M29"/>
    <mergeCell ref="C22:M23"/>
    <mergeCell ref="C29:I29"/>
    <mergeCell ref="F14:U14"/>
    <mergeCell ref="K35:N35"/>
    <mergeCell ref="C28:M28"/>
    <mergeCell ref="O22:O23"/>
    <mergeCell ref="P22:W23"/>
    <mergeCell ref="P28:AB28"/>
    <mergeCell ref="Z22:AB23"/>
    <mergeCell ref="X22:Y23"/>
    <mergeCell ref="P24:W24"/>
    <mergeCell ref="P27:W27"/>
    <mergeCell ref="X27:Y27"/>
    <mergeCell ref="X25:Y26"/>
    <mergeCell ref="C21:M21"/>
    <mergeCell ref="C26:M27"/>
    <mergeCell ref="W16:X16"/>
    <mergeCell ref="W14:X14"/>
    <mergeCell ref="B1:P1"/>
    <mergeCell ref="Q1:AB1"/>
    <mergeCell ref="B34:J34"/>
    <mergeCell ref="B31:AB31"/>
    <mergeCell ref="Y34:AB34"/>
    <mergeCell ref="B20:AB20"/>
    <mergeCell ref="O25:O26"/>
    <mergeCell ref="C24:M25"/>
    <mergeCell ref="B32:J32"/>
    <mergeCell ref="B33:J33"/>
    <mergeCell ref="Y33:AB33"/>
    <mergeCell ref="Z13:AB13"/>
    <mergeCell ref="Z29:AB29"/>
    <mergeCell ref="O32:X32"/>
    <mergeCell ref="K32:N32"/>
    <mergeCell ref="K33:N33"/>
    <mergeCell ref="Z14:AB14"/>
    <mergeCell ref="Z15:AB15"/>
    <mergeCell ref="Z16:AB16"/>
    <mergeCell ref="X29:Y29"/>
    <mergeCell ref="P30:W30"/>
    <mergeCell ref="P29:W29"/>
  </mergeCells>
  <phoneticPr fontId="0" type="noConversion"/>
  <conditionalFormatting sqref="Z17">
    <cfRule type="expression" dxfId="44" priority="1" stopIfTrue="1">
      <formula>W16&lt;&gt;0</formula>
    </cfRule>
  </conditionalFormatting>
  <conditionalFormatting sqref="AA17">
    <cfRule type="expression" dxfId="43" priority="2" stopIfTrue="1">
      <formula>W16&lt;&gt;0</formula>
    </cfRule>
  </conditionalFormatting>
  <conditionalFormatting sqref="X18">
    <cfRule type="expression" dxfId="42" priority="3" stopIfTrue="1">
      <formula>Z16&lt;&gt;0</formula>
    </cfRule>
  </conditionalFormatting>
  <conditionalFormatting sqref="Y17">
    <cfRule type="expression" dxfId="41" priority="4" stopIfTrue="1">
      <formula>W16&lt;&gt;0</formula>
    </cfRule>
  </conditionalFormatting>
  <conditionalFormatting sqref="AB17">
    <cfRule type="expression" dxfId="40" priority="5" stopIfTrue="1">
      <formula>W16&lt;&gt;0</formula>
    </cfRule>
  </conditionalFormatting>
  <conditionalFormatting sqref="W18">
    <cfRule type="expression" dxfId="39" priority="6" stopIfTrue="1">
      <formula>Z16&lt;&gt;0</formula>
    </cfRule>
  </conditionalFormatting>
  <conditionalFormatting sqref="Y18">
    <cfRule type="expression" dxfId="38" priority="7" stopIfTrue="1">
      <formula>Z16&lt;&gt;0</formula>
    </cfRule>
  </conditionalFormatting>
  <conditionalFormatting sqref="Z18">
    <cfRule type="expression" dxfId="37" priority="8" stopIfTrue="1">
      <formula>Z16&lt;&gt;0</formula>
    </cfRule>
  </conditionalFormatting>
  <conditionalFormatting sqref="W17:X17">
    <cfRule type="cellIs" dxfId="36"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sheetPr syncVertical="1" syncRef="A1" transitionEvaluation="1"/>
  <dimension ref="A1:AL257"/>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7</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6'!Y32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SUM(H40:H45)</f>
        <v>95026</v>
      </c>
      <c r="I39" s="223"/>
      <c r="J39" s="223"/>
      <c r="K39" s="221"/>
      <c r="M39" s="222">
        <f>SUM(M40:M45)</f>
        <v>0</v>
      </c>
      <c r="N39" s="223"/>
      <c r="O39" s="223"/>
      <c r="P39" s="221"/>
      <c r="R39" s="64"/>
      <c r="S39" s="220">
        <f>SUM(S40:S45)</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157" t="str">
        <f>IF('CO 6'!Z16&gt;0,'CO 6'!Z16,"")</f>
        <v/>
      </c>
      <c r="I45" s="219"/>
      <c r="J45" s="219"/>
      <c r="K45" s="139"/>
      <c r="L45" s="94"/>
      <c r="M45" s="157" t="str">
        <f>IF('CO 6'!Z16&lt;0,'CO 6'!Z16,"")</f>
        <v/>
      </c>
      <c r="N45" s="219"/>
      <c r="O45" s="219"/>
      <c r="P45" s="139"/>
      <c r="R45" s="64"/>
      <c r="S45" s="224">
        <f>'CO 6'!W16</f>
        <v>0</v>
      </c>
      <c r="T45" s="139"/>
      <c r="U45" s="40"/>
      <c r="V45" s="64"/>
      <c r="W45" s="64"/>
      <c r="Y45" s="64"/>
      <c r="Z45" s="64"/>
      <c r="AA45" s="64"/>
      <c r="AB45" s="64"/>
      <c r="AC45" s="64"/>
      <c r="AD45" s="64"/>
      <c r="AE45" s="4"/>
      <c r="AF45" s="4"/>
    </row>
    <row r="46" spans="1:32" s="65" customFormat="1" ht="12.75">
      <c r="A46" s="97"/>
      <c r="B46" s="97"/>
      <c r="C46" s="71"/>
      <c r="G46" s="98"/>
      <c r="H46" s="97"/>
      <c r="I46" s="97"/>
      <c r="J46" s="97"/>
      <c r="K46" s="97"/>
      <c r="L46" s="97"/>
      <c r="M46" s="97"/>
      <c r="N46" s="97"/>
      <c r="O46" s="97"/>
      <c r="P46" s="66"/>
      <c r="Q46" s="66"/>
      <c r="R46" s="66"/>
      <c r="S46" s="66"/>
      <c r="T46" s="66"/>
      <c r="U46" s="66"/>
      <c r="V46" s="66"/>
      <c r="W46" s="66"/>
      <c r="X46" s="66"/>
      <c r="Y46" s="66"/>
      <c r="Z46" s="66"/>
      <c r="AA46" s="66"/>
      <c r="AB46" s="66"/>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sheetData>
  <sheetProtection selectLockedCells="1"/>
  <mergeCells count="154">
    <mergeCell ref="AB3:AC3"/>
    <mergeCell ref="A2:E2"/>
    <mergeCell ref="B7:D7"/>
    <mergeCell ref="F12:U12"/>
    <mergeCell ref="A3:E3"/>
    <mergeCell ref="B4:AB4"/>
    <mergeCell ref="Z3:AA3"/>
    <mergeCell ref="W2:Y2"/>
    <mergeCell ref="W3:Y3"/>
    <mergeCell ref="Z2:AA2"/>
    <mergeCell ref="AB2:AC2"/>
    <mergeCell ref="Z12:AB12"/>
    <mergeCell ref="F7:U7"/>
    <mergeCell ref="F8:U8"/>
    <mergeCell ref="B9:D9"/>
    <mergeCell ref="B6:D6"/>
    <mergeCell ref="Z11:AB11"/>
    <mergeCell ref="B11:D11"/>
    <mergeCell ref="W8:X8"/>
    <mergeCell ref="F9:U9"/>
    <mergeCell ref="F10:U10"/>
    <mergeCell ref="W9:X9"/>
    <mergeCell ref="W10:X10"/>
    <mergeCell ref="W12:X12"/>
    <mergeCell ref="Z7:AB7"/>
    <mergeCell ref="Z8:AB8"/>
    <mergeCell ref="O22:O23"/>
    <mergeCell ref="C21:M21"/>
    <mergeCell ref="C22:M23"/>
    <mergeCell ref="B12:D12"/>
    <mergeCell ref="B14:D14"/>
    <mergeCell ref="B15:D15"/>
    <mergeCell ref="B13:D13"/>
    <mergeCell ref="F13:U13"/>
    <mergeCell ref="B18:R18"/>
    <mergeCell ref="B17:J17"/>
    <mergeCell ref="K17:R17"/>
    <mergeCell ref="F15:U15"/>
    <mergeCell ref="X27:Y27"/>
    <mergeCell ref="S17:V17"/>
    <mergeCell ref="F11:U11"/>
    <mergeCell ref="X24:Y24"/>
    <mergeCell ref="P30:W30"/>
    <mergeCell ref="P27:W27"/>
    <mergeCell ref="P21:AB21"/>
    <mergeCell ref="Z22:AB23"/>
    <mergeCell ref="Z29:AB29"/>
    <mergeCell ref="Z30:AB30"/>
    <mergeCell ref="X29:Y29"/>
    <mergeCell ref="Y17:AB17"/>
    <mergeCell ref="W17:X17"/>
    <mergeCell ref="B16:R16"/>
    <mergeCell ref="S16:V16"/>
    <mergeCell ref="Z15:AB15"/>
    <mergeCell ref="Z16:AB16"/>
    <mergeCell ref="W15:X15"/>
    <mergeCell ref="W16:X16"/>
    <mergeCell ref="Z25:AB26"/>
    <mergeCell ref="Z14:AB14"/>
    <mergeCell ref="P22:W23"/>
    <mergeCell ref="W14:X14"/>
    <mergeCell ref="W13:X13"/>
    <mergeCell ref="X25:Y26"/>
    <mergeCell ref="K33:N33"/>
    <mergeCell ref="C30:I30"/>
    <mergeCell ref="M45:P45"/>
    <mergeCell ref="P29:W29"/>
    <mergeCell ref="P28:AB28"/>
    <mergeCell ref="B32:J32"/>
    <mergeCell ref="K30:M30"/>
    <mergeCell ref="O25:O26"/>
    <mergeCell ref="K29:M29"/>
    <mergeCell ref="P25:W26"/>
    <mergeCell ref="Q38:W38"/>
    <mergeCell ref="S42:T42"/>
    <mergeCell ref="X30:Y30"/>
    <mergeCell ref="Y32:AB32"/>
    <mergeCell ref="Y33:AB33"/>
    <mergeCell ref="Y34:AB34"/>
    <mergeCell ref="Y35:AB35"/>
    <mergeCell ref="C28:M28"/>
    <mergeCell ref="F39:G39"/>
    <mergeCell ref="C29:I29"/>
    <mergeCell ref="B33:J33"/>
    <mergeCell ref="K32:N32"/>
    <mergeCell ref="C26:M27"/>
    <mergeCell ref="H51:J51"/>
    <mergeCell ref="H49:K49"/>
    <mergeCell ref="M50:O50"/>
    <mergeCell ref="M51:O51"/>
    <mergeCell ref="M49:P49"/>
    <mergeCell ref="K34:N34"/>
    <mergeCell ref="H50:J50"/>
    <mergeCell ref="M47:P47"/>
    <mergeCell ref="H39:K39"/>
    <mergeCell ref="H45:K45"/>
    <mergeCell ref="H41:K41"/>
    <mergeCell ref="H40:K40"/>
    <mergeCell ref="M41:P41"/>
    <mergeCell ref="B34:J34"/>
    <mergeCell ref="H42:K42"/>
    <mergeCell ref="M40:P40"/>
    <mergeCell ref="O34:X34"/>
    <mergeCell ref="F37:V37"/>
    <mergeCell ref="S43:T43"/>
    <mergeCell ref="H44:K44"/>
    <mergeCell ref="M44:P44"/>
    <mergeCell ref="S49:T49"/>
    <mergeCell ref="S45:T45"/>
    <mergeCell ref="S48:T48"/>
    <mergeCell ref="S39:T39"/>
    <mergeCell ref="O33:X33"/>
    <mergeCell ref="O35:X35"/>
    <mergeCell ref="B31:AB31"/>
    <mergeCell ref="O32:X32"/>
    <mergeCell ref="S47:T47"/>
    <mergeCell ref="M43:P43"/>
    <mergeCell ref="M48:P48"/>
    <mergeCell ref="H47:K47"/>
    <mergeCell ref="H48:K48"/>
    <mergeCell ref="M39:P39"/>
    <mergeCell ref="B35:J35"/>
    <mergeCell ref="H38:K38"/>
    <mergeCell ref="M38:P38"/>
    <mergeCell ref="S44:T44"/>
    <mergeCell ref="S40:T40"/>
    <mergeCell ref="S41:T41"/>
    <mergeCell ref="H43:K43"/>
    <mergeCell ref="M42:P42"/>
    <mergeCell ref="K35:N35"/>
    <mergeCell ref="F2:V2"/>
    <mergeCell ref="F3:V3"/>
    <mergeCell ref="B1:P1"/>
    <mergeCell ref="Q1:AB1"/>
    <mergeCell ref="B19:AB19"/>
    <mergeCell ref="P24:W24"/>
    <mergeCell ref="B20:AB20"/>
    <mergeCell ref="Z5:AB5"/>
    <mergeCell ref="V5:Y5"/>
    <mergeCell ref="Z6:AB6"/>
    <mergeCell ref="Z9:AB9"/>
    <mergeCell ref="Z10:AB10"/>
    <mergeCell ref="W18:Z18"/>
    <mergeCell ref="S18:V18"/>
    <mergeCell ref="W7:X7"/>
    <mergeCell ref="X22:Y23"/>
    <mergeCell ref="F6:U6"/>
    <mergeCell ref="B10:D10"/>
    <mergeCell ref="V6:Y6"/>
    <mergeCell ref="B8:D8"/>
    <mergeCell ref="C24:M25"/>
    <mergeCell ref="Z13:AB13"/>
    <mergeCell ref="F14:U14"/>
    <mergeCell ref="W11:X11"/>
  </mergeCells>
  <phoneticPr fontId="0" type="noConversion"/>
  <conditionalFormatting sqref="Z17">
    <cfRule type="expression" dxfId="35" priority="1" stopIfTrue="1">
      <formula>W16&lt;&gt;0</formula>
    </cfRule>
  </conditionalFormatting>
  <conditionalFormatting sqref="AA17">
    <cfRule type="expression" dxfId="34" priority="2" stopIfTrue="1">
      <formula>W16&lt;&gt;0</formula>
    </cfRule>
  </conditionalFormatting>
  <conditionalFormatting sqref="X18">
    <cfRule type="expression" dxfId="33" priority="3" stopIfTrue="1">
      <formula>Z16&lt;&gt;0</formula>
    </cfRule>
  </conditionalFormatting>
  <conditionalFormatting sqref="Y17">
    <cfRule type="expression" dxfId="32" priority="4" stopIfTrue="1">
      <formula>W16&lt;&gt;0</formula>
    </cfRule>
  </conditionalFormatting>
  <conditionalFormatting sqref="AB17">
    <cfRule type="expression" dxfId="31" priority="5" stopIfTrue="1">
      <formula>W16&lt;&gt;0</formula>
    </cfRule>
  </conditionalFormatting>
  <conditionalFormatting sqref="W18">
    <cfRule type="expression" dxfId="30" priority="6" stopIfTrue="1">
      <formula>Z16&lt;&gt;0</formula>
    </cfRule>
  </conditionalFormatting>
  <conditionalFormatting sqref="Y18">
    <cfRule type="expression" dxfId="29" priority="7" stopIfTrue="1">
      <formula>Z16&lt;&gt;0</formula>
    </cfRule>
  </conditionalFormatting>
  <conditionalFormatting sqref="Z18">
    <cfRule type="expression" dxfId="28" priority="8" stopIfTrue="1">
      <formula>Z16&lt;&gt;0</formula>
    </cfRule>
  </conditionalFormatting>
  <conditionalFormatting sqref="W17:X17">
    <cfRule type="cellIs" dxfId="27"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8.xml><?xml version="1.0" encoding="utf-8"?>
<worksheet xmlns="http://schemas.openxmlformats.org/spreadsheetml/2006/main" xmlns:r="http://schemas.openxmlformats.org/officeDocument/2006/relationships">
  <sheetPr syncVertical="1" syncRef="A1" transitionEvaluation="1"/>
  <dimension ref="A1:AL258"/>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8</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7'!Y32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SUM(H40:H46)</f>
        <v>95026</v>
      </c>
      <c r="I39" s="223"/>
      <c r="J39" s="223"/>
      <c r="K39" s="221"/>
      <c r="M39" s="222">
        <f>SUM(M40:M46)</f>
        <v>0</v>
      </c>
      <c r="N39" s="223"/>
      <c r="O39" s="223"/>
      <c r="P39" s="221"/>
      <c r="R39" s="64"/>
      <c r="S39" s="220">
        <f>SUM(S40:S46)</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237" t="str">
        <f>IF('CO 6'!Z16&gt;0,'CO 6'!Z16,"")</f>
        <v/>
      </c>
      <c r="I45" s="232"/>
      <c r="J45" s="232"/>
      <c r="K45" s="119"/>
      <c r="L45" s="94"/>
      <c r="M45" s="237" t="str">
        <f>IF('CO 6'!Z16&lt;0,'CO 6'!Z16,"")</f>
        <v/>
      </c>
      <c r="N45" s="232"/>
      <c r="O45" s="232"/>
      <c r="P45" s="119"/>
      <c r="R45" s="64"/>
      <c r="S45" s="224">
        <f>'CO 6'!W16</f>
        <v>0</v>
      </c>
      <c r="T45" s="119"/>
      <c r="V45" s="64"/>
      <c r="W45" s="64"/>
      <c r="Y45" s="64"/>
      <c r="Z45" s="64"/>
      <c r="AA45" s="64"/>
      <c r="AB45" s="64"/>
      <c r="AC45" s="64"/>
      <c r="AD45" s="64"/>
      <c r="AE45" s="4"/>
      <c r="AF45" s="4"/>
    </row>
    <row r="46" spans="1:32" s="5" customFormat="1" ht="12.75">
      <c r="A46" s="40"/>
      <c r="B46" s="40"/>
      <c r="E46" s="95"/>
      <c r="F46" s="94" t="s">
        <v>17</v>
      </c>
      <c r="G46" s="96">
        <v>7</v>
      </c>
      <c r="H46" s="157" t="str">
        <f>IF('CO 7'!Z16&gt;0,'CO 7'!Z16,"")</f>
        <v/>
      </c>
      <c r="I46" s="219"/>
      <c r="J46" s="219"/>
      <c r="K46" s="139"/>
      <c r="L46" s="94"/>
      <c r="M46" s="157" t="str">
        <f>IF('CO 7'!Z16&lt;0,'CO 7'!Z16,"")</f>
        <v/>
      </c>
      <c r="N46" s="219"/>
      <c r="O46" s="219"/>
      <c r="P46" s="139"/>
      <c r="R46" s="64"/>
      <c r="S46" s="224">
        <f>'CO 7'!W16</f>
        <v>0</v>
      </c>
      <c r="T46" s="139"/>
      <c r="U46" s="40"/>
      <c r="V46" s="64"/>
      <c r="W46" s="64"/>
      <c r="Y46" s="64"/>
      <c r="Z46" s="64"/>
      <c r="AA46" s="64"/>
      <c r="AB46" s="64"/>
      <c r="AC46" s="64"/>
      <c r="AD46" s="64"/>
      <c r="AE46" s="4"/>
      <c r="AF46" s="4"/>
    </row>
    <row r="47" spans="1:32" s="65" customFormat="1" ht="12.75">
      <c r="A47" s="97"/>
      <c r="B47" s="97"/>
      <c r="C47" s="71"/>
      <c r="G47" s="98"/>
      <c r="H47" s="97"/>
      <c r="I47" s="97"/>
      <c r="J47" s="97"/>
      <c r="K47" s="97"/>
      <c r="L47" s="97"/>
      <c r="M47" s="97"/>
      <c r="N47" s="97"/>
      <c r="O47" s="97"/>
      <c r="P47" s="66"/>
      <c r="Q47" s="66"/>
      <c r="R47" s="66"/>
      <c r="S47" s="66"/>
      <c r="T47" s="66"/>
      <c r="U47" s="66"/>
      <c r="V47" s="66"/>
      <c r="W47" s="66"/>
      <c r="X47" s="66"/>
      <c r="Y47" s="66"/>
      <c r="Z47" s="66"/>
      <c r="AA47" s="66"/>
      <c r="AB47" s="66"/>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sheetData>
  <sheetProtection selectLockedCells="1"/>
  <mergeCells count="154">
    <mergeCell ref="B4:AB4"/>
    <mergeCell ref="Z6:AB6"/>
    <mergeCell ref="Z8:AB8"/>
    <mergeCell ref="Z9:AB9"/>
    <mergeCell ref="Z11:AB11"/>
    <mergeCell ref="W7:X7"/>
    <mergeCell ref="W8:X8"/>
    <mergeCell ref="W9:X9"/>
    <mergeCell ref="AB2:AC2"/>
    <mergeCell ref="AB3:AC3"/>
    <mergeCell ref="F2:V2"/>
    <mergeCell ref="W3:Y3"/>
    <mergeCell ref="A2:E2"/>
    <mergeCell ref="A3:E3"/>
    <mergeCell ref="F3:V3"/>
    <mergeCell ref="Z2:AA2"/>
    <mergeCell ref="Z3:AA3"/>
    <mergeCell ref="W2:Y2"/>
    <mergeCell ref="Z5:AB5"/>
    <mergeCell ref="F15:U15"/>
    <mergeCell ref="B14:D14"/>
    <mergeCell ref="B12:D12"/>
    <mergeCell ref="Z13:AB13"/>
    <mergeCell ref="W12:X12"/>
    <mergeCell ref="Z14:AB14"/>
    <mergeCell ref="Z15:AB15"/>
    <mergeCell ref="B6:D6"/>
    <mergeCell ref="B7:D7"/>
    <mergeCell ref="F7:U7"/>
    <mergeCell ref="B11:D11"/>
    <mergeCell ref="F11:U11"/>
    <mergeCell ref="F8:U8"/>
    <mergeCell ref="F9:U9"/>
    <mergeCell ref="F10:U10"/>
    <mergeCell ref="B9:D9"/>
    <mergeCell ref="B10:D10"/>
    <mergeCell ref="F6:U6"/>
    <mergeCell ref="Z7:AB7"/>
    <mergeCell ref="H51:J51"/>
    <mergeCell ref="M51:O51"/>
    <mergeCell ref="C30:I30"/>
    <mergeCell ref="K30:M30"/>
    <mergeCell ref="M50:O50"/>
    <mergeCell ref="H50:J50"/>
    <mergeCell ref="H49:K49"/>
    <mergeCell ref="B35:J35"/>
    <mergeCell ref="H41:K41"/>
    <mergeCell ref="M42:P42"/>
    <mergeCell ref="P30:W30"/>
    <mergeCell ref="H38:K38"/>
    <mergeCell ref="S49:T49"/>
    <mergeCell ref="S45:T45"/>
    <mergeCell ref="M49:P49"/>
    <mergeCell ref="O35:X35"/>
    <mergeCell ref="S43:T43"/>
    <mergeCell ref="S44:T44"/>
    <mergeCell ref="S41:T41"/>
    <mergeCell ref="S42:T42"/>
    <mergeCell ref="S40:T40"/>
    <mergeCell ref="Q38:W38"/>
    <mergeCell ref="H48:K48"/>
    <mergeCell ref="M45:P45"/>
    <mergeCell ref="M44:P44"/>
    <mergeCell ref="M46:P46"/>
    <mergeCell ref="M48:P48"/>
    <mergeCell ref="M38:P38"/>
    <mergeCell ref="M39:P39"/>
    <mergeCell ref="H46:K46"/>
    <mergeCell ref="H39:K39"/>
    <mergeCell ref="H40:K40"/>
    <mergeCell ref="S46:T46"/>
    <mergeCell ref="S39:T39"/>
    <mergeCell ref="S48:T48"/>
    <mergeCell ref="W17:X17"/>
    <mergeCell ref="F37:V37"/>
    <mergeCell ref="B33:J33"/>
    <mergeCell ref="B34:J34"/>
    <mergeCell ref="Z16:AB16"/>
    <mergeCell ref="P21:AB21"/>
    <mergeCell ref="Z10:AB10"/>
    <mergeCell ref="Z12:AB12"/>
    <mergeCell ref="Y17:AB17"/>
    <mergeCell ref="W15:X15"/>
    <mergeCell ref="B16:R16"/>
    <mergeCell ref="W13:X13"/>
    <mergeCell ref="X29:Y29"/>
    <mergeCell ref="P29:W29"/>
    <mergeCell ref="B15:D15"/>
    <mergeCell ref="B13:D13"/>
    <mergeCell ref="F13:U13"/>
    <mergeCell ref="F12:U12"/>
    <mergeCell ref="F14:U14"/>
    <mergeCell ref="K34:N34"/>
    <mergeCell ref="O33:X33"/>
    <mergeCell ref="K32:N32"/>
    <mergeCell ref="K33:N33"/>
    <mergeCell ref="C26:M27"/>
    <mergeCell ref="F39:G39"/>
    <mergeCell ref="B20:AB20"/>
    <mergeCell ref="X22:Y23"/>
    <mergeCell ref="M40:P40"/>
    <mergeCell ref="H45:K45"/>
    <mergeCell ref="K35:N35"/>
    <mergeCell ref="H42:K42"/>
    <mergeCell ref="M41:P41"/>
    <mergeCell ref="M43:P43"/>
    <mergeCell ref="H43:K43"/>
    <mergeCell ref="H44:K44"/>
    <mergeCell ref="K29:M29"/>
    <mergeCell ref="Y34:AB34"/>
    <mergeCell ref="Y35:AB35"/>
    <mergeCell ref="C21:M21"/>
    <mergeCell ref="O34:X34"/>
    <mergeCell ref="Z25:AB26"/>
    <mergeCell ref="X30:Y30"/>
    <mergeCell ref="O32:X32"/>
    <mergeCell ref="X27:Y27"/>
    <mergeCell ref="X25:Y26"/>
    <mergeCell ref="B31:AB31"/>
    <mergeCell ref="C24:M25"/>
    <mergeCell ref="B32:J32"/>
    <mergeCell ref="P27:W27"/>
    <mergeCell ref="C29:I29"/>
    <mergeCell ref="P25:W26"/>
    <mergeCell ref="O25:O26"/>
    <mergeCell ref="C28:M28"/>
    <mergeCell ref="P28:AB28"/>
    <mergeCell ref="Y33:AB33"/>
    <mergeCell ref="Y32:AB32"/>
    <mergeCell ref="Z30:AB30"/>
    <mergeCell ref="B1:P1"/>
    <mergeCell ref="Q1:AB1"/>
    <mergeCell ref="Z22:AB23"/>
    <mergeCell ref="Z29:AB29"/>
    <mergeCell ref="B17:J17"/>
    <mergeCell ref="K17:R17"/>
    <mergeCell ref="B19:AB19"/>
    <mergeCell ref="W14:X14"/>
    <mergeCell ref="W11:X11"/>
    <mergeCell ref="B8:D8"/>
    <mergeCell ref="S17:V17"/>
    <mergeCell ref="W18:Z18"/>
    <mergeCell ref="S18:V18"/>
    <mergeCell ref="O22:O23"/>
    <mergeCell ref="P22:W23"/>
    <mergeCell ref="P24:W24"/>
    <mergeCell ref="X24:Y24"/>
    <mergeCell ref="C22:M23"/>
    <mergeCell ref="W16:X16"/>
    <mergeCell ref="V5:Y5"/>
    <mergeCell ref="W10:X10"/>
    <mergeCell ref="B18:R18"/>
    <mergeCell ref="S16:V16"/>
    <mergeCell ref="V6:Y6"/>
  </mergeCells>
  <phoneticPr fontId="0" type="noConversion"/>
  <conditionalFormatting sqref="Z17">
    <cfRule type="expression" dxfId="26" priority="1" stopIfTrue="1">
      <formula>W16&lt;&gt;0</formula>
    </cfRule>
  </conditionalFormatting>
  <conditionalFormatting sqref="AA17">
    <cfRule type="expression" dxfId="25" priority="2" stopIfTrue="1">
      <formula>W16&lt;&gt;0</formula>
    </cfRule>
  </conditionalFormatting>
  <conditionalFormatting sqref="X18">
    <cfRule type="expression" dxfId="24" priority="3" stopIfTrue="1">
      <formula>Z16&lt;&gt;0</formula>
    </cfRule>
  </conditionalFormatting>
  <conditionalFormatting sqref="Y17">
    <cfRule type="expression" dxfId="23" priority="4" stopIfTrue="1">
      <formula>W16&lt;&gt;0</formula>
    </cfRule>
  </conditionalFormatting>
  <conditionalFormatting sqref="AB17">
    <cfRule type="expression" dxfId="22" priority="5" stopIfTrue="1">
      <formula>W16&lt;&gt;0</formula>
    </cfRule>
  </conditionalFormatting>
  <conditionalFormatting sqref="W18">
    <cfRule type="expression" dxfId="21" priority="6" stopIfTrue="1">
      <formula>Z16&lt;&gt;0</formula>
    </cfRule>
  </conditionalFormatting>
  <conditionalFormatting sqref="Y18">
    <cfRule type="expression" dxfId="20" priority="7" stopIfTrue="1">
      <formula>Z16&lt;&gt;0</formula>
    </cfRule>
  </conditionalFormatting>
  <conditionalFormatting sqref="Z18">
    <cfRule type="expression" dxfId="19" priority="8" stopIfTrue="1">
      <formula>Z16&lt;&gt;0</formula>
    </cfRule>
  </conditionalFormatting>
  <conditionalFormatting sqref="W17:X17">
    <cfRule type="cellIs" dxfId="18"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9.xml><?xml version="1.0" encoding="utf-8"?>
<worksheet xmlns="http://schemas.openxmlformats.org/spreadsheetml/2006/main" xmlns:r="http://schemas.openxmlformats.org/officeDocument/2006/relationships">
  <sheetPr syncVertical="1" syncRef="A1" transitionEvaluation="1"/>
  <dimension ref="A1:AL259"/>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9</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8'!Y32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SUM(H40:H47)</f>
        <v>95026</v>
      </c>
      <c r="I39" s="223"/>
      <c r="J39" s="223"/>
      <c r="K39" s="221"/>
      <c r="M39" s="222">
        <f>SUM(M40:M47)</f>
        <v>0</v>
      </c>
      <c r="N39" s="223"/>
      <c r="O39" s="223"/>
      <c r="P39" s="221"/>
      <c r="R39" s="64"/>
      <c r="S39" s="220">
        <f>SUM(S40:S47)</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237" t="str">
        <f>IF('CO 6'!Z16&gt;0,'CO 6'!Z16,"")</f>
        <v/>
      </c>
      <c r="I45" s="232"/>
      <c r="J45" s="232"/>
      <c r="K45" s="119"/>
      <c r="L45" s="94"/>
      <c r="M45" s="237" t="str">
        <f>IF('CO 6'!Z16&lt;0,'CO 6'!Z16,"")</f>
        <v/>
      </c>
      <c r="N45" s="232"/>
      <c r="O45" s="232"/>
      <c r="P45" s="119"/>
      <c r="R45" s="64"/>
      <c r="S45" s="224">
        <f>'CO 6'!W16</f>
        <v>0</v>
      </c>
      <c r="T45" s="119"/>
      <c r="V45" s="64"/>
      <c r="W45" s="64"/>
      <c r="Y45" s="64"/>
      <c r="Z45" s="64"/>
      <c r="AA45" s="64"/>
      <c r="AB45" s="64"/>
      <c r="AC45" s="64"/>
      <c r="AD45" s="64"/>
      <c r="AE45" s="4"/>
      <c r="AF45" s="4"/>
    </row>
    <row r="46" spans="1:32" s="5" customFormat="1" ht="12.75">
      <c r="A46" s="40"/>
      <c r="B46" s="40"/>
      <c r="E46" s="95"/>
      <c r="F46" s="94" t="s">
        <v>17</v>
      </c>
      <c r="G46" s="96">
        <v>7</v>
      </c>
      <c r="H46" s="237" t="str">
        <f>IF('CO 7'!Z16&gt;0,'CO 7'!Z16,"")</f>
        <v/>
      </c>
      <c r="I46" s="232"/>
      <c r="J46" s="232"/>
      <c r="K46" s="119"/>
      <c r="L46" s="94"/>
      <c r="M46" s="237" t="str">
        <f>IF('CO 7'!Z16&lt;0,'CO 7'!Z16,"")</f>
        <v/>
      </c>
      <c r="N46" s="232"/>
      <c r="O46" s="232"/>
      <c r="P46" s="119"/>
      <c r="R46" s="64"/>
      <c r="S46" s="224">
        <f>'CO 7'!W16</f>
        <v>0</v>
      </c>
      <c r="T46" s="119"/>
      <c r="V46" s="64"/>
      <c r="W46" s="64"/>
      <c r="Y46" s="64"/>
      <c r="Z46" s="64"/>
      <c r="AA46" s="64"/>
      <c r="AB46" s="64"/>
      <c r="AC46" s="64"/>
      <c r="AD46" s="64"/>
      <c r="AE46" s="4"/>
      <c r="AF46" s="4"/>
    </row>
    <row r="47" spans="1:32" s="5" customFormat="1" ht="12.75">
      <c r="A47" s="40"/>
      <c r="B47" s="40"/>
      <c r="E47" s="95"/>
      <c r="F47" s="94" t="s">
        <v>17</v>
      </c>
      <c r="G47" s="96">
        <v>8</v>
      </c>
      <c r="H47" s="157" t="str">
        <f>IF('CO 8'!Z16&gt;0,'CO 8'!Z16,"")</f>
        <v/>
      </c>
      <c r="I47" s="219"/>
      <c r="J47" s="219"/>
      <c r="K47" s="139"/>
      <c r="L47" s="94"/>
      <c r="M47" s="157" t="str">
        <f>IF('CO 8'!Z16&lt;0,'CO 8'!Z16,"")</f>
        <v/>
      </c>
      <c r="N47" s="219"/>
      <c r="O47" s="219"/>
      <c r="P47" s="139"/>
      <c r="R47" s="64"/>
      <c r="S47" s="224">
        <f>'CO 8'!W16</f>
        <v>0</v>
      </c>
      <c r="T47" s="139"/>
      <c r="U47" s="40"/>
      <c r="V47" s="64"/>
      <c r="W47" s="64"/>
      <c r="Y47" s="64"/>
      <c r="Z47" s="64"/>
      <c r="AA47" s="64"/>
      <c r="AB47" s="64"/>
      <c r="AC47" s="64"/>
      <c r="AD47" s="64"/>
      <c r="AE47" s="4"/>
      <c r="AF47" s="4"/>
    </row>
    <row r="48" spans="1:32" s="65" customFormat="1" ht="12.75">
      <c r="A48" s="97"/>
      <c r="B48" s="97"/>
      <c r="C48" s="71"/>
      <c r="G48" s="98"/>
      <c r="H48" s="97"/>
      <c r="I48" s="97"/>
      <c r="J48" s="97"/>
      <c r="K48" s="97"/>
      <c r="L48" s="97"/>
      <c r="M48" s="97"/>
      <c r="N48" s="97"/>
      <c r="O48" s="97"/>
      <c r="P48" s="66"/>
      <c r="Q48" s="66"/>
      <c r="R48" s="66"/>
      <c r="S48" s="66"/>
      <c r="T48" s="66"/>
      <c r="U48" s="66"/>
      <c r="V48" s="66"/>
      <c r="W48" s="66"/>
      <c r="X48" s="66"/>
      <c r="Y48" s="66"/>
      <c r="Z48" s="66"/>
      <c r="AA48" s="66"/>
      <c r="AB48" s="66"/>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sheetData>
  <sheetProtection selectLockedCells="1"/>
  <mergeCells count="154">
    <mergeCell ref="W3:Y3"/>
    <mergeCell ref="A2:E2"/>
    <mergeCell ref="A3:E3"/>
    <mergeCell ref="B4:AB4"/>
    <mergeCell ref="Z2:AA2"/>
    <mergeCell ref="Z3:AA3"/>
    <mergeCell ref="W2:Y2"/>
    <mergeCell ref="Z13:AB13"/>
    <mergeCell ref="B11:D11"/>
    <mergeCell ref="F11:U11"/>
    <mergeCell ref="W11:X11"/>
    <mergeCell ref="Z11:AB11"/>
    <mergeCell ref="B12:D12"/>
    <mergeCell ref="B13:D13"/>
    <mergeCell ref="F12:U12"/>
    <mergeCell ref="F13:U13"/>
    <mergeCell ref="W13:X13"/>
    <mergeCell ref="B6:D6"/>
    <mergeCell ref="B7:D7"/>
    <mergeCell ref="B8:D8"/>
    <mergeCell ref="B9:D9"/>
    <mergeCell ref="F9:U9"/>
    <mergeCell ref="F10:U10"/>
    <mergeCell ref="B10:D10"/>
    <mergeCell ref="Z5:AB5"/>
    <mergeCell ref="Z7:AB7"/>
    <mergeCell ref="Z6:AB6"/>
    <mergeCell ref="W16:X16"/>
    <mergeCell ref="W12:X12"/>
    <mergeCell ref="B14:D14"/>
    <mergeCell ref="B15:D15"/>
    <mergeCell ref="F14:U14"/>
    <mergeCell ref="B16:R16"/>
    <mergeCell ref="S16:V16"/>
    <mergeCell ref="W14:X14"/>
    <mergeCell ref="W15:X15"/>
    <mergeCell ref="F15:U15"/>
    <mergeCell ref="W7:X7"/>
    <mergeCell ref="W8:X8"/>
    <mergeCell ref="V5:Y5"/>
    <mergeCell ref="F7:U7"/>
    <mergeCell ref="F8:U8"/>
    <mergeCell ref="F6:U6"/>
    <mergeCell ref="V6:Y6"/>
    <mergeCell ref="H50:J50"/>
    <mergeCell ref="P27:W27"/>
    <mergeCell ref="O33:X33"/>
    <mergeCell ref="O32:X32"/>
    <mergeCell ref="K32:N32"/>
    <mergeCell ref="H51:J51"/>
    <mergeCell ref="H49:K49"/>
    <mergeCell ref="M50:O50"/>
    <mergeCell ref="M51:O51"/>
    <mergeCell ref="M49:P49"/>
    <mergeCell ref="H47:K47"/>
    <mergeCell ref="M41:P41"/>
    <mergeCell ref="H43:K43"/>
    <mergeCell ref="H46:K46"/>
    <mergeCell ref="H45:K45"/>
    <mergeCell ref="H42:K42"/>
    <mergeCell ref="H41:K41"/>
    <mergeCell ref="M42:P42"/>
    <mergeCell ref="S42:T42"/>
    <mergeCell ref="S40:T40"/>
    <mergeCell ref="O35:X35"/>
    <mergeCell ref="O34:X34"/>
    <mergeCell ref="B35:J35"/>
    <mergeCell ref="K34:N34"/>
    <mergeCell ref="Z10:AB10"/>
    <mergeCell ref="Z12:AB12"/>
    <mergeCell ref="W9:X9"/>
    <mergeCell ref="P21:AB21"/>
    <mergeCell ref="O25:O26"/>
    <mergeCell ref="Z25:AB26"/>
    <mergeCell ref="Z16:AB16"/>
    <mergeCell ref="B19:AB19"/>
    <mergeCell ref="C26:M27"/>
    <mergeCell ref="W17:X17"/>
    <mergeCell ref="P24:W24"/>
    <mergeCell ref="K17:R17"/>
    <mergeCell ref="W10:X10"/>
    <mergeCell ref="W18:Z18"/>
    <mergeCell ref="S18:V18"/>
    <mergeCell ref="B18:R18"/>
    <mergeCell ref="B17:J17"/>
    <mergeCell ref="Z8:AB8"/>
    <mergeCell ref="Z9:AB9"/>
    <mergeCell ref="Z22:AB23"/>
    <mergeCell ref="Z14:AB14"/>
    <mergeCell ref="Z15:AB15"/>
    <mergeCell ref="S44:T44"/>
    <mergeCell ref="Y34:AB34"/>
    <mergeCell ref="Y35:AB35"/>
    <mergeCell ref="Q38:W38"/>
    <mergeCell ref="P22:W23"/>
    <mergeCell ref="K35:N35"/>
    <mergeCell ref="M40:P40"/>
    <mergeCell ref="H40:K40"/>
    <mergeCell ref="F39:G39"/>
    <mergeCell ref="M38:P38"/>
    <mergeCell ref="F37:V37"/>
    <mergeCell ref="M43:P43"/>
    <mergeCell ref="H44:K44"/>
    <mergeCell ref="H38:K38"/>
    <mergeCell ref="B34:J34"/>
    <mergeCell ref="P25:W26"/>
    <mergeCell ref="K29:M29"/>
    <mergeCell ref="P28:AB28"/>
    <mergeCell ref="Z30:AB30"/>
    <mergeCell ref="B32:J32"/>
    <mergeCell ref="B33:J33"/>
    <mergeCell ref="B31:AB31"/>
    <mergeCell ref="Y32:AB32"/>
    <mergeCell ref="Y33:AB33"/>
    <mergeCell ref="Z29:AB29"/>
    <mergeCell ref="K33:N33"/>
    <mergeCell ref="X29:Y29"/>
    <mergeCell ref="H39:K39"/>
    <mergeCell ref="S49:T49"/>
    <mergeCell ref="S45:T45"/>
    <mergeCell ref="S39:T39"/>
    <mergeCell ref="M44:P44"/>
    <mergeCell ref="M45:P45"/>
    <mergeCell ref="S46:T46"/>
    <mergeCell ref="S41:T41"/>
    <mergeCell ref="S47:T47"/>
    <mergeCell ref="S43:T43"/>
    <mergeCell ref="M47:P47"/>
    <mergeCell ref="M39:P39"/>
    <mergeCell ref="M46:P46"/>
    <mergeCell ref="B1:P1"/>
    <mergeCell ref="Q1:AB1"/>
    <mergeCell ref="S17:V17"/>
    <mergeCell ref="C29:I29"/>
    <mergeCell ref="C30:I30"/>
    <mergeCell ref="K30:M30"/>
    <mergeCell ref="B20:AB20"/>
    <mergeCell ref="X30:Y30"/>
    <mergeCell ref="X27:Y27"/>
    <mergeCell ref="P30:W30"/>
    <mergeCell ref="AB2:AC2"/>
    <mergeCell ref="AB3:AC3"/>
    <mergeCell ref="F2:V2"/>
    <mergeCell ref="F3:V3"/>
    <mergeCell ref="Y17:AB17"/>
    <mergeCell ref="X25:Y26"/>
    <mergeCell ref="P29:W29"/>
    <mergeCell ref="C28:M28"/>
    <mergeCell ref="X24:Y24"/>
    <mergeCell ref="X22:Y23"/>
    <mergeCell ref="C24:M25"/>
    <mergeCell ref="O22:O23"/>
    <mergeCell ref="C21:M21"/>
    <mergeCell ref="C22:M23"/>
  </mergeCells>
  <phoneticPr fontId="0" type="noConversion"/>
  <conditionalFormatting sqref="Z17">
    <cfRule type="expression" dxfId="17" priority="1" stopIfTrue="1">
      <formula>W16&lt;&gt;0</formula>
    </cfRule>
  </conditionalFormatting>
  <conditionalFormatting sqref="AA17">
    <cfRule type="expression" dxfId="16" priority="2" stopIfTrue="1">
      <formula>W16&lt;&gt;0</formula>
    </cfRule>
  </conditionalFormatting>
  <conditionalFormatting sqref="X18">
    <cfRule type="expression" dxfId="15" priority="3" stopIfTrue="1">
      <formula>Z16&lt;&gt;0</formula>
    </cfRule>
  </conditionalFormatting>
  <conditionalFormatting sqref="Y17">
    <cfRule type="expression" dxfId="14" priority="4" stopIfTrue="1">
      <formula>W16&lt;&gt;0</formula>
    </cfRule>
  </conditionalFormatting>
  <conditionalFormatting sqref="AB17">
    <cfRule type="expression" dxfId="13" priority="5" stopIfTrue="1">
      <formula>W16&lt;&gt;0</formula>
    </cfRule>
  </conditionalFormatting>
  <conditionalFormatting sqref="W18">
    <cfRule type="expression" dxfId="12" priority="6" stopIfTrue="1">
      <formula>Z16&lt;&gt;0</formula>
    </cfRule>
  </conditionalFormatting>
  <conditionalFormatting sqref="Y18">
    <cfRule type="expression" dxfId="11" priority="7" stopIfTrue="1">
      <formula>Z16&lt;&gt;0</formula>
    </cfRule>
  </conditionalFormatting>
  <conditionalFormatting sqref="Z18">
    <cfRule type="expression" dxfId="10" priority="8" stopIfTrue="1">
      <formula>Z16&lt;&gt;0</formula>
    </cfRule>
  </conditionalFormatting>
  <conditionalFormatting sqref="W17:X17">
    <cfRule type="cellIs" dxfId="9"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10.xml><?xml version="1.0" encoding="utf-8"?>
<worksheet xmlns="http://schemas.openxmlformats.org/spreadsheetml/2006/main" xmlns:r="http://schemas.openxmlformats.org/officeDocument/2006/relationships">
  <sheetPr syncVertical="1" syncRef="A1" transitionEvaluation="1"/>
  <dimension ref="A1:AL260"/>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46</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1" t="str">
        <f>'CO 1'!F2:AB2</f>
        <v>FTW-336A Aircraft Parts Storage</v>
      </c>
      <c r="G2" s="191"/>
      <c r="H2" s="191"/>
      <c r="I2" s="191"/>
      <c r="J2" s="191"/>
      <c r="K2" s="191"/>
      <c r="L2" s="191"/>
      <c r="M2" s="191"/>
      <c r="N2" s="191"/>
      <c r="O2" s="191"/>
      <c r="P2" s="191"/>
      <c r="Q2" s="191"/>
      <c r="R2" s="191"/>
      <c r="S2" s="191"/>
      <c r="T2" s="191"/>
      <c r="U2" s="191"/>
      <c r="V2" s="210"/>
      <c r="W2" s="187" t="s">
        <v>48</v>
      </c>
      <c r="X2" s="188"/>
      <c r="Y2" s="188"/>
      <c r="Z2" s="191" t="str">
        <f>'CO 1'!Z2:AA2</f>
        <v>J101395</v>
      </c>
      <c r="AA2" s="191"/>
      <c r="AB2" s="206" t="s">
        <v>47</v>
      </c>
      <c r="AC2" s="207"/>
      <c r="AE2" s="4"/>
      <c r="AF2" s="4"/>
    </row>
    <row r="3" spans="1:32" s="3" customFormat="1" ht="20.100000000000001" customHeight="1">
      <c r="A3" s="108" t="s">
        <v>2</v>
      </c>
      <c r="B3" s="109"/>
      <c r="C3" s="109"/>
      <c r="D3" s="109"/>
      <c r="E3" s="109"/>
      <c r="F3" s="211" t="str">
        <f>'CO 1'!F3:AB3</f>
        <v>TBI Construction</v>
      </c>
      <c r="G3" s="211"/>
      <c r="H3" s="211"/>
      <c r="I3" s="211"/>
      <c r="J3" s="211"/>
      <c r="K3" s="211"/>
      <c r="L3" s="211"/>
      <c r="M3" s="211"/>
      <c r="N3" s="211"/>
      <c r="O3" s="211"/>
      <c r="P3" s="211"/>
      <c r="Q3" s="211"/>
      <c r="R3" s="211"/>
      <c r="S3" s="211"/>
      <c r="T3" s="211"/>
      <c r="U3" s="211"/>
      <c r="V3" s="212"/>
      <c r="W3" s="189" t="s">
        <v>49</v>
      </c>
      <c r="X3" s="190"/>
      <c r="Y3" s="190"/>
      <c r="Z3" s="211">
        <f>'CO 1'!Z3:AA3</f>
        <v>103909</v>
      </c>
      <c r="AA3" s="211"/>
      <c r="AB3" s="208">
        <v>10</v>
      </c>
      <c r="AC3" s="209"/>
      <c r="AE3" s="4"/>
      <c r="AF3" s="4"/>
    </row>
    <row r="4" spans="1:32" ht="42" customHeight="1" thickBot="1">
      <c r="A4" s="69"/>
      <c r="B4" s="195" t="s">
        <v>44</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43</v>
      </c>
      <c r="W5" s="110"/>
      <c r="X5" s="110"/>
      <c r="Y5" s="110"/>
      <c r="Z5" s="110" t="s">
        <v>27</v>
      </c>
      <c r="AA5" s="110"/>
      <c r="AB5" s="110"/>
      <c r="AC5" s="27"/>
      <c r="AE5" s="2" t="s">
        <v>32</v>
      </c>
      <c r="AF5" s="2" t="s">
        <v>32</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41</v>
      </c>
      <c r="W6" s="115"/>
      <c r="X6" s="115"/>
      <c r="Y6" s="115"/>
      <c r="Z6" s="193" t="s">
        <v>42</v>
      </c>
      <c r="AA6" s="194"/>
      <c r="AB6" s="194"/>
      <c r="AC6" s="9"/>
      <c r="AE6" s="10" t="s">
        <v>33</v>
      </c>
      <c r="AF6" s="10" t="s">
        <v>34</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35</v>
      </c>
      <c r="C16" s="161"/>
      <c r="D16" s="161"/>
      <c r="E16" s="161"/>
      <c r="F16" s="161"/>
      <c r="G16" s="161"/>
      <c r="H16" s="161"/>
      <c r="I16" s="161"/>
      <c r="J16" s="161"/>
      <c r="K16" s="161"/>
      <c r="L16" s="161"/>
      <c r="M16" s="161"/>
      <c r="N16" s="161"/>
      <c r="O16" s="161"/>
      <c r="P16" s="161"/>
      <c r="Q16" s="162"/>
      <c r="R16" s="162"/>
      <c r="S16" s="164" t="s">
        <v>31</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28</v>
      </c>
      <c r="C17" s="154"/>
      <c r="D17" s="154"/>
      <c r="E17" s="154"/>
      <c r="F17" s="154"/>
      <c r="G17" s="154"/>
      <c r="H17" s="154"/>
      <c r="I17" s="154"/>
      <c r="J17" s="154"/>
      <c r="K17" s="153" t="s">
        <v>29</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30</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38</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5" t="s">
        <v>37</v>
      </c>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t="str">
        <f>F3</f>
        <v>TBI Construction</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36</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6" t="s">
        <v>7</v>
      </c>
      <c r="L30" s="148"/>
      <c r="M30" s="148"/>
      <c r="N30" s="31"/>
      <c r="O30" s="79"/>
      <c r="P30" s="134" t="s">
        <v>39</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9'!Y32</f>
        <v/>
      </c>
      <c r="L32" s="204"/>
      <c r="M32" s="204"/>
      <c r="N32" s="204"/>
      <c r="O32" s="184" t="s">
        <v>40</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205">
        <f>'CO 1'!K35:N35</f>
        <v>746512</v>
      </c>
      <c r="L33" s="183"/>
      <c r="M33" s="183"/>
      <c r="N33" s="183"/>
      <c r="O33" s="183" t="s">
        <v>19</v>
      </c>
      <c r="P33" s="129"/>
      <c r="Q33" s="129"/>
      <c r="R33" s="129"/>
      <c r="S33" s="129"/>
      <c r="T33" s="129"/>
      <c r="U33" s="129"/>
      <c r="V33" s="129"/>
      <c r="W33" s="129"/>
      <c r="X33" s="129"/>
      <c r="Y33" s="205">
        <f>SUM(F33:K35)</f>
        <v>841538</v>
      </c>
      <c r="Z33" s="205"/>
      <c r="AA33" s="205"/>
      <c r="AB33" s="205"/>
      <c r="AC33" s="27"/>
      <c r="AE33" s="2"/>
      <c r="AF33" s="2"/>
    </row>
    <row r="34" spans="1:32" s="5" customFormat="1" ht="18.95" customHeight="1">
      <c r="A34" s="82"/>
      <c r="B34" s="125" t="s">
        <v>6</v>
      </c>
      <c r="C34" s="115"/>
      <c r="D34" s="115"/>
      <c r="E34" s="115"/>
      <c r="F34" s="115"/>
      <c r="G34" s="115"/>
      <c r="H34" s="115"/>
      <c r="I34" s="115"/>
      <c r="J34" s="115"/>
      <c r="K34" s="157">
        <f>H39</f>
        <v>95026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841538</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45</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SUM(H40:H48)</f>
        <v>95026</v>
      </c>
      <c r="I39" s="223"/>
      <c r="J39" s="223"/>
      <c r="K39" s="221"/>
      <c r="M39" s="222">
        <f>SUM(M40:M48)</f>
        <v>0</v>
      </c>
      <c r="N39" s="223"/>
      <c r="O39" s="223"/>
      <c r="P39" s="221"/>
      <c r="R39" s="64"/>
      <c r="S39" s="220">
        <f>SUM(S40:S48)</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95026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237" t="str">
        <f>IF('CO 6'!Z16&gt;0,'CO 6'!Z16,"")</f>
        <v/>
      </c>
      <c r="I45" s="232"/>
      <c r="J45" s="232"/>
      <c r="K45" s="119"/>
      <c r="L45" s="94"/>
      <c r="M45" s="237" t="str">
        <f>IF('CO 6'!Z16&lt;0,'CO 6'!Z16,"")</f>
        <v/>
      </c>
      <c r="N45" s="232"/>
      <c r="O45" s="232"/>
      <c r="P45" s="119"/>
      <c r="R45" s="64"/>
      <c r="S45" s="224">
        <f>'CO 6'!W16</f>
        <v>0</v>
      </c>
      <c r="T45" s="119"/>
      <c r="V45" s="64"/>
      <c r="W45" s="64"/>
      <c r="Y45" s="64"/>
      <c r="Z45" s="64"/>
      <c r="AA45" s="64"/>
      <c r="AB45" s="64"/>
      <c r="AC45" s="64"/>
      <c r="AD45" s="64"/>
      <c r="AE45" s="4"/>
      <c r="AF45" s="4"/>
    </row>
    <row r="46" spans="1:32" s="5" customFormat="1" ht="12.75">
      <c r="A46" s="40"/>
      <c r="B46" s="40"/>
      <c r="E46" s="95"/>
      <c r="F46" s="94" t="s">
        <v>17</v>
      </c>
      <c r="G46" s="96">
        <v>7</v>
      </c>
      <c r="H46" s="237" t="str">
        <f>IF('CO 7'!Z16&gt;0,'CO 7'!Z16,"")</f>
        <v/>
      </c>
      <c r="I46" s="232"/>
      <c r="J46" s="232"/>
      <c r="K46" s="119"/>
      <c r="L46" s="94"/>
      <c r="M46" s="237" t="str">
        <f>IF('CO 7'!Z16&lt;0,'CO 7'!Z16,"")</f>
        <v/>
      </c>
      <c r="N46" s="232"/>
      <c r="O46" s="232"/>
      <c r="P46" s="119"/>
      <c r="R46" s="64"/>
      <c r="S46" s="224">
        <f>'CO 7'!W16</f>
        <v>0</v>
      </c>
      <c r="T46" s="119"/>
      <c r="V46" s="64"/>
      <c r="W46" s="64"/>
      <c r="Y46" s="64"/>
      <c r="Z46" s="64"/>
      <c r="AA46" s="64"/>
      <c r="AB46" s="64"/>
      <c r="AC46" s="64"/>
      <c r="AD46" s="64"/>
      <c r="AE46" s="4"/>
      <c r="AF46" s="4"/>
    </row>
    <row r="47" spans="1:32" s="5" customFormat="1" ht="12.75">
      <c r="A47" s="40"/>
      <c r="B47" s="40"/>
      <c r="E47" s="95"/>
      <c r="F47" s="94" t="s">
        <v>17</v>
      </c>
      <c r="G47" s="96">
        <v>8</v>
      </c>
      <c r="H47" s="237" t="str">
        <f>IF('CO 8'!Z16&gt;0,'CO 8'!Z16,"")</f>
        <v/>
      </c>
      <c r="I47" s="232"/>
      <c r="J47" s="232"/>
      <c r="K47" s="119"/>
      <c r="L47" s="94"/>
      <c r="M47" s="237" t="str">
        <f>IF('CO 8'!Z16&lt;0,'CO 8'!Z16,"")</f>
        <v/>
      </c>
      <c r="N47" s="232"/>
      <c r="O47" s="232"/>
      <c r="P47" s="119"/>
      <c r="R47" s="64"/>
      <c r="S47" s="224">
        <f>'CO 8'!W16</f>
        <v>0</v>
      </c>
      <c r="T47" s="119"/>
      <c r="V47" s="64"/>
      <c r="W47" s="64"/>
      <c r="Y47" s="64"/>
      <c r="Z47" s="64"/>
      <c r="AA47" s="64"/>
      <c r="AB47" s="64"/>
      <c r="AC47" s="64"/>
      <c r="AD47" s="64"/>
      <c r="AE47" s="4"/>
      <c r="AF47" s="4"/>
    </row>
    <row r="48" spans="1:32" s="5" customFormat="1" ht="12.75">
      <c r="A48" s="40"/>
      <c r="B48" s="40"/>
      <c r="E48" s="95"/>
      <c r="F48" s="94" t="s">
        <v>17</v>
      </c>
      <c r="G48" s="96">
        <v>9</v>
      </c>
      <c r="H48" s="157" t="str">
        <f>IF('CO 9'!Z16&gt;0,'CO 9'!Z16,"")</f>
        <v/>
      </c>
      <c r="I48" s="219"/>
      <c r="J48" s="219"/>
      <c r="K48" s="139"/>
      <c r="L48" s="94"/>
      <c r="M48" s="157" t="str">
        <f>IF('CO 9'!Z16&lt;0,'CO 9'!Z16,"")</f>
        <v/>
      </c>
      <c r="N48" s="219"/>
      <c r="O48" s="219"/>
      <c r="P48" s="139"/>
      <c r="R48" s="64"/>
      <c r="S48" s="224">
        <f>'CO 9'!W16</f>
        <v>0</v>
      </c>
      <c r="T48" s="139"/>
      <c r="U48" s="40"/>
      <c r="V48" s="64"/>
      <c r="W48" s="64"/>
      <c r="Y48" s="64"/>
      <c r="Z48" s="64"/>
      <c r="AA48" s="64"/>
      <c r="AB48" s="64"/>
      <c r="AC48" s="64"/>
      <c r="AD48" s="64"/>
      <c r="AE48" s="4"/>
      <c r="AF48" s="4"/>
    </row>
    <row r="49" spans="1:32" s="65" customFormat="1" ht="12.75">
      <c r="A49" s="97"/>
      <c r="B49" s="97"/>
      <c r="C49" s="71"/>
      <c r="G49" s="98"/>
      <c r="H49" s="97"/>
      <c r="I49" s="97"/>
      <c r="J49" s="97"/>
      <c r="K49" s="97"/>
      <c r="L49" s="97"/>
      <c r="M49" s="97"/>
      <c r="N49" s="97"/>
      <c r="O49" s="97"/>
      <c r="P49" s="66"/>
      <c r="Q49" s="66"/>
      <c r="R49" s="66"/>
      <c r="S49" s="66"/>
      <c r="T49" s="66"/>
      <c r="U49" s="66"/>
      <c r="V49" s="66"/>
      <c r="W49" s="66"/>
      <c r="X49" s="66"/>
      <c r="Y49" s="66"/>
      <c r="Z49" s="66"/>
      <c r="AA49" s="66"/>
      <c r="AB49" s="66"/>
      <c r="AE49" s="4"/>
      <c r="AF49" s="4"/>
    </row>
    <row r="50" spans="1:32" s="49" customFormat="1" ht="14.25">
      <c r="A50" s="47"/>
      <c r="B50" s="47"/>
      <c r="C50" s="48"/>
      <c r="G50" s="61"/>
      <c r="H50" s="238"/>
      <c r="I50" s="238"/>
      <c r="J50" s="238"/>
      <c r="K50" s="60"/>
      <c r="L50" s="47"/>
      <c r="M50" s="238"/>
      <c r="N50" s="238"/>
      <c r="O50" s="238"/>
      <c r="P50" s="47"/>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G55" s="61"/>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row r="260" spans="16:16">
      <c r="P260" s="53"/>
    </row>
  </sheetData>
  <sheetProtection selectLockedCells="1"/>
  <mergeCells count="154">
    <mergeCell ref="A2:E2"/>
    <mergeCell ref="A3:E3"/>
    <mergeCell ref="B7:D7"/>
    <mergeCell ref="F6:U6"/>
    <mergeCell ref="F2:V2"/>
    <mergeCell ref="F3:V3"/>
    <mergeCell ref="Z8:AB8"/>
    <mergeCell ref="V6:Y6"/>
    <mergeCell ref="F7:U7"/>
    <mergeCell ref="W2:Y2"/>
    <mergeCell ref="Z2:AA2"/>
    <mergeCell ref="Z3:AA3"/>
    <mergeCell ref="Z5:AB5"/>
    <mergeCell ref="V5:Y5"/>
    <mergeCell ref="W7:X7"/>
    <mergeCell ref="Z7:AB7"/>
    <mergeCell ref="W3:Y3"/>
    <mergeCell ref="W8:X8"/>
    <mergeCell ref="W9:X9"/>
    <mergeCell ref="B4:AB4"/>
    <mergeCell ref="B14:D14"/>
    <mergeCell ref="B13:D13"/>
    <mergeCell ref="B8:D8"/>
    <mergeCell ref="C28:M28"/>
    <mergeCell ref="B9:D9"/>
    <mergeCell ref="B10:D10"/>
    <mergeCell ref="F9:U9"/>
    <mergeCell ref="B16:R16"/>
    <mergeCell ref="Z25:AB26"/>
    <mergeCell ref="Z22:AB23"/>
    <mergeCell ref="P25:W26"/>
    <mergeCell ref="X24:Y24"/>
    <mergeCell ref="X22:Y23"/>
    <mergeCell ref="Z6:AB6"/>
    <mergeCell ref="B6:D6"/>
    <mergeCell ref="F11:U11"/>
    <mergeCell ref="W11:X11"/>
    <mergeCell ref="F8:U8"/>
    <mergeCell ref="B11:D11"/>
    <mergeCell ref="F12:U12"/>
    <mergeCell ref="B12:D12"/>
    <mergeCell ref="F10:U10"/>
    <mergeCell ref="M50:O50"/>
    <mergeCell ref="O22:O23"/>
    <mergeCell ref="M47:P47"/>
    <mergeCell ref="Z15:AB15"/>
    <mergeCell ref="M43:P43"/>
    <mergeCell ref="O33:X33"/>
    <mergeCell ref="O32:X32"/>
    <mergeCell ref="S16:V16"/>
    <mergeCell ref="Z29:AB29"/>
    <mergeCell ref="Z30:AB30"/>
    <mergeCell ref="S18:V18"/>
    <mergeCell ref="B19:AB19"/>
    <mergeCell ref="B20:AB20"/>
    <mergeCell ref="X25:Y26"/>
    <mergeCell ref="C21:M21"/>
    <mergeCell ref="O25:O26"/>
    <mergeCell ref="B15:D15"/>
    <mergeCell ref="F15:U15"/>
    <mergeCell ref="B34:J34"/>
    <mergeCell ref="B32:J32"/>
    <mergeCell ref="S47:T47"/>
    <mergeCell ref="M45:P45"/>
    <mergeCell ref="M42:P42"/>
    <mergeCell ref="S40:T40"/>
    <mergeCell ref="M51:O51"/>
    <mergeCell ref="Y35:AB35"/>
    <mergeCell ref="O35:X35"/>
    <mergeCell ref="K35:N35"/>
    <mergeCell ref="S43:T43"/>
    <mergeCell ref="H42:K42"/>
    <mergeCell ref="H51:J51"/>
    <mergeCell ref="M39:P39"/>
    <mergeCell ref="M46:P46"/>
    <mergeCell ref="H40:K40"/>
    <mergeCell ref="H45:K45"/>
    <mergeCell ref="H43:K43"/>
    <mergeCell ref="H41:K41"/>
    <mergeCell ref="M48:P48"/>
    <mergeCell ref="H46:K46"/>
    <mergeCell ref="H47:K47"/>
    <mergeCell ref="M44:P44"/>
    <mergeCell ref="H50:J50"/>
    <mergeCell ref="H48:K48"/>
    <mergeCell ref="H44:K44"/>
    <mergeCell ref="S42:T42"/>
    <mergeCell ref="M40:P40"/>
    <mergeCell ref="M41:P41"/>
    <mergeCell ref="S46:T46"/>
    <mergeCell ref="F39:G39"/>
    <mergeCell ref="X27:Y27"/>
    <mergeCell ref="B35:J35"/>
    <mergeCell ref="K33:N33"/>
    <mergeCell ref="P29:W29"/>
    <mergeCell ref="P30:W30"/>
    <mergeCell ref="P28:AB28"/>
    <mergeCell ref="X30:Y30"/>
    <mergeCell ref="B31:AB31"/>
    <mergeCell ref="K32:N32"/>
    <mergeCell ref="X29:Y29"/>
    <mergeCell ref="C29:I29"/>
    <mergeCell ref="K29:M29"/>
    <mergeCell ref="H39:K39"/>
    <mergeCell ref="F37:V37"/>
    <mergeCell ref="P27:W27"/>
    <mergeCell ref="K30:M30"/>
    <mergeCell ref="K34:N34"/>
    <mergeCell ref="O34:X34"/>
    <mergeCell ref="C26:M27"/>
    <mergeCell ref="C30:I30"/>
    <mergeCell ref="B33:J33"/>
    <mergeCell ref="H38:K38"/>
    <mergeCell ref="M38:P38"/>
    <mergeCell ref="W12:X12"/>
    <mergeCell ref="W15:X15"/>
    <mergeCell ref="P24:W24"/>
    <mergeCell ref="P21:AB21"/>
    <mergeCell ref="P22:W23"/>
    <mergeCell ref="C24:M25"/>
    <mergeCell ref="C22:M23"/>
    <mergeCell ref="K17:R17"/>
    <mergeCell ref="Z10:AB10"/>
    <mergeCell ref="W14:X14"/>
    <mergeCell ref="F14:U14"/>
    <mergeCell ref="W18:Z18"/>
    <mergeCell ref="B18:R18"/>
    <mergeCell ref="B17:J17"/>
    <mergeCell ref="Z12:AB12"/>
    <mergeCell ref="Z14:AB14"/>
    <mergeCell ref="B1:P1"/>
    <mergeCell ref="Q1:AB1"/>
    <mergeCell ref="S48:T48"/>
    <mergeCell ref="S39:T39"/>
    <mergeCell ref="Q38:W38"/>
    <mergeCell ref="Y34:AB34"/>
    <mergeCell ref="Y32:AB32"/>
    <mergeCell ref="Y33:AB33"/>
    <mergeCell ref="AB2:AC2"/>
    <mergeCell ref="AB3:AC3"/>
    <mergeCell ref="S41:T41"/>
    <mergeCell ref="S44:T44"/>
    <mergeCell ref="S45:T45"/>
    <mergeCell ref="Z9:AB9"/>
    <mergeCell ref="Y17:AB17"/>
    <mergeCell ref="W17:X17"/>
    <mergeCell ref="S17:V17"/>
    <mergeCell ref="F13:U13"/>
    <mergeCell ref="W13:X13"/>
    <mergeCell ref="W16:X16"/>
    <mergeCell ref="Z16:AB16"/>
    <mergeCell ref="Z11:AB11"/>
    <mergeCell ref="Z13:AB13"/>
    <mergeCell ref="W10:X10"/>
  </mergeCells>
  <phoneticPr fontId="0" type="noConversion"/>
  <conditionalFormatting sqref="Z17">
    <cfRule type="expression" dxfId="8" priority="1" stopIfTrue="1">
      <formula>W16&lt;&gt;0</formula>
    </cfRule>
  </conditionalFormatting>
  <conditionalFormatting sqref="AA17">
    <cfRule type="expression" dxfId="7" priority="2" stopIfTrue="1">
      <formula>W16&lt;&gt;0</formula>
    </cfRule>
  </conditionalFormatting>
  <conditionalFormatting sqref="X18">
    <cfRule type="expression" dxfId="6" priority="3" stopIfTrue="1">
      <formula>Z16&lt;&gt;0</formula>
    </cfRule>
  </conditionalFormatting>
  <conditionalFormatting sqref="Y17">
    <cfRule type="expression" dxfId="5" priority="4" stopIfTrue="1">
      <formula>W16&lt;&gt;0</formula>
    </cfRule>
  </conditionalFormatting>
  <conditionalFormatting sqref="AB17">
    <cfRule type="expression" dxfId="4" priority="5" stopIfTrue="1">
      <formula>W16&lt;&gt;0</formula>
    </cfRule>
  </conditionalFormatting>
  <conditionalFormatting sqref="W18">
    <cfRule type="expression" dxfId="3" priority="6" stopIfTrue="1">
      <formula>Z16&lt;&gt;0</formula>
    </cfRule>
  </conditionalFormatting>
  <conditionalFormatting sqref="Y18">
    <cfRule type="expression" dxfId="2" priority="7" stopIfTrue="1">
      <formula>Z16&lt;&gt;0</formula>
    </cfRule>
  </conditionalFormatting>
  <conditionalFormatting sqref="Z18">
    <cfRule type="expression" dxfId="1" priority="8" stopIfTrue="1">
      <formula>Z16&lt;&gt;0</formula>
    </cfRule>
  </conditionalFormatting>
  <conditionalFormatting sqref="W17:X17">
    <cfRule type="cellIs" dxfId="0"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CO 1</vt:lpstr>
      <vt:lpstr>CO 2</vt:lpstr>
      <vt:lpstr>CO 3</vt:lpstr>
      <vt:lpstr>CO 4</vt:lpstr>
      <vt:lpstr>CO 5</vt:lpstr>
      <vt:lpstr>CO 6</vt:lpstr>
      <vt:lpstr>CO 7</vt:lpstr>
      <vt:lpstr>CO 8</vt:lpstr>
      <vt:lpstr>CO 9</vt:lpstr>
      <vt:lpstr>CO 10</vt:lpstr>
      <vt:lpstr>'CO 1'!Print_Area</vt:lpstr>
      <vt:lpstr>'CO 10'!Print_Area</vt:lpstr>
      <vt:lpstr>'CO 2'!Print_Area</vt:lpstr>
      <vt:lpstr>'CO 3'!Print_Area</vt:lpstr>
      <vt:lpstr>'CO 4'!Print_Area</vt:lpstr>
      <vt:lpstr>'CO 5'!Print_Area</vt:lpstr>
      <vt:lpstr>'CO 6'!Print_Area</vt:lpstr>
      <vt:lpstr>'CO 7'!Print_Area</vt:lpstr>
      <vt:lpstr>'CO 8'!Print_Area</vt:lpstr>
      <vt:lpstr>'CO 9'!Print_Area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PLANNING AND PROJECT SERVICES</dc:creator>
  <cp:lastModifiedBy>Wily F. Splain</cp:lastModifiedBy>
  <cp:lastPrinted>2011-01-07T23:01:37Z</cp:lastPrinted>
  <dcterms:created xsi:type="dcterms:W3CDTF">1999-07-19T18:36:00Z</dcterms:created>
  <dcterms:modified xsi:type="dcterms:W3CDTF">2011-01-10T17:19:54Z</dcterms:modified>
</cp:coreProperties>
</file>