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30" windowWidth="18735" windowHeight="7875"/>
  </bookViews>
  <sheets>
    <sheet name="FTW336B Service Lateral" sheetId="3" r:id="rId1"/>
    <sheet name="FTW336A Service Lateral" sheetId="2" r:id="rId2"/>
    <sheet name="FTW336 Utility Extension" sheetId="1" r:id="rId3"/>
  </sheets>
  <definedNames>
    <definedName name="_xlnm.Print_Area" localSheetId="2">'FTW336 Utility Extension'!$A$1:$AC$171</definedName>
    <definedName name="_xlnm.Print_Area" localSheetId="1">'FTW336A Service Lateral'!$A$1:$AC$171</definedName>
    <definedName name="_xlnm.Print_Area" localSheetId="0">'FTW336B Service Lateral'!$A$1:$AC$171</definedName>
    <definedName name="_xlnm.Print_Titles" localSheetId="2">'FTW336 Utility Extension'!$1:$4</definedName>
    <definedName name="_xlnm.Print_Titles" localSheetId="1">'FTW336A Service Lateral'!$1:$4</definedName>
    <definedName name="_xlnm.Print_Titles" localSheetId="0">'FTW336B Service Lateral'!$1:$4</definedName>
  </definedNames>
  <calcPr calcId="125725"/>
</workbook>
</file>

<file path=xl/calcChain.xml><?xml version="1.0" encoding="utf-8"?>
<calcChain xmlns="http://schemas.openxmlformats.org/spreadsheetml/2006/main">
  <c r="F170" i="3"/>
  <c r="F169"/>
  <c r="F168"/>
  <c r="F167"/>
  <c r="F166"/>
  <c r="F165"/>
  <c r="F163"/>
  <c r="F162"/>
  <c r="F161"/>
  <c r="F160"/>
  <c r="F159"/>
  <c r="F158"/>
  <c r="F157"/>
  <c r="F156"/>
  <c r="F155"/>
  <c r="F154"/>
  <c r="F152"/>
  <c r="F151"/>
  <c r="F150"/>
  <c r="F149"/>
  <c r="F148"/>
  <c r="F147"/>
  <c r="F146"/>
  <c r="F145"/>
  <c r="F144"/>
  <c r="F143"/>
  <c r="F142"/>
  <c r="F138"/>
  <c r="F137"/>
  <c r="F136"/>
  <c r="F135"/>
  <c r="F134"/>
  <c r="F133"/>
  <c r="F132"/>
  <c r="F131"/>
  <c r="F130"/>
  <c r="F127"/>
  <c r="F126"/>
  <c r="F125"/>
  <c r="F124"/>
  <c r="F123"/>
  <c r="F120"/>
  <c r="L119"/>
  <c r="F119"/>
  <c r="L118"/>
  <c r="F118"/>
  <c r="L117"/>
  <c r="F117"/>
  <c r="L116"/>
  <c r="F116"/>
  <c r="L115"/>
  <c r="F115"/>
  <c r="L114"/>
  <c r="F114"/>
  <c r="L113"/>
  <c r="F113"/>
  <c r="L112"/>
  <c r="F112"/>
  <c r="L111"/>
  <c r="F111"/>
  <c r="L110"/>
  <c r="F110"/>
  <c r="L109"/>
  <c r="F109"/>
  <c r="L108"/>
  <c r="F108"/>
  <c r="L107"/>
  <c r="F107"/>
  <c r="L106"/>
  <c r="F106"/>
  <c r="L105"/>
  <c r="F105"/>
  <c r="L104"/>
  <c r="F104"/>
  <c r="L103"/>
  <c r="F103"/>
  <c r="L102"/>
  <c r="F102"/>
  <c r="L101"/>
  <c r="F101"/>
  <c r="L100"/>
  <c r="F100"/>
  <c r="L99"/>
  <c r="F99"/>
  <c r="L98"/>
  <c r="F98"/>
  <c r="L97"/>
  <c r="F97"/>
  <c r="L96"/>
  <c r="F96"/>
  <c r="L95"/>
  <c r="F95"/>
  <c r="L94"/>
  <c r="F94"/>
  <c r="L93"/>
  <c r="F93"/>
  <c r="L92"/>
  <c r="F92"/>
  <c r="L89"/>
  <c r="F89"/>
  <c r="L88"/>
  <c r="F88"/>
  <c r="L87"/>
  <c r="F87"/>
  <c r="L86"/>
  <c r="F86"/>
  <c r="L85"/>
  <c r="F85"/>
  <c r="L84"/>
  <c r="F84"/>
  <c r="L82"/>
  <c r="F82"/>
  <c r="L81"/>
  <c r="F81"/>
  <c r="L80"/>
  <c r="F80"/>
  <c r="L79"/>
  <c r="F79"/>
  <c r="L78"/>
  <c r="F78"/>
  <c r="L77"/>
  <c r="F77"/>
  <c r="L76"/>
  <c r="F76"/>
  <c r="L75"/>
  <c r="F75"/>
  <c r="L74"/>
  <c r="F74"/>
  <c r="L73"/>
  <c r="F73"/>
  <c r="L71"/>
  <c r="F71"/>
  <c r="L70"/>
  <c r="F70"/>
  <c r="L69"/>
  <c r="F69"/>
  <c r="L68"/>
  <c r="F68"/>
  <c r="L67"/>
  <c r="F67"/>
  <c r="L66"/>
  <c r="F66"/>
  <c r="L65"/>
  <c r="F65"/>
  <c r="L64"/>
  <c r="F64"/>
  <c r="L63"/>
  <c r="F63"/>
  <c r="L62"/>
  <c r="F62"/>
  <c r="L61"/>
  <c r="F61"/>
  <c r="L57"/>
  <c r="F57"/>
  <c r="L56"/>
  <c r="F56"/>
  <c r="L55"/>
  <c r="F55"/>
  <c r="L54"/>
  <c r="F54"/>
  <c r="L53"/>
  <c r="F53"/>
  <c r="L52"/>
  <c r="F52"/>
  <c r="L51"/>
  <c r="F51"/>
  <c r="L50"/>
  <c r="F50"/>
  <c r="L49"/>
  <c r="F49"/>
  <c r="L47"/>
  <c r="F47"/>
  <c r="L46"/>
  <c r="F46"/>
  <c r="L45"/>
  <c r="F45"/>
  <c r="L44"/>
  <c r="F44"/>
  <c r="L41"/>
  <c r="F41"/>
  <c r="L40"/>
  <c r="F40"/>
  <c r="L39"/>
  <c r="F39"/>
  <c r="L38"/>
  <c r="F38"/>
  <c r="L37"/>
  <c r="F37"/>
  <c r="L36"/>
  <c r="F36"/>
  <c r="L35"/>
  <c r="F35"/>
  <c r="L34"/>
  <c r="F34"/>
  <c r="L33"/>
  <c r="F33"/>
  <c r="L32"/>
  <c r="F32"/>
  <c r="L31"/>
  <c r="F31"/>
  <c r="L28"/>
  <c r="F28"/>
  <c r="L27"/>
  <c r="F27"/>
  <c r="L26"/>
  <c r="F26"/>
  <c r="L25"/>
  <c r="F25"/>
  <c r="L24"/>
  <c r="F24"/>
  <c r="L23"/>
  <c r="F23"/>
  <c r="L22"/>
  <c r="F22"/>
  <c r="L21"/>
  <c r="F21"/>
  <c r="L20"/>
  <c r="F20"/>
  <c r="L19"/>
  <c r="F19"/>
  <c r="L18"/>
  <c r="F18"/>
  <c r="L17"/>
  <c r="F17"/>
  <c r="L16"/>
  <c r="F16"/>
  <c r="L15"/>
  <c r="F15"/>
  <c r="L12"/>
  <c r="F12"/>
  <c r="L11"/>
  <c r="F11"/>
  <c r="L9"/>
  <c r="F9"/>
  <c r="L8"/>
  <c r="F8"/>
  <c r="L7"/>
  <c r="F7"/>
  <c r="F171" s="1"/>
  <c r="L170" i="2"/>
  <c r="F170"/>
  <c r="L169"/>
  <c r="F169"/>
  <c r="L168"/>
  <c r="F168"/>
  <c r="F167"/>
  <c r="L167" s="1"/>
  <c r="L166"/>
  <c r="F166"/>
  <c r="F165"/>
  <c r="L165" s="1"/>
  <c r="L163"/>
  <c r="F163"/>
  <c r="L162"/>
  <c r="F162"/>
  <c r="L161"/>
  <c r="F161"/>
  <c r="L160"/>
  <c r="F160"/>
  <c r="L159"/>
  <c r="F159"/>
  <c r="L158"/>
  <c r="F158"/>
  <c r="L157"/>
  <c r="F157"/>
  <c r="L156"/>
  <c r="F156"/>
  <c r="L155"/>
  <c r="F155"/>
  <c r="L154"/>
  <c r="F154"/>
  <c r="L152"/>
  <c r="F152"/>
  <c r="L151"/>
  <c r="F151"/>
  <c r="L150"/>
  <c r="F150"/>
  <c r="L149"/>
  <c r="F149"/>
  <c r="L148"/>
  <c r="F148"/>
  <c r="L147"/>
  <c r="F147"/>
  <c r="L146"/>
  <c r="F146"/>
  <c r="L145"/>
  <c r="F145"/>
  <c r="L144"/>
  <c r="F144"/>
  <c r="L143"/>
  <c r="F143"/>
  <c r="L142"/>
  <c r="F142"/>
  <c r="L138"/>
  <c r="F138"/>
  <c r="L137"/>
  <c r="F137"/>
  <c r="L136"/>
  <c r="F136"/>
  <c r="L135"/>
  <c r="F135"/>
  <c r="L134"/>
  <c r="F134"/>
  <c r="L133"/>
  <c r="F133"/>
  <c r="L132"/>
  <c r="F132"/>
  <c r="L131"/>
  <c r="F131"/>
  <c r="L130"/>
  <c r="F130"/>
  <c r="L127"/>
  <c r="F127"/>
  <c r="L126"/>
  <c r="F126"/>
  <c r="L125"/>
  <c r="F125"/>
  <c r="L124"/>
  <c r="F124"/>
  <c r="L123"/>
  <c r="F123"/>
  <c r="L120"/>
  <c r="F120"/>
  <c r="L119"/>
  <c r="F119"/>
  <c r="F118"/>
  <c r="L118" s="1"/>
  <c r="L117"/>
  <c r="F117"/>
  <c r="L116"/>
  <c r="F116"/>
  <c r="L115"/>
  <c r="F115"/>
  <c r="L114"/>
  <c r="F114"/>
  <c r="L113"/>
  <c r="F113"/>
  <c r="L112"/>
  <c r="F112"/>
  <c r="L111"/>
  <c r="F111"/>
  <c r="L110"/>
  <c r="F110"/>
  <c r="L109"/>
  <c r="F109"/>
  <c r="L108"/>
  <c r="F108"/>
  <c r="L107"/>
  <c r="F107"/>
  <c r="L106"/>
  <c r="F106"/>
  <c r="L105"/>
  <c r="F105"/>
  <c r="L104"/>
  <c r="F104"/>
  <c r="L103"/>
  <c r="F103"/>
  <c r="L102"/>
  <c r="F102"/>
  <c r="L101"/>
  <c r="F101"/>
  <c r="L100"/>
  <c r="F100"/>
  <c r="L99"/>
  <c r="F99"/>
  <c r="F98"/>
  <c r="L98" s="1"/>
  <c r="L97"/>
  <c r="F97"/>
  <c r="L96"/>
  <c r="F96"/>
  <c r="L95"/>
  <c r="F95"/>
  <c r="L94"/>
  <c r="F94"/>
  <c r="L93"/>
  <c r="F93"/>
  <c r="L92"/>
  <c r="F92"/>
  <c r="L89"/>
  <c r="F89"/>
  <c r="L88"/>
  <c r="F88"/>
  <c r="L87"/>
  <c r="F87"/>
  <c r="L86"/>
  <c r="F86"/>
  <c r="L85"/>
  <c r="F85"/>
  <c r="L84"/>
  <c r="F84"/>
  <c r="L82"/>
  <c r="F82"/>
  <c r="L81"/>
  <c r="F81"/>
  <c r="L80"/>
  <c r="F80"/>
  <c r="L79"/>
  <c r="F79"/>
  <c r="L78"/>
  <c r="F78"/>
  <c r="L77"/>
  <c r="F77"/>
  <c r="L76"/>
  <c r="F76"/>
  <c r="L75"/>
  <c r="F75"/>
  <c r="L74"/>
  <c r="F74"/>
  <c r="L73"/>
  <c r="F73"/>
  <c r="L71"/>
  <c r="F71"/>
  <c r="L70"/>
  <c r="F70"/>
  <c r="L69"/>
  <c r="F69"/>
  <c r="L68"/>
  <c r="F68"/>
  <c r="L67"/>
  <c r="F67"/>
  <c r="L66"/>
  <c r="F66"/>
  <c r="L65"/>
  <c r="F65"/>
  <c r="F64"/>
  <c r="L64" s="1"/>
  <c r="L63"/>
  <c r="F63"/>
  <c r="L62"/>
  <c r="F62"/>
  <c r="L61"/>
  <c r="F61"/>
  <c r="L57"/>
  <c r="F57"/>
  <c r="L56"/>
  <c r="F56"/>
  <c r="L55"/>
  <c r="F55"/>
  <c r="L54"/>
  <c r="F54"/>
  <c r="L53"/>
  <c r="F53"/>
  <c r="F52"/>
  <c r="L52" s="1"/>
  <c r="L51"/>
  <c r="F51"/>
  <c r="L50"/>
  <c r="F50"/>
  <c r="L49"/>
  <c r="F49"/>
  <c r="F47"/>
  <c r="L47" s="1"/>
  <c r="L46"/>
  <c r="F46"/>
  <c r="L45"/>
  <c r="F45"/>
  <c r="L44"/>
  <c r="F44"/>
  <c r="L41"/>
  <c r="F41"/>
  <c r="L40"/>
  <c r="F40"/>
  <c r="L39"/>
  <c r="F39"/>
  <c r="F38"/>
  <c r="L38" s="1"/>
  <c r="L37"/>
  <c r="F37"/>
  <c r="L36"/>
  <c r="F36"/>
  <c r="L35"/>
  <c r="F35"/>
  <c r="L34"/>
  <c r="F34"/>
  <c r="L33"/>
  <c r="F33"/>
  <c r="L32"/>
  <c r="F32"/>
  <c r="L31"/>
  <c r="F31"/>
  <c r="L28"/>
  <c r="F28"/>
  <c r="L27"/>
  <c r="F27"/>
  <c r="L26"/>
  <c r="F26"/>
  <c r="F25"/>
  <c r="L25" s="1"/>
  <c r="F24"/>
  <c r="L24" s="1"/>
  <c r="F23"/>
  <c r="L23" s="1"/>
  <c r="L22"/>
  <c r="F22"/>
  <c r="L21"/>
  <c r="F21"/>
  <c r="L20"/>
  <c r="F20"/>
  <c r="F19"/>
  <c r="L19" s="1"/>
  <c r="L18"/>
  <c r="F18"/>
  <c r="L17"/>
  <c r="F17"/>
  <c r="L16"/>
  <c r="F16"/>
  <c r="L15"/>
  <c r="F15"/>
  <c r="L12"/>
  <c r="F12"/>
  <c r="L11"/>
  <c r="F11"/>
  <c r="F9"/>
  <c r="L9" s="1"/>
  <c r="L8"/>
  <c r="F8"/>
  <c r="F7"/>
  <c r="F171" s="1"/>
  <c r="F7" i="1"/>
  <c r="L7" s="1"/>
  <c r="F8"/>
  <c r="L8" s="1"/>
  <c r="F9"/>
  <c r="L9" s="1"/>
  <c r="F11"/>
  <c r="L11" s="1"/>
  <c r="F12"/>
  <c r="L12" s="1"/>
  <c r="F15"/>
  <c r="L15" s="1"/>
  <c r="F16"/>
  <c r="L16" s="1"/>
  <c r="F17"/>
  <c r="L17" s="1"/>
  <c r="F18"/>
  <c r="L18" s="1"/>
  <c r="F19"/>
  <c r="L19" s="1"/>
  <c r="F20"/>
  <c r="L20" s="1"/>
  <c r="F21"/>
  <c r="L21" s="1"/>
  <c r="F22"/>
  <c r="L22" s="1"/>
  <c r="F23"/>
  <c r="L23" s="1"/>
  <c r="F24"/>
  <c r="L24" s="1"/>
  <c r="F25"/>
  <c r="L25" s="1"/>
  <c r="F26"/>
  <c r="L26" s="1"/>
  <c r="F27"/>
  <c r="L27" s="1"/>
  <c r="F28"/>
  <c r="L28" s="1"/>
  <c r="F31"/>
  <c r="L31" s="1"/>
  <c r="F32"/>
  <c r="L32" s="1"/>
  <c r="F33"/>
  <c r="L33" s="1"/>
  <c r="F34"/>
  <c r="L34" s="1"/>
  <c r="F35"/>
  <c r="L35" s="1"/>
  <c r="F36"/>
  <c r="L36" s="1"/>
  <c r="F37"/>
  <c r="L37" s="1"/>
  <c r="F38"/>
  <c r="L38" s="1"/>
  <c r="F39"/>
  <c r="L39" s="1"/>
  <c r="F40"/>
  <c r="L40" s="1"/>
  <c r="F41"/>
  <c r="L41" s="1"/>
  <c r="F44"/>
  <c r="L44" s="1"/>
  <c r="F45"/>
  <c r="L45" s="1"/>
  <c r="F46"/>
  <c r="L46" s="1"/>
  <c r="F47"/>
  <c r="L47" s="1"/>
  <c r="F49"/>
  <c r="L49" s="1"/>
  <c r="F50"/>
  <c r="L50" s="1"/>
  <c r="M50" s="1"/>
  <c r="F51"/>
  <c r="F52"/>
  <c r="F53"/>
  <c r="F54"/>
  <c r="F55"/>
  <c r="F56"/>
  <c r="F57"/>
  <c r="F61"/>
  <c r="L61"/>
  <c r="M61" s="1"/>
  <c r="F62"/>
  <c r="L62"/>
  <c r="M62" s="1"/>
  <c r="F63"/>
  <c r="L63"/>
  <c r="M63" s="1"/>
  <c r="F64"/>
  <c r="L64" s="1"/>
  <c r="M64" s="1"/>
  <c r="F65"/>
  <c r="L65"/>
  <c r="M65" s="1"/>
  <c r="F66"/>
  <c r="L66"/>
  <c r="M66" s="1"/>
  <c r="F67"/>
  <c r="L67"/>
  <c r="M67" s="1"/>
  <c r="F68"/>
  <c r="L68"/>
  <c r="M68" s="1"/>
  <c r="F69"/>
  <c r="L69"/>
  <c r="M69" s="1"/>
  <c r="F70"/>
  <c r="L70"/>
  <c r="M70" s="1"/>
  <c r="F71"/>
  <c r="L71"/>
  <c r="M71" s="1"/>
  <c r="F73"/>
  <c r="L73"/>
  <c r="M73" s="1"/>
  <c r="F74"/>
  <c r="L74"/>
  <c r="M74" s="1"/>
  <c r="F75"/>
  <c r="L75"/>
  <c r="M75" s="1"/>
  <c r="F76"/>
  <c r="L76"/>
  <c r="M76" s="1"/>
  <c r="F77"/>
  <c r="L77"/>
  <c r="M77" s="1"/>
  <c r="F78"/>
  <c r="L78"/>
  <c r="M78" s="1"/>
  <c r="F79"/>
  <c r="L79"/>
  <c r="M79" s="1"/>
  <c r="F80"/>
  <c r="L80"/>
  <c r="M80" s="1"/>
  <c r="F81"/>
  <c r="L81"/>
  <c r="M81" s="1"/>
  <c r="F82"/>
  <c r="L82"/>
  <c r="M82" s="1"/>
  <c r="F84"/>
  <c r="L84"/>
  <c r="M84" s="1"/>
  <c r="F85"/>
  <c r="L85"/>
  <c r="M85" s="1"/>
  <c r="F86"/>
  <c r="L86"/>
  <c r="M86" s="1"/>
  <c r="F87"/>
  <c r="L87"/>
  <c r="M87" s="1"/>
  <c r="F88"/>
  <c r="L88"/>
  <c r="M88" s="1"/>
  <c r="F89"/>
  <c r="L89"/>
  <c r="M89" s="1"/>
  <c r="F92"/>
  <c r="L92"/>
  <c r="M92" s="1"/>
  <c r="F93"/>
  <c r="L93"/>
  <c r="M93" s="1"/>
  <c r="F94"/>
  <c r="L94"/>
  <c r="M94" s="1"/>
  <c r="F95"/>
  <c r="L95"/>
  <c r="M95" s="1"/>
  <c r="F96"/>
  <c r="L96"/>
  <c r="M96" s="1"/>
  <c r="F97"/>
  <c r="L97"/>
  <c r="M97" s="1"/>
  <c r="F98"/>
  <c r="L98"/>
  <c r="M98" s="1"/>
  <c r="F99"/>
  <c r="L99"/>
  <c r="M99" s="1"/>
  <c r="F100"/>
  <c r="L100"/>
  <c r="M100" s="1"/>
  <c r="F101"/>
  <c r="L101"/>
  <c r="M101" s="1"/>
  <c r="F102"/>
  <c r="L102"/>
  <c r="M102" s="1"/>
  <c r="F103"/>
  <c r="L103"/>
  <c r="M103" s="1"/>
  <c r="F104"/>
  <c r="L104"/>
  <c r="M104" s="1"/>
  <c r="F105"/>
  <c r="L105"/>
  <c r="M105" s="1"/>
  <c r="F106"/>
  <c r="L106"/>
  <c r="F107"/>
  <c r="L107"/>
  <c r="F108"/>
  <c r="L108"/>
  <c r="F109"/>
  <c r="L109"/>
  <c r="F110"/>
  <c r="L110"/>
  <c r="F111"/>
  <c r="L111"/>
  <c r="F112"/>
  <c r="L112"/>
  <c r="F113"/>
  <c r="L113" s="1"/>
  <c r="F114"/>
  <c r="L114" s="1"/>
  <c r="F115"/>
  <c r="L115" s="1"/>
  <c r="F116"/>
  <c r="L116" s="1"/>
  <c r="F117"/>
  <c r="L117" s="1"/>
  <c r="F118"/>
  <c r="L118" s="1"/>
  <c r="F119"/>
  <c r="L119" s="1"/>
  <c r="F120"/>
  <c r="L120" s="1"/>
  <c r="F123"/>
  <c r="L123" s="1"/>
  <c r="F124"/>
  <c r="L124" s="1"/>
  <c r="F125"/>
  <c r="L125" s="1"/>
  <c r="F126"/>
  <c r="L126" s="1"/>
  <c r="F127"/>
  <c r="L127" s="1"/>
  <c r="F130"/>
  <c r="L130" s="1"/>
  <c r="F131"/>
  <c r="L131" s="1"/>
  <c r="F132"/>
  <c r="L132" s="1"/>
  <c r="F133"/>
  <c r="L133" s="1"/>
  <c r="F134"/>
  <c r="L134" s="1"/>
  <c r="F135"/>
  <c r="L135" s="1"/>
  <c r="F136"/>
  <c r="L136" s="1"/>
  <c r="F137"/>
  <c r="L137" s="1"/>
  <c r="F138"/>
  <c r="L138" s="1"/>
  <c r="F142"/>
  <c r="L142" s="1"/>
  <c r="F143"/>
  <c r="L143" s="1"/>
  <c r="F144"/>
  <c r="L144" s="1"/>
  <c r="F145"/>
  <c r="L145" s="1"/>
  <c r="F146"/>
  <c r="L146" s="1"/>
  <c r="F147"/>
  <c r="L147" s="1"/>
  <c r="F148"/>
  <c r="L148" s="1"/>
  <c r="F149"/>
  <c r="L149" s="1"/>
  <c r="F150"/>
  <c r="L150" s="1"/>
  <c r="F151"/>
  <c r="L151" s="1"/>
  <c r="F152"/>
  <c r="L152" s="1"/>
  <c r="F154"/>
  <c r="L154" s="1"/>
  <c r="F155"/>
  <c r="L155" s="1"/>
  <c r="F156"/>
  <c r="L156" s="1"/>
  <c r="F157"/>
  <c r="L157" s="1"/>
  <c r="F158"/>
  <c r="L158" s="1"/>
  <c r="F159"/>
  <c r="L159" s="1"/>
  <c r="F160"/>
  <c r="L160" s="1"/>
  <c r="F161"/>
  <c r="L161" s="1"/>
  <c r="F162"/>
  <c r="L162" s="1"/>
  <c r="F163"/>
  <c r="L163" s="1"/>
  <c r="F165"/>
  <c r="L165" s="1"/>
  <c r="F166"/>
  <c r="L166" s="1"/>
  <c r="F167"/>
  <c r="L167" s="1"/>
  <c r="F168"/>
  <c r="L168" s="1"/>
  <c r="F169"/>
  <c r="L169" s="1"/>
  <c r="F170"/>
  <c r="L170" s="1"/>
  <c r="F171"/>
  <c r="M7" i="3" l="1"/>
  <c r="M8"/>
  <c r="M9"/>
  <c r="O9" s="1"/>
  <c r="M11"/>
  <c r="M12"/>
  <c r="O12" s="1"/>
  <c r="M15"/>
  <c r="M16"/>
  <c r="O16" s="1"/>
  <c r="M17"/>
  <c r="M18"/>
  <c r="O18" s="1"/>
  <c r="M19"/>
  <c r="M20"/>
  <c r="O20" s="1"/>
  <c r="M21"/>
  <c r="M22"/>
  <c r="O22" s="1"/>
  <c r="M23"/>
  <c r="M24"/>
  <c r="O24" s="1"/>
  <c r="M25"/>
  <c r="M26"/>
  <c r="O26" s="1"/>
  <c r="M27"/>
  <c r="M28"/>
  <c r="O28" s="1"/>
  <c r="M31"/>
  <c r="M32"/>
  <c r="O32" s="1"/>
  <c r="M33"/>
  <c r="M34"/>
  <c r="O34" s="1"/>
  <c r="M35"/>
  <c r="M36"/>
  <c r="O36" s="1"/>
  <c r="M37"/>
  <c r="M38"/>
  <c r="O38" s="1"/>
  <c r="M39"/>
  <c r="M40"/>
  <c r="O40" s="1"/>
  <c r="M41"/>
  <c r="M44"/>
  <c r="O44" s="1"/>
  <c r="M45"/>
  <c r="M46"/>
  <c r="O46" s="1"/>
  <c r="M47"/>
  <c r="M49"/>
  <c r="O49" s="1"/>
  <c r="M50"/>
  <c r="M51"/>
  <c r="O51" s="1"/>
  <c r="M52"/>
  <c r="M53"/>
  <c r="O53" s="1"/>
  <c r="M54"/>
  <c r="M55"/>
  <c r="O55" s="1"/>
  <c r="M56"/>
  <c r="M57"/>
  <c r="O57" s="1"/>
  <c r="M61"/>
  <c r="M62"/>
  <c r="O62" s="1"/>
  <c r="M63"/>
  <c r="M64"/>
  <c r="O64" s="1"/>
  <c r="M65"/>
  <c r="M66"/>
  <c r="O66" s="1"/>
  <c r="M67"/>
  <c r="M68"/>
  <c r="O68" s="1"/>
  <c r="N7"/>
  <c r="N8"/>
  <c r="N9"/>
  <c r="N11"/>
  <c r="N12"/>
  <c r="N15"/>
  <c r="N16"/>
  <c r="N17"/>
  <c r="N18"/>
  <c r="N19"/>
  <c r="N20"/>
  <c r="N21"/>
  <c r="N22"/>
  <c r="N23"/>
  <c r="N24"/>
  <c r="N25"/>
  <c r="N26"/>
  <c r="N27"/>
  <c r="N28"/>
  <c r="N31"/>
  <c r="N32"/>
  <c r="N33"/>
  <c r="N34"/>
  <c r="N35"/>
  <c r="N36"/>
  <c r="N37"/>
  <c r="N38"/>
  <c r="N39"/>
  <c r="N40"/>
  <c r="N41"/>
  <c r="N44"/>
  <c r="N45"/>
  <c r="N46"/>
  <c r="N47"/>
  <c r="N49"/>
  <c r="N50"/>
  <c r="N51"/>
  <c r="N52"/>
  <c r="N53"/>
  <c r="N54"/>
  <c r="N55"/>
  <c r="N56"/>
  <c r="N57"/>
  <c r="N61"/>
  <c r="N62"/>
  <c r="N63"/>
  <c r="N64"/>
  <c r="N65"/>
  <c r="N66"/>
  <c r="N67"/>
  <c r="N68"/>
  <c r="M69"/>
  <c r="M70"/>
  <c r="M71"/>
  <c r="M73"/>
  <c r="M74"/>
  <c r="M75"/>
  <c r="M76"/>
  <c r="M77"/>
  <c r="M78"/>
  <c r="M79"/>
  <c r="M80"/>
  <c r="M81"/>
  <c r="M82"/>
  <c r="M84"/>
  <c r="M85"/>
  <c r="M86"/>
  <c r="M87"/>
  <c r="M88"/>
  <c r="M89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L120"/>
  <c r="L123"/>
  <c r="L124"/>
  <c r="N124" s="1"/>
  <c r="L125"/>
  <c r="L126"/>
  <c r="L127"/>
  <c r="L130"/>
  <c r="N130" s="1"/>
  <c r="L131"/>
  <c r="L132"/>
  <c r="L133"/>
  <c r="L134"/>
  <c r="N134" s="1"/>
  <c r="L135"/>
  <c r="L136"/>
  <c r="L137"/>
  <c r="L138"/>
  <c r="N138" s="1"/>
  <c r="L142"/>
  <c r="L143"/>
  <c r="L144"/>
  <c r="L145"/>
  <c r="N145" s="1"/>
  <c r="L146"/>
  <c r="L147"/>
  <c r="L148"/>
  <c r="L149"/>
  <c r="N149" s="1"/>
  <c r="L150"/>
  <c r="L151"/>
  <c r="L152"/>
  <c r="L154"/>
  <c r="N154" s="1"/>
  <c r="L155"/>
  <c r="L156"/>
  <c r="L157"/>
  <c r="L158"/>
  <c r="N158" s="1"/>
  <c r="L159"/>
  <c r="L160"/>
  <c r="L161"/>
  <c r="L162"/>
  <c r="N162" s="1"/>
  <c r="L163"/>
  <c r="L165"/>
  <c r="L166"/>
  <c r="L167"/>
  <c r="N167" s="1"/>
  <c r="L168"/>
  <c r="L169"/>
  <c r="L170"/>
  <c r="M120"/>
  <c r="M123"/>
  <c r="M124"/>
  <c r="O124" s="1"/>
  <c r="M125"/>
  <c r="M126"/>
  <c r="M127"/>
  <c r="M130"/>
  <c r="O130" s="1"/>
  <c r="M131"/>
  <c r="M132"/>
  <c r="M133"/>
  <c r="M134"/>
  <c r="O134" s="1"/>
  <c r="M135"/>
  <c r="M136"/>
  <c r="M137"/>
  <c r="M138"/>
  <c r="O138" s="1"/>
  <c r="M142"/>
  <c r="M143"/>
  <c r="M144"/>
  <c r="M145"/>
  <c r="O145" s="1"/>
  <c r="M146"/>
  <c r="M147"/>
  <c r="M148"/>
  <c r="M149"/>
  <c r="O149" s="1"/>
  <c r="M150"/>
  <c r="M151"/>
  <c r="M152"/>
  <c r="M154"/>
  <c r="O154" s="1"/>
  <c r="M155"/>
  <c r="M156"/>
  <c r="M157"/>
  <c r="M158"/>
  <c r="O158" s="1"/>
  <c r="M159"/>
  <c r="M160"/>
  <c r="M161"/>
  <c r="M162"/>
  <c r="O162" s="1"/>
  <c r="M163"/>
  <c r="M165"/>
  <c r="M166"/>
  <c r="M167"/>
  <c r="O167" s="1"/>
  <c r="M168"/>
  <c r="M169"/>
  <c r="M170"/>
  <c r="L7" i="2"/>
  <c r="M7"/>
  <c r="M8"/>
  <c r="M9"/>
  <c r="M11"/>
  <c r="M12"/>
  <c r="M15"/>
  <c r="M16"/>
  <c r="M17"/>
  <c r="M18"/>
  <c r="M19"/>
  <c r="M20"/>
  <c r="M21"/>
  <c r="M22"/>
  <c r="M23"/>
  <c r="M24"/>
  <c r="M25"/>
  <c r="M26"/>
  <c r="M27"/>
  <c r="M28"/>
  <c r="M31"/>
  <c r="M32"/>
  <c r="M33"/>
  <c r="M34"/>
  <c r="M35"/>
  <c r="M36"/>
  <c r="M37"/>
  <c r="M38"/>
  <c r="M39"/>
  <c r="M40"/>
  <c r="M41"/>
  <c r="M44"/>
  <c r="M45"/>
  <c r="M46"/>
  <c r="M47"/>
  <c r="M49"/>
  <c r="M50"/>
  <c r="M51"/>
  <c r="M52"/>
  <c r="M53"/>
  <c r="M54"/>
  <c r="M55"/>
  <c r="M56"/>
  <c r="M57"/>
  <c r="M61"/>
  <c r="M62"/>
  <c r="M63"/>
  <c r="M64"/>
  <c r="M65"/>
  <c r="M66"/>
  <c r="M67"/>
  <c r="N7"/>
  <c r="O7" s="1"/>
  <c r="N8"/>
  <c r="N9"/>
  <c r="N11"/>
  <c r="N12"/>
  <c r="N15"/>
  <c r="N16"/>
  <c r="N17"/>
  <c r="N18"/>
  <c r="N19"/>
  <c r="N20"/>
  <c r="N21"/>
  <c r="N22"/>
  <c r="N23"/>
  <c r="N24"/>
  <c r="N25"/>
  <c r="N26"/>
  <c r="N27"/>
  <c r="N28"/>
  <c r="N31"/>
  <c r="N32"/>
  <c r="N33"/>
  <c r="N34"/>
  <c r="N35"/>
  <c r="N36"/>
  <c r="N37"/>
  <c r="N38"/>
  <c r="N39"/>
  <c r="N40"/>
  <c r="N41"/>
  <c r="N44"/>
  <c r="N45"/>
  <c r="N46"/>
  <c r="N47"/>
  <c r="N49"/>
  <c r="N50"/>
  <c r="N51"/>
  <c r="N52"/>
  <c r="N53"/>
  <c r="N54"/>
  <c r="N55"/>
  <c r="N56"/>
  <c r="N57"/>
  <c r="N61"/>
  <c r="N62"/>
  <c r="N63"/>
  <c r="N64"/>
  <c r="N65"/>
  <c r="N66"/>
  <c r="N67"/>
  <c r="M68"/>
  <c r="M69"/>
  <c r="N69" s="1"/>
  <c r="O69"/>
  <c r="M70"/>
  <c r="M71"/>
  <c r="N71" s="1"/>
  <c r="O71"/>
  <c r="M73"/>
  <c r="M74"/>
  <c r="N74" s="1"/>
  <c r="O74"/>
  <c r="M75"/>
  <c r="M76"/>
  <c r="N76" s="1"/>
  <c r="O76"/>
  <c r="M77"/>
  <c r="M78"/>
  <c r="N78" s="1"/>
  <c r="O78"/>
  <c r="M79"/>
  <c r="M80"/>
  <c r="M81"/>
  <c r="M82"/>
  <c r="M84"/>
  <c r="M85"/>
  <c r="M86"/>
  <c r="M87"/>
  <c r="M88"/>
  <c r="M89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N80"/>
  <c r="O80" s="1"/>
  <c r="N81"/>
  <c r="O81" s="1"/>
  <c r="N82"/>
  <c r="O82" s="1"/>
  <c r="N84"/>
  <c r="O84" s="1"/>
  <c r="N85"/>
  <c r="O85" s="1"/>
  <c r="N86"/>
  <c r="O86" s="1"/>
  <c r="N87"/>
  <c r="O87" s="1"/>
  <c r="N88"/>
  <c r="O88" s="1"/>
  <c r="N89"/>
  <c r="O89" s="1"/>
  <c r="N92"/>
  <c r="O92" s="1"/>
  <c r="N93"/>
  <c r="O93" s="1"/>
  <c r="N94"/>
  <c r="O94" s="1"/>
  <c r="N95"/>
  <c r="O95" s="1"/>
  <c r="N96"/>
  <c r="O96" s="1"/>
  <c r="N97"/>
  <c r="O97" s="1"/>
  <c r="N98"/>
  <c r="O98" s="1"/>
  <c r="N99"/>
  <c r="O99" s="1"/>
  <c r="N100"/>
  <c r="O100" s="1"/>
  <c r="N101"/>
  <c r="O101" s="1"/>
  <c r="N102"/>
  <c r="O102" s="1"/>
  <c r="N103"/>
  <c r="O103" s="1"/>
  <c r="N104"/>
  <c r="O104" s="1"/>
  <c r="N105"/>
  <c r="O105" s="1"/>
  <c r="N106"/>
  <c r="O106" s="1"/>
  <c r="N107"/>
  <c r="O107" s="1"/>
  <c r="N108"/>
  <c r="O108" s="1"/>
  <c r="N109"/>
  <c r="O109" s="1"/>
  <c r="N110"/>
  <c r="O110" s="1"/>
  <c r="N111"/>
  <c r="M112"/>
  <c r="N112" s="1"/>
  <c r="M113"/>
  <c r="M114"/>
  <c r="N114" s="1"/>
  <c r="M115"/>
  <c r="M116"/>
  <c r="N116" s="1"/>
  <c r="M117"/>
  <c r="M118"/>
  <c r="N118" s="1"/>
  <c r="M119"/>
  <c r="M120"/>
  <c r="N120" s="1"/>
  <c r="M123"/>
  <c r="M124"/>
  <c r="N124" s="1"/>
  <c r="M125"/>
  <c r="M126"/>
  <c r="N126" s="1"/>
  <c r="M127"/>
  <c r="M130"/>
  <c r="N130" s="1"/>
  <c r="M131"/>
  <c r="M132"/>
  <c r="N132" s="1"/>
  <c r="M133"/>
  <c r="M134"/>
  <c r="N134" s="1"/>
  <c r="M135"/>
  <c r="M136"/>
  <c r="N136" s="1"/>
  <c r="M137"/>
  <c r="M138"/>
  <c r="N138" s="1"/>
  <c r="M142"/>
  <c r="M143"/>
  <c r="N143" s="1"/>
  <c r="M144"/>
  <c r="M145"/>
  <c r="N145" s="1"/>
  <c r="M146"/>
  <c r="M147"/>
  <c r="N147" s="1"/>
  <c r="M148"/>
  <c r="M149"/>
  <c r="N149" s="1"/>
  <c r="M150"/>
  <c r="M151"/>
  <c r="N151" s="1"/>
  <c r="M152"/>
  <c r="M154"/>
  <c r="N154" s="1"/>
  <c r="M155"/>
  <c r="M156"/>
  <c r="N156" s="1"/>
  <c r="M157"/>
  <c r="M158"/>
  <c r="N158" s="1"/>
  <c r="M159"/>
  <c r="M160"/>
  <c r="N160" s="1"/>
  <c r="M161"/>
  <c r="M162"/>
  <c r="N162" s="1"/>
  <c r="M163"/>
  <c r="M165"/>
  <c r="N165" s="1"/>
  <c r="M166"/>
  <c r="M167"/>
  <c r="N167" s="1"/>
  <c r="M168"/>
  <c r="M169"/>
  <c r="N169" s="1"/>
  <c r="M170"/>
  <c r="M169" i="1"/>
  <c r="M167"/>
  <c r="M165"/>
  <c r="M162"/>
  <c r="O162" s="1"/>
  <c r="M160"/>
  <c r="M158"/>
  <c r="O158" s="1"/>
  <c r="M156"/>
  <c r="M154"/>
  <c r="O154" s="1"/>
  <c r="M151"/>
  <c r="M149"/>
  <c r="O149" s="1"/>
  <c r="M147"/>
  <c r="M145"/>
  <c r="O145" s="1"/>
  <c r="M143"/>
  <c r="M138"/>
  <c r="O138" s="1"/>
  <c r="M136"/>
  <c r="M134"/>
  <c r="O134" s="1"/>
  <c r="M132"/>
  <c r="M130"/>
  <c r="O130" s="1"/>
  <c r="M126"/>
  <c r="M124"/>
  <c r="O124" s="1"/>
  <c r="M120"/>
  <c r="M118"/>
  <c r="O118" s="1"/>
  <c r="M116"/>
  <c r="M114"/>
  <c r="O114" s="1"/>
  <c r="M170"/>
  <c r="O170" s="1"/>
  <c r="M168"/>
  <c r="M166"/>
  <c r="O166" s="1"/>
  <c r="M163"/>
  <c r="M161"/>
  <c r="O161" s="1"/>
  <c r="M159"/>
  <c r="M157"/>
  <c r="O157" s="1"/>
  <c r="M155"/>
  <c r="M152"/>
  <c r="O152" s="1"/>
  <c r="M150"/>
  <c r="M148"/>
  <c r="O148" s="1"/>
  <c r="M146"/>
  <c r="M144"/>
  <c r="O144" s="1"/>
  <c r="M142"/>
  <c r="M137"/>
  <c r="O137" s="1"/>
  <c r="M135"/>
  <c r="M133"/>
  <c r="O133" s="1"/>
  <c r="M131"/>
  <c r="M127"/>
  <c r="O127" s="1"/>
  <c r="M125"/>
  <c r="M123"/>
  <c r="O123" s="1"/>
  <c r="M119"/>
  <c r="M117"/>
  <c r="O117" s="1"/>
  <c r="M115"/>
  <c r="M113"/>
  <c r="O113" s="1"/>
  <c r="M112"/>
  <c r="M110"/>
  <c r="M108"/>
  <c r="M106"/>
  <c r="N105"/>
  <c r="N104"/>
  <c r="N103"/>
  <c r="N102"/>
  <c r="N101"/>
  <c r="N100"/>
  <c r="N99"/>
  <c r="N98"/>
  <c r="N97"/>
  <c r="N96"/>
  <c r="N95"/>
  <c r="N94"/>
  <c r="N93"/>
  <c r="N92"/>
  <c r="N89"/>
  <c r="N88"/>
  <c r="N87"/>
  <c r="N86"/>
  <c r="N85"/>
  <c r="N84"/>
  <c r="N82"/>
  <c r="N81"/>
  <c r="N80"/>
  <c r="N79"/>
  <c r="N78"/>
  <c r="N77"/>
  <c r="N76"/>
  <c r="N75"/>
  <c r="N74"/>
  <c r="N73"/>
  <c r="N71"/>
  <c r="N70"/>
  <c r="N69"/>
  <c r="N68"/>
  <c r="N67"/>
  <c r="N66"/>
  <c r="N65"/>
  <c r="N64"/>
  <c r="N63"/>
  <c r="N62"/>
  <c r="N61"/>
  <c r="N170"/>
  <c r="N169"/>
  <c r="O169" s="1"/>
  <c r="N168"/>
  <c r="O168" s="1"/>
  <c r="N167"/>
  <c r="N166"/>
  <c r="N165"/>
  <c r="O165" s="1"/>
  <c r="N163"/>
  <c r="O163" s="1"/>
  <c r="N162"/>
  <c r="N161"/>
  <c r="N160"/>
  <c r="O160" s="1"/>
  <c r="N159"/>
  <c r="O159" s="1"/>
  <c r="N158"/>
  <c r="N157"/>
  <c r="N156"/>
  <c r="O156" s="1"/>
  <c r="N155"/>
  <c r="O155" s="1"/>
  <c r="N154"/>
  <c r="N152"/>
  <c r="N151"/>
  <c r="O151" s="1"/>
  <c r="N150"/>
  <c r="O150" s="1"/>
  <c r="N149"/>
  <c r="N148"/>
  <c r="N147"/>
  <c r="O147" s="1"/>
  <c r="N146"/>
  <c r="O146" s="1"/>
  <c r="N145"/>
  <c r="N144"/>
  <c r="N143"/>
  <c r="O143" s="1"/>
  <c r="N142"/>
  <c r="O142" s="1"/>
  <c r="N138"/>
  <c r="N137"/>
  <c r="N136"/>
  <c r="O136" s="1"/>
  <c r="N135"/>
  <c r="O135" s="1"/>
  <c r="N134"/>
  <c r="N133"/>
  <c r="N132"/>
  <c r="O132" s="1"/>
  <c r="N131"/>
  <c r="O131" s="1"/>
  <c r="N130"/>
  <c r="N127"/>
  <c r="N126"/>
  <c r="O126" s="1"/>
  <c r="N125"/>
  <c r="O125" s="1"/>
  <c r="N124"/>
  <c r="N123"/>
  <c r="N120"/>
  <c r="O120" s="1"/>
  <c r="N119"/>
  <c r="O119" s="1"/>
  <c r="N118"/>
  <c r="N117"/>
  <c r="N116"/>
  <c r="O116" s="1"/>
  <c r="N115"/>
  <c r="O115" s="1"/>
  <c r="N114"/>
  <c r="N113"/>
  <c r="M111"/>
  <c r="M109"/>
  <c r="M107"/>
  <c r="L57"/>
  <c r="L56"/>
  <c r="L55"/>
  <c r="L54"/>
  <c r="L53"/>
  <c r="L52"/>
  <c r="L51"/>
  <c r="M49"/>
  <c r="M46"/>
  <c r="O46" s="1"/>
  <c r="M44"/>
  <c r="M40"/>
  <c r="O40" s="1"/>
  <c r="M38"/>
  <c r="N38" s="1"/>
  <c r="O38" s="1"/>
  <c r="M36"/>
  <c r="O36" s="1"/>
  <c r="M34"/>
  <c r="M32"/>
  <c r="O32" s="1"/>
  <c r="M28"/>
  <c r="M26"/>
  <c r="O26" s="1"/>
  <c r="M24"/>
  <c r="N24" s="1"/>
  <c r="O24" s="1"/>
  <c r="M22"/>
  <c r="O22" s="1"/>
  <c r="M20"/>
  <c r="M18"/>
  <c r="O18" s="1"/>
  <c r="M16"/>
  <c r="M12"/>
  <c r="O12" s="1"/>
  <c r="M9"/>
  <c r="N9" s="1"/>
  <c r="O9" s="1"/>
  <c r="M7"/>
  <c r="O105"/>
  <c r="P105" s="1"/>
  <c r="O104"/>
  <c r="P104" s="1"/>
  <c r="O103"/>
  <c r="P103" s="1"/>
  <c r="O102"/>
  <c r="P102" s="1"/>
  <c r="O101"/>
  <c r="P101" s="1"/>
  <c r="O100"/>
  <c r="P100" s="1"/>
  <c r="O99"/>
  <c r="P99" s="1"/>
  <c r="O98"/>
  <c r="P98" s="1"/>
  <c r="O97"/>
  <c r="P97" s="1"/>
  <c r="O96"/>
  <c r="P96" s="1"/>
  <c r="O95"/>
  <c r="P95" s="1"/>
  <c r="O94"/>
  <c r="P94" s="1"/>
  <c r="O93"/>
  <c r="P93" s="1"/>
  <c r="O92"/>
  <c r="P92" s="1"/>
  <c r="O89"/>
  <c r="P89" s="1"/>
  <c r="O88"/>
  <c r="P88" s="1"/>
  <c r="O87"/>
  <c r="P87" s="1"/>
  <c r="O86"/>
  <c r="P86" s="1"/>
  <c r="O85"/>
  <c r="P85" s="1"/>
  <c r="O84"/>
  <c r="P84" s="1"/>
  <c r="O82"/>
  <c r="P82" s="1"/>
  <c r="O81"/>
  <c r="P81" s="1"/>
  <c r="O80"/>
  <c r="P80" s="1"/>
  <c r="O79"/>
  <c r="P79" s="1"/>
  <c r="O78"/>
  <c r="P78" s="1"/>
  <c r="O77"/>
  <c r="P77" s="1"/>
  <c r="O76"/>
  <c r="P76" s="1"/>
  <c r="O75"/>
  <c r="P75" s="1"/>
  <c r="O74"/>
  <c r="P74" s="1"/>
  <c r="O73"/>
  <c r="P73" s="1"/>
  <c r="O71"/>
  <c r="P71" s="1"/>
  <c r="O70"/>
  <c r="P70" s="1"/>
  <c r="O69"/>
  <c r="P69" s="1"/>
  <c r="O68"/>
  <c r="P68" s="1"/>
  <c r="O67"/>
  <c r="P67" s="1"/>
  <c r="O66"/>
  <c r="P66" s="1"/>
  <c r="O65"/>
  <c r="P65" s="1"/>
  <c r="O64"/>
  <c r="P64" s="1"/>
  <c r="O63"/>
  <c r="P63" s="1"/>
  <c r="O62"/>
  <c r="P62" s="1"/>
  <c r="O61"/>
  <c r="P61" s="1"/>
  <c r="M47"/>
  <c r="O47" s="1"/>
  <c r="M45"/>
  <c r="M41"/>
  <c r="O41" s="1"/>
  <c r="M39"/>
  <c r="M37"/>
  <c r="O37" s="1"/>
  <c r="M35"/>
  <c r="M33"/>
  <c r="O33" s="1"/>
  <c r="M31"/>
  <c r="M27"/>
  <c r="O27" s="1"/>
  <c r="M25"/>
  <c r="N25" s="1"/>
  <c r="O25" s="1"/>
  <c r="M23"/>
  <c r="M21"/>
  <c r="M19"/>
  <c r="O19" s="1"/>
  <c r="M17"/>
  <c r="M15"/>
  <c r="O15" s="1"/>
  <c r="M11"/>
  <c r="N11" s="1"/>
  <c r="O11" s="1"/>
  <c r="M8"/>
  <c r="O8" s="1"/>
  <c r="N50"/>
  <c r="O50" s="1"/>
  <c r="N49"/>
  <c r="O49" s="1"/>
  <c r="N47"/>
  <c r="N46"/>
  <c r="N45"/>
  <c r="O45" s="1"/>
  <c r="N44"/>
  <c r="O44" s="1"/>
  <c r="N41"/>
  <c r="N40"/>
  <c r="N39"/>
  <c r="O39" s="1"/>
  <c r="N37"/>
  <c r="N36"/>
  <c r="N35"/>
  <c r="O35" s="1"/>
  <c r="N34"/>
  <c r="O34" s="1"/>
  <c r="N33"/>
  <c r="N32"/>
  <c r="N31"/>
  <c r="O31" s="1"/>
  <c r="N28"/>
  <c r="O28" s="1"/>
  <c r="N27"/>
  <c r="N26"/>
  <c r="N23"/>
  <c r="N22"/>
  <c r="N21"/>
  <c r="O21" s="1"/>
  <c r="N20"/>
  <c r="O20" s="1"/>
  <c r="N19"/>
  <c r="N18"/>
  <c r="N17"/>
  <c r="O17" s="1"/>
  <c r="N16"/>
  <c r="O16" s="1"/>
  <c r="N15"/>
  <c r="N12"/>
  <c r="N8"/>
  <c r="N7"/>
  <c r="N170" i="3" l="1"/>
  <c r="N168"/>
  <c r="P168" s="1"/>
  <c r="P167"/>
  <c r="N166"/>
  <c r="N163"/>
  <c r="P163" s="1"/>
  <c r="P162"/>
  <c r="N161"/>
  <c r="N159"/>
  <c r="P159" s="1"/>
  <c r="P158"/>
  <c r="N157"/>
  <c r="N155"/>
  <c r="P155" s="1"/>
  <c r="P154"/>
  <c r="N152"/>
  <c r="N150"/>
  <c r="P150" s="1"/>
  <c r="P149"/>
  <c r="N148"/>
  <c r="N146"/>
  <c r="P146" s="1"/>
  <c r="P145"/>
  <c r="N144"/>
  <c r="N142"/>
  <c r="P142" s="1"/>
  <c r="P138"/>
  <c r="N137"/>
  <c r="N135"/>
  <c r="P135" s="1"/>
  <c r="P134"/>
  <c r="N133"/>
  <c r="N131"/>
  <c r="P131" s="1"/>
  <c r="P130"/>
  <c r="N127"/>
  <c r="N125"/>
  <c r="P125" s="1"/>
  <c r="P124"/>
  <c r="N123"/>
  <c r="Q167"/>
  <c r="Q162"/>
  <c r="Q158"/>
  <c r="Q154"/>
  <c r="Q149"/>
  <c r="Q145"/>
  <c r="Q138"/>
  <c r="Q134"/>
  <c r="Q130"/>
  <c r="Q124"/>
  <c r="N118"/>
  <c r="O118" s="1"/>
  <c r="N116"/>
  <c r="O116" s="1"/>
  <c r="N114"/>
  <c r="O114" s="1"/>
  <c r="N112"/>
  <c r="O112" s="1"/>
  <c r="N110"/>
  <c r="O110" s="1"/>
  <c r="N108"/>
  <c r="O108" s="1"/>
  <c r="N106"/>
  <c r="O106" s="1"/>
  <c r="N104"/>
  <c r="O104" s="1"/>
  <c r="N102"/>
  <c r="O102" s="1"/>
  <c r="N100"/>
  <c r="O100" s="1"/>
  <c r="N98"/>
  <c r="O98" s="1"/>
  <c r="N96"/>
  <c r="O96" s="1"/>
  <c r="N94"/>
  <c r="O94" s="1"/>
  <c r="N92"/>
  <c r="O92" s="1"/>
  <c r="N88"/>
  <c r="O88" s="1"/>
  <c r="N86"/>
  <c r="O86" s="1"/>
  <c r="N84"/>
  <c r="O84" s="1"/>
  <c r="N81"/>
  <c r="O81" s="1"/>
  <c r="N79"/>
  <c r="O79" s="1"/>
  <c r="N77"/>
  <c r="O77" s="1"/>
  <c r="N75"/>
  <c r="O75" s="1"/>
  <c r="N73"/>
  <c r="O73" s="1"/>
  <c r="N70"/>
  <c r="O70" s="1"/>
  <c r="O7"/>
  <c r="P7" s="1"/>
  <c r="N69"/>
  <c r="O69" s="1"/>
  <c r="P68"/>
  <c r="Q68" s="1"/>
  <c r="P66"/>
  <c r="Q66" s="1"/>
  <c r="P64"/>
  <c r="Q64" s="1"/>
  <c r="P62"/>
  <c r="Q62" s="1"/>
  <c r="P57"/>
  <c r="Q57" s="1"/>
  <c r="P55"/>
  <c r="Q55" s="1"/>
  <c r="P53"/>
  <c r="Q53" s="1"/>
  <c r="P51"/>
  <c r="Q51" s="1"/>
  <c r="P49"/>
  <c r="Q49" s="1"/>
  <c r="P46"/>
  <c r="Q46" s="1"/>
  <c r="P44"/>
  <c r="Q44" s="1"/>
  <c r="P40"/>
  <c r="Q40" s="1"/>
  <c r="P38"/>
  <c r="Q38" s="1"/>
  <c r="P36"/>
  <c r="Q36" s="1"/>
  <c r="P34"/>
  <c r="Q34" s="1"/>
  <c r="P32"/>
  <c r="Q32" s="1"/>
  <c r="P28"/>
  <c r="Q28" s="1"/>
  <c r="P26"/>
  <c r="Q26" s="1"/>
  <c r="P24"/>
  <c r="Q24" s="1"/>
  <c r="P22"/>
  <c r="Q22" s="1"/>
  <c r="P20"/>
  <c r="Q20" s="1"/>
  <c r="P18"/>
  <c r="Q18" s="1"/>
  <c r="P16"/>
  <c r="Q16" s="1"/>
  <c r="P12"/>
  <c r="Q12" s="1"/>
  <c r="P9"/>
  <c r="Q9" s="1"/>
  <c r="O170"/>
  <c r="O168"/>
  <c r="O166"/>
  <c r="O163"/>
  <c r="O161"/>
  <c r="O159"/>
  <c r="O157"/>
  <c r="O155"/>
  <c r="O152"/>
  <c r="O150"/>
  <c r="O148"/>
  <c r="O146"/>
  <c r="O144"/>
  <c r="O142"/>
  <c r="O137"/>
  <c r="O135"/>
  <c r="O133"/>
  <c r="O131"/>
  <c r="O127"/>
  <c r="O125"/>
  <c r="O123"/>
  <c r="N169"/>
  <c r="O169" s="1"/>
  <c r="N165"/>
  <c r="N160"/>
  <c r="O160" s="1"/>
  <c r="N156"/>
  <c r="N151"/>
  <c r="O151" s="1"/>
  <c r="N147"/>
  <c r="N143"/>
  <c r="O143" s="1"/>
  <c r="N136"/>
  <c r="N132"/>
  <c r="O132" s="1"/>
  <c r="N126"/>
  <c r="N120"/>
  <c r="O120" s="1"/>
  <c r="N119"/>
  <c r="O119" s="1"/>
  <c r="N117"/>
  <c r="O117" s="1"/>
  <c r="N115"/>
  <c r="O115" s="1"/>
  <c r="N113"/>
  <c r="O113" s="1"/>
  <c r="N111"/>
  <c r="O111" s="1"/>
  <c r="N109"/>
  <c r="O109" s="1"/>
  <c r="N107"/>
  <c r="O107" s="1"/>
  <c r="N105"/>
  <c r="O105" s="1"/>
  <c r="N103"/>
  <c r="O103" s="1"/>
  <c r="N101"/>
  <c r="O101" s="1"/>
  <c r="N99"/>
  <c r="O99" s="1"/>
  <c r="N97"/>
  <c r="O97" s="1"/>
  <c r="N95"/>
  <c r="O95" s="1"/>
  <c r="N93"/>
  <c r="O93" s="1"/>
  <c r="N89"/>
  <c r="O89" s="1"/>
  <c r="N87"/>
  <c r="O87" s="1"/>
  <c r="N85"/>
  <c r="O85" s="1"/>
  <c r="N82"/>
  <c r="O82" s="1"/>
  <c r="N80"/>
  <c r="O80" s="1"/>
  <c r="N78"/>
  <c r="O78" s="1"/>
  <c r="N76"/>
  <c r="O76" s="1"/>
  <c r="N74"/>
  <c r="O74" s="1"/>
  <c r="N71"/>
  <c r="O71" s="1"/>
  <c r="O67"/>
  <c r="P67" s="1"/>
  <c r="Q67" s="1"/>
  <c r="O65"/>
  <c r="P65" s="1"/>
  <c r="Q65" s="1"/>
  <c r="O63"/>
  <c r="P63" s="1"/>
  <c r="Q63" s="1"/>
  <c r="O61"/>
  <c r="P61" s="1"/>
  <c r="Q61" s="1"/>
  <c r="O56"/>
  <c r="P56" s="1"/>
  <c r="Q56" s="1"/>
  <c r="O54"/>
  <c r="P54" s="1"/>
  <c r="Q54" s="1"/>
  <c r="O52"/>
  <c r="P52" s="1"/>
  <c r="Q52" s="1"/>
  <c r="O50"/>
  <c r="P50" s="1"/>
  <c r="Q50" s="1"/>
  <c r="O47"/>
  <c r="P47" s="1"/>
  <c r="Q47" s="1"/>
  <c r="O45"/>
  <c r="P45" s="1"/>
  <c r="Q45" s="1"/>
  <c r="O41"/>
  <c r="P41" s="1"/>
  <c r="Q41" s="1"/>
  <c r="O39"/>
  <c r="P39" s="1"/>
  <c r="Q39" s="1"/>
  <c r="O37"/>
  <c r="P37" s="1"/>
  <c r="Q37" s="1"/>
  <c r="O35"/>
  <c r="P35" s="1"/>
  <c r="Q35" s="1"/>
  <c r="O33"/>
  <c r="P33" s="1"/>
  <c r="Q33" s="1"/>
  <c r="O31"/>
  <c r="P31" s="1"/>
  <c r="Q31" s="1"/>
  <c r="O27"/>
  <c r="P27" s="1"/>
  <c r="Q27" s="1"/>
  <c r="O25"/>
  <c r="P25" s="1"/>
  <c r="Q25" s="1"/>
  <c r="O23"/>
  <c r="P23" s="1"/>
  <c r="Q23" s="1"/>
  <c r="O21"/>
  <c r="P21" s="1"/>
  <c r="Q21" s="1"/>
  <c r="O19"/>
  <c r="P19" s="1"/>
  <c r="Q19" s="1"/>
  <c r="O17"/>
  <c r="P17" s="1"/>
  <c r="Q17" s="1"/>
  <c r="O15"/>
  <c r="P15" s="1"/>
  <c r="Q15" s="1"/>
  <c r="O11"/>
  <c r="P11" s="1"/>
  <c r="Q11" s="1"/>
  <c r="O8"/>
  <c r="P8" s="1"/>
  <c r="Q8" s="1"/>
  <c r="P109" i="2"/>
  <c r="P107"/>
  <c r="P105"/>
  <c r="P103"/>
  <c r="P101"/>
  <c r="P99"/>
  <c r="P97"/>
  <c r="P95"/>
  <c r="P93"/>
  <c r="P89"/>
  <c r="P87"/>
  <c r="P85"/>
  <c r="P82"/>
  <c r="P80"/>
  <c r="P7"/>
  <c r="O169"/>
  <c r="O167"/>
  <c r="O165"/>
  <c r="P165" s="1"/>
  <c r="Q165" s="1"/>
  <c r="O162"/>
  <c r="O160"/>
  <c r="O158"/>
  <c r="O156"/>
  <c r="O154"/>
  <c r="O151"/>
  <c r="O149"/>
  <c r="O147"/>
  <c r="O145"/>
  <c r="O143"/>
  <c r="O138"/>
  <c r="O136"/>
  <c r="O134"/>
  <c r="O132"/>
  <c r="O130"/>
  <c r="O126"/>
  <c r="O124"/>
  <c r="O120"/>
  <c r="O118"/>
  <c r="O116"/>
  <c r="O114"/>
  <c r="O112"/>
  <c r="N170"/>
  <c r="N168"/>
  <c r="O168" s="1"/>
  <c r="N166"/>
  <c r="O166" s="1"/>
  <c r="N163"/>
  <c r="N161"/>
  <c r="O161" s="1"/>
  <c r="N159"/>
  <c r="N157"/>
  <c r="O157" s="1"/>
  <c r="N155"/>
  <c r="N152"/>
  <c r="O152" s="1"/>
  <c r="N150"/>
  <c r="N148"/>
  <c r="O148" s="1"/>
  <c r="N146"/>
  <c r="N144"/>
  <c r="O144" s="1"/>
  <c r="N142"/>
  <c r="N137"/>
  <c r="O137" s="1"/>
  <c r="N135"/>
  <c r="N133"/>
  <c r="O133" s="1"/>
  <c r="N131"/>
  <c r="N127"/>
  <c r="O127" s="1"/>
  <c r="N125"/>
  <c r="N123"/>
  <c r="O123" s="1"/>
  <c r="N119"/>
  <c r="N117"/>
  <c r="O117" s="1"/>
  <c r="N115"/>
  <c r="P169"/>
  <c r="Q169" s="1"/>
  <c r="P167"/>
  <c r="Q167" s="1"/>
  <c r="P162"/>
  <c r="Q162" s="1"/>
  <c r="P160"/>
  <c r="Q160" s="1"/>
  <c r="P158"/>
  <c r="Q158" s="1"/>
  <c r="P156"/>
  <c r="Q156" s="1"/>
  <c r="P154"/>
  <c r="Q154" s="1"/>
  <c r="P151"/>
  <c r="Q151" s="1"/>
  <c r="P149"/>
  <c r="Q149" s="1"/>
  <c r="P147"/>
  <c r="Q147" s="1"/>
  <c r="P145"/>
  <c r="Q145" s="1"/>
  <c r="P143"/>
  <c r="Q143" s="1"/>
  <c r="P138"/>
  <c r="Q138" s="1"/>
  <c r="P136"/>
  <c r="Q136" s="1"/>
  <c r="P134"/>
  <c r="Q134" s="1"/>
  <c r="P132"/>
  <c r="Q132" s="1"/>
  <c r="P130"/>
  <c r="Q130" s="1"/>
  <c r="P126"/>
  <c r="Q126" s="1"/>
  <c r="P124"/>
  <c r="Q124" s="1"/>
  <c r="P120"/>
  <c r="Q120" s="1"/>
  <c r="P118"/>
  <c r="Q118" s="1"/>
  <c r="P116"/>
  <c r="Q116" s="1"/>
  <c r="N113"/>
  <c r="O113" s="1"/>
  <c r="O111"/>
  <c r="P111" s="1"/>
  <c r="Q111" s="1"/>
  <c r="Q109"/>
  <c r="Q107"/>
  <c r="Q105"/>
  <c r="Q103"/>
  <c r="Q101"/>
  <c r="Q99"/>
  <c r="Q97"/>
  <c r="Q95"/>
  <c r="Q93"/>
  <c r="Q89"/>
  <c r="Q87"/>
  <c r="Q85"/>
  <c r="Q82"/>
  <c r="Q80"/>
  <c r="P114"/>
  <c r="Q114" s="1"/>
  <c r="P112"/>
  <c r="P110"/>
  <c r="Q110" s="1"/>
  <c r="P108"/>
  <c r="Q108" s="1"/>
  <c r="P106"/>
  <c r="Q106" s="1"/>
  <c r="P104"/>
  <c r="Q104" s="1"/>
  <c r="P102"/>
  <c r="Q102" s="1"/>
  <c r="P100"/>
  <c r="Q100" s="1"/>
  <c r="P98"/>
  <c r="Q98" s="1"/>
  <c r="P96"/>
  <c r="Q96" s="1"/>
  <c r="P94"/>
  <c r="Q94" s="1"/>
  <c r="P92"/>
  <c r="Q92" s="1"/>
  <c r="P88"/>
  <c r="Q88" s="1"/>
  <c r="P86"/>
  <c r="Q86" s="1"/>
  <c r="P84"/>
  <c r="Q84" s="1"/>
  <c r="P81"/>
  <c r="Q81" s="1"/>
  <c r="N79"/>
  <c r="O79" s="1"/>
  <c r="N77"/>
  <c r="O77" s="1"/>
  <c r="N75"/>
  <c r="O75" s="1"/>
  <c r="N73"/>
  <c r="O73" s="1"/>
  <c r="N70"/>
  <c r="O70" s="1"/>
  <c r="N68"/>
  <c r="O68" s="1"/>
  <c r="O67"/>
  <c r="Q67" s="1"/>
  <c r="O66"/>
  <c r="P66" s="1"/>
  <c r="Q66" s="1"/>
  <c r="O65"/>
  <c r="Q65" s="1"/>
  <c r="O64"/>
  <c r="P64" s="1"/>
  <c r="Q64" s="1"/>
  <c r="O63"/>
  <c r="P63" s="1"/>
  <c r="O62"/>
  <c r="P62" s="1"/>
  <c r="Q62" s="1"/>
  <c r="O61"/>
  <c r="Q61" s="1"/>
  <c r="O57"/>
  <c r="P57" s="1"/>
  <c r="Q57" s="1"/>
  <c r="O56"/>
  <c r="Q56" s="1"/>
  <c r="O55"/>
  <c r="P55" s="1"/>
  <c r="Q55" s="1"/>
  <c r="O54"/>
  <c r="Q54" s="1"/>
  <c r="O53"/>
  <c r="P53" s="1"/>
  <c r="Q53" s="1"/>
  <c r="O52"/>
  <c r="P52" s="1"/>
  <c r="O51"/>
  <c r="P51" s="1"/>
  <c r="Q51" s="1"/>
  <c r="O50"/>
  <c r="Q50" s="1"/>
  <c r="O49"/>
  <c r="P49" s="1"/>
  <c r="Q49" s="1"/>
  <c r="O47"/>
  <c r="P47" s="1"/>
  <c r="O46"/>
  <c r="P46" s="1"/>
  <c r="Q46" s="1"/>
  <c r="O45"/>
  <c r="Q45" s="1"/>
  <c r="O44"/>
  <c r="P44" s="1"/>
  <c r="Q44" s="1"/>
  <c r="O41"/>
  <c r="Q41" s="1"/>
  <c r="O40"/>
  <c r="P40" s="1"/>
  <c r="Q40" s="1"/>
  <c r="O39"/>
  <c r="Q39" s="1"/>
  <c r="O38"/>
  <c r="P38" s="1"/>
  <c r="Q38" s="1"/>
  <c r="O37"/>
  <c r="Q37" s="1"/>
  <c r="O36"/>
  <c r="P36" s="1"/>
  <c r="Q36" s="1"/>
  <c r="O35"/>
  <c r="Q35" s="1"/>
  <c r="O34"/>
  <c r="P34" s="1"/>
  <c r="Q34" s="1"/>
  <c r="O33"/>
  <c r="Q33" s="1"/>
  <c r="O32"/>
  <c r="P32" s="1"/>
  <c r="Q32" s="1"/>
  <c r="O31"/>
  <c r="Q31" s="1"/>
  <c r="O28"/>
  <c r="P28" s="1"/>
  <c r="Q28" s="1"/>
  <c r="O27"/>
  <c r="Q27" s="1"/>
  <c r="O26"/>
  <c r="P26" s="1"/>
  <c r="Q26" s="1"/>
  <c r="O25"/>
  <c r="O24"/>
  <c r="P24" s="1"/>
  <c r="Q24" s="1"/>
  <c r="O23"/>
  <c r="P23" s="1"/>
  <c r="O22"/>
  <c r="P22" s="1"/>
  <c r="Q22" s="1"/>
  <c r="O21"/>
  <c r="Q21" s="1"/>
  <c r="O20"/>
  <c r="P20" s="1"/>
  <c r="Q20" s="1"/>
  <c r="O19"/>
  <c r="P19" s="1"/>
  <c r="O18"/>
  <c r="P18" s="1"/>
  <c r="Q18" s="1"/>
  <c r="O17"/>
  <c r="Q17" s="1"/>
  <c r="O16"/>
  <c r="P16" s="1"/>
  <c r="Q16" s="1"/>
  <c r="O15"/>
  <c r="Q15" s="1"/>
  <c r="O12"/>
  <c r="P12" s="1"/>
  <c r="Q12" s="1"/>
  <c r="O11"/>
  <c r="P11" s="1"/>
  <c r="Q11" s="1"/>
  <c r="O9"/>
  <c r="P9" s="1"/>
  <c r="Q9" s="1"/>
  <c r="O8"/>
  <c r="P8" s="1"/>
  <c r="Q8" s="1"/>
  <c r="Q7"/>
  <c r="P78"/>
  <c r="P76"/>
  <c r="Q76" s="1"/>
  <c r="P74"/>
  <c r="P71"/>
  <c r="Q71" s="1"/>
  <c r="P69"/>
  <c r="Q69" s="1"/>
  <c r="P67"/>
  <c r="P65"/>
  <c r="P61"/>
  <c r="P56"/>
  <c r="P54"/>
  <c r="P50"/>
  <c r="P45"/>
  <c r="P41"/>
  <c r="P39"/>
  <c r="P37"/>
  <c r="P35"/>
  <c r="P33"/>
  <c r="P31"/>
  <c r="P27"/>
  <c r="P25"/>
  <c r="P21"/>
  <c r="P17"/>
  <c r="P15"/>
  <c r="Q112"/>
  <c r="Q78"/>
  <c r="Q74"/>
  <c r="O167" i="1"/>
  <c r="O23"/>
  <c r="O7"/>
  <c r="Q8"/>
  <c r="Q19"/>
  <c r="Q27"/>
  <c r="Q37"/>
  <c r="Q47"/>
  <c r="M52"/>
  <c r="M54"/>
  <c r="M56"/>
  <c r="N108"/>
  <c r="N112"/>
  <c r="P7"/>
  <c r="Q7" s="1"/>
  <c r="P8"/>
  <c r="P9"/>
  <c r="Q9" s="1"/>
  <c r="P11"/>
  <c r="P12"/>
  <c r="Q12" s="1"/>
  <c r="P15"/>
  <c r="Q15" s="1"/>
  <c r="P16"/>
  <c r="P17"/>
  <c r="P18"/>
  <c r="Q18" s="1"/>
  <c r="P19"/>
  <c r="P20"/>
  <c r="Q20" s="1"/>
  <c r="P21"/>
  <c r="P22"/>
  <c r="Q22" s="1"/>
  <c r="P23"/>
  <c r="Q23" s="1"/>
  <c r="P24"/>
  <c r="P25"/>
  <c r="P26"/>
  <c r="Q26" s="1"/>
  <c r="P27"/>
  <c r="P28"/>
  <c r="Q28" s="1"/>
  <c r="P31"/>
  <c r="P32"/>
  <c r="Q32" s="1"/>
  <c r="P33"/>
  <c r="Q33" s="1"/>
  <c r="P34"/>
  <c r="P35"/>
  <c r="P36"/>
  <c r="Q36" s="1"/>
  <c r="P37"/>
  <c r="P38"/>
  <c r="Q38" s="1"/>
  <c r="P39"/>
  <c r="P40"/>
  <c r="Q40" s="1"/>
  <c r="P41"/>
  <c r="Q41" s="1"/>
  <c r="P44"/>
  <c r="P45"/>
  <c r="P46"/>
  <c r="Q46" s="1"/>
  <c r="P47"/>
  <c r="P49"/>
  <c r="Q49" s="1"/>
  <c r="P50"/>
  <c r="Q11"/>
  <c r="Q17"/>
  <c r="Q21"/>
  <c r="Q25"/>
  <c r="Q31"/>
  <c r="Q35"/>
  <c r="Q39"/>
  <c r="Q45"/>
  <c r="Q61"/>
  <c r="Q62"/>
  <c r="Q63"/>
  <c r="Q64"/>
  <c r="Q65"/>
  <c r="Q66"/>
  <c r="Q67"/>
  <c r="Q68"/>
  <c r="Q69"/>
  <c r="Q70"/>
  <c r="Q71"/>
  <c r="Q73"/>
  <c r="Q74"/>
  <c r="Q75"/>
  <c r="Q76"/>
  <c r="Q77"/>
  <c r="Q78"/>
  <c r="Q79"/>
  <c r="Q80"/>
  <c r="Q81"/>
  <c r="Q82"/>
  <c r="Q84"/>
  <c r="Q85"/>
  <c r="Q86"/>
  <c r="Q87"/>
  <c r="Q88"/>
  <c r="Q89"/>
  <c r="Q92"/>
  <c r="Q93"/>
  <c r="Q94"/>
  <c r="Q95"/>
  <c r="Q96"/>
  <c r="Q97"/>
  <c r="Q98"/>
  <c r="Q99"/>
  <c r="Q100"/>
  <c r="Q101"/>
  <c r="Q102"/>
  <c r="Q103"/>
  <c r="Q104"/>
  <c r="Q105"/>
  <c r="Q16"/>
  <c r="Q24"/>
  <c r="Q34"/>
  <c r="Q44"/>
  <c r="P113"/>
  <c r="Q113" s="1"/>
  <c r="P114"/>
  <c r="Q114" s="1"/>
  <c r="P115"/>
  <c r="Q115" s="1"/>
  <c r="P116"/>
  <c r="P117"/>
  <c r="Q117" s="1"/>
  <c r="P118"/>
  <c r="Q118" s="1"/>
  <c r="P119"/>
  <c r="P120"/>
  <c r="P123"/>
  <c r="Q123" s="1"/>
  <c r="P124"/>
  <c r="Q124" s="1"/>
  <c r="P125"/>
  <c r="Q125" s="1"/>
  <c r="P126"/>
  <c r="P127"/>
  <c r="Q127" s="1"/>
  <c r="P130"/>
  <c r="Q130" s="1"/>
  <c r="P131"/>
  <c r="P132"/>
  <c r="P133"/>
  <c r="Q133" s="1"/>
  <c r="P134"/>
  <c r="Q134" s="1"/>
  <c r="P135"/>
  <c r="Q135" s="1"/>
  <c r="P136"/>
  <c r="P137"/>
  <c r="Q137" s="1"/>
  <c r="P138"/>
  <c r="Q138" s="1"/>
  <c r="P142"/>
  <c r="P143"/>
  <c r="P144"/>
  <c r="Q144" s="1"/>
  <c r="P145"/>
  <c r="Q145" s="1"/>
  <c r="P146"/>
  <c r="Q146" s="1"/>
  <c r="P147"/>
  <c r="P148"/>
  <c r="Q148" s="1"/>
  <c r="P149"/>
  <c r="Q149" s="1"/>
  <c r="P150"/>
  <c r="P151"/>
  <c r="P152"/>
  <c r="Q152" s="1"/>
  <c r="P154"/>
  <c r="Q154" s="1"/>
  <c r="P155"/>
  <c r="Q155" s="1"/>
  <c r="P156"/>
  <c r="P157"/>
  <c r="Q157" s="1"/>
  <c r="P158"/>
  <c r="Q158" s="1"/>
  <c r="P159"/>
  <c r="P160"/>
  <c r="P161"/>
  <c r="Q161" s="1"/>
  <c r="P162"/>
  <c r="Q162" s="1"/>
  <c r="P163"/>
  <c r="Q163" s="1"/>
  <c r="P165"/>
  <c r="P166"/>
  <c r="Q166" s="1"/>
  <c r="P167"/>
  <c r="Q167" s="1"/>
  <c r="P168"/>
  <c r="P169"/>
  <c r="P170"/>
  <c r="Q170" s="1"/>
  <c r="Q119"/>
  <c r="Q131"/>
  <c r="Q142"/>
  <c r="Q150"/>
  <c r="Q159"/>
  <c r="Q168"/>
  <c r="N107"/>
  <c r="N111"/>
  <c r="Q116"/>
  <c r="Q120"/>
  <c r="Q126"/>
  <c r="Q132"/>
  <c r="Q136"/>
  <c r="Q143"/>
  <c r="Q147"/>
  <c r="Q151"/>
  <c r="Q156"/>
  <c r="Q160"/>
  <c r="Q165"/>
  <c r="Q169"/>
  <c r="M51"/>
  <c r="M53"/>
  <c r="N53" s="1"/>
  <c r="O53" s="1"/>
  <c r="M55"/>
  <c r="M57"/>
  <c r="N57" s="1"/>
  <c r="O57" s="1"/>
  <c r="N106"/>
  <c r="N110"/>
  <c r="Q50"/>
  <c r="N109"/>
  <c r="X8" i="3" l="1"/>
  <c r="V8"/>
  <c r="Y8" s="1"/>
  <c r="W8"/>
  <c r="X15"/>
  <c r="V15"/>
  <c r="Y15" s="1"/>
  <c r="W15"/>
  <c r="X19"/>
  <c r="V19"/>
  <c r="Y19" s="1"/>
  <c r="W19"/>
  <c r="X23"/>
  <c r="V23"/>
  <c r="Y23" s="1"/>
  <c r="W23"/>
  <c r="X27"/>
  <c r="V27"/>
  <c r="Y27" s="1"/>
  <c r="W27"/>
  <c r="X33"/>
  <c r="V33"/>
  <c r="Y33" s="1"/>
  <c r="W33"/>
  <c r="X37"/>
  <c r="V37"/>
  <c r="Y37" s="1"/>
  <c r="W37"/>
  <c r="X41"/>
  <c r="V41"/>
  <c r="Y41" s="1"/>
  <c r="W41"/>
  <c r="X47"/>
  <c r="V47"/>
  <c r="Y47" s="1"/>
  <c r="W47"/>
  <c r="X52"/>
  <c r="V52"/>
  <c r="Y52" s="1"/>
  <c r="W52"/>
  <c r="X56"/>
  <c r="V56"/>
  <c r="Y56" s="1"/>
  <c r="W56"/>
  <c r="X63"/>
  <c r="V63"/>
  <c r="Y63" s="1"/>
  <c r="W63"/>
  <c r="X67"/>
  <c r="V67"/>
  <c r="Y67" s="1"/>
  <c r="W67"/>
  <c r="X9"/>
  <c r="V9"/>
  <c r="Y9" s="1"/>
  <c r="W9"/>
  <c r="X16"/>
  <c r="V16"/>
  <c r="Y16" s="1"/>
  <c r="W16"/>
  <c r="X20"/>
  <c r="V20"/>
  <c r="Y20" s="1"/>
  <c r="W20"/>
  <c r="X24"/>
  <c r="V24"/>
  <c r="Y24" s="1"/>
  <c r="W24"/>
  <c r="X28"/>
  <c r="V28"/>
  <c r="Y28" s="1"/>
  <c r="W28"/>
  <c r="X34"/>
  <c r="V34"/>
  <c r="Y34" s="1"/>
  <c r="W34"/>
  <c r="X38"/>
  <c r="V38"/>
  <c r="Y38" s="1"/>
  <c r="W38"/>
  <c r="X44"/>
  <c r="V44"/>
  <c r="Y44" s="1"/>
  <c r="W44"/>
  <c r="X49"/>
  <c r="V49"/>
  <c r="Y49" s="1"/>
  <c r="W49"/>
  <c r="X53"/>
  <c r="V53"/>
  <c r="Y53" s="1"/>
  <c r="W53"/>
  <c r="X57"/>
  <c r="V57"/>
  <c r="Y57" s="1"/>
  <c r="W57"/>
  <c r="X64"/>
  <c r="V64"/>
  <c r="Y64" s="1"/>
  <c r="W64"/>
  <c r="X68"/>
  <c r="V68"/>
  <c r="W68"/>
  <c r="X11"/>
  <c r="V11"/>
  <c r="Y11" s="1"/>
  <c r="W11"/>
  <c r="X17"/>
  <c r="V17"/>
  <c r="Y17" s="1"/>
  <c r="W17"/>
  <c r="X21"/>
  <c r="V21"/>
  <c r="Y21" s="1"/>
  <c r="W21"/>
  <c r="X25"/>
  <c r="V25"/>
  <c r="Y25" s="1"/>
  <c r="W25"/>
  <c r="X31"/>
  <c r="V31"/>
  <c r="Y31" s="1"/>
  <c r="W31"/>
  <c r="X35"/>
  <c r="V35"/>
  <c r="Y35" s="1"/>
  <c r="W35"/>
  <c r="X39"/>
  <c r="V39"/>
  <c r="Y39" s="1"/>
  <c r="W39"/>
  <c r="X45"/>
  <c r="V45"/>
  <c r="Y45" s="1"/>
  <c r="W45"/>
  <c r="X50"/>
  <c r="V50"/>
  <c r="Y50" s="1"/>
  <c r="W50"/>
  <c r="X54"/>
  <c r="V54"/>
  <c r="Y54" s="1"/>
  <c r="W54"/>
  <c r="X61"/>
  <c r="V61"/>
  <c r="Y61" s="1"/>
  <c r="W61"/>
  <c r="X65"/>
  <c r="V65"/>
  <c r="Y65" s="1"/>
  <c r="W65"/>
  <c r="X12"/>
  <c r="V12"/>
  <c r="Y12" s="1"/>
  <c r="W12"/>
  <c r="X18"/>
  <c r="V18"/>
  <c r="Y18" s="1"/>
  <c r="W18"/>
  <c r="X22"/>
  <c r="V22"/>
  <c r="Y22" s="1"/>
  <c r="W22"/>
  <c r="X26"/>
  <c r="V26"/>
  <c r="Y26" s="1"/>
  <c r="W26"/>
  <c r="X32"/>
  <c r="V32"/>
  <c r="Y32" s="1"/>
  <c r="W32"/>
  <c r="X36"/>
  <c r="V36"/>
  <c r="Y36" s="1"/>
  <c r="W36"/>
  <c r="X40"/>
  <c r="V40"/>
  <c r="Y40" s="1"/>
  <c r="W40"/>
  <c r="X46"/>
  <c r="V46"/>
  <c r="Y46" s="1"/>
  <c r="W46"/>
  <c r="X51"/>
  <c r="V51"/>
  <c r="Y51" s="1"/>
  <c r="W51"/>
  <c r="X55"/>
  <c r="V55"/>
  <c r="Y55" s="1"/>
  <c r="W55"/>
  <c r="X62"/>
  <c r="V62"/>
  <c r="Y62" s="1"/>
  <c r="W62"/>
  <c r="X66"/>
  <c r="V66"/>
  <c r="Y66" s="1"/>
  <c r="W66"/>
  <c r="W130"/>
  <c r="X130"/>
  <c r="V130"/>
  <c r="W138"/>
  <c r="X138"/>
  <c r="V138"/>
  <c r="W149"/>
  <c r="X149"/>
  <c r="V149"/>
  <c r="W158"/>
  <c r="X158"/>
  <c r="V158"/>
  <c r="W167"/>
  <c r="X167"/>
  <c r="V167"/>
  <c r="Q7"/>
  <c r="P73"/>
  <c r="Q73" s="1"/>
  <c r="P77"/>
  <c r="Q77" s="1"/>
  <c r="P81"/>
  <c r="Q81" s="1"/>
  <c r="P86"/>
  <c r="Q86" s="1"/>
  <c r="P92"/>
  <c r="Q92" s="1"/>
  <c r="P96"/>
  <c r="Q96" s="1"/>
  <c r="P100"/>
  <c r="Q100" s="1"/>
  <c r="P104"/>
  <c r="Q104" s="1"/>
  <c r="P108"/>
  <c r="Q108" s="1"/>
  <c r="P112"/>
  <c r="Q112" s="1"/>
  <c r="P116"/>
  <c r="Q116" s="1"/>
  <c r="O126"/>
  <c r="P126" s="1"/>
  <c r="Q126" s="1"/>
  <c r="O136"/>
  <c r="O147"/>
  <c r="P147" s="1"/>
  <c r="Q147" s="1"/>
  <c r="O156"/>
  <c r="O165"/>
  <c r="P165" s="1"/>
  <c r="Q165" s="1"/>
  <c r="P71"/>
  <c r="Q71" s="1"/>
  <c r="P76"/>
  <c r="Q76" s="1"/>
  <c r="P80"/>
  <c r="Q80" s="1"/>
  <c r="P85"/>
  <c r="Q85" s="1"/>
  <c r="P89"/>
  <c r="Q89" s="1"/>
  <c r="P95"/>
  <c r="Q95" s="1"/>
  <c r="P99"/>
  <c r="Q99" s="1"/>
  <c r="P103"/>
  <c r="Q103" s="1"/>
  <c r="P107"/>
  <c r="Q107" s="1"/>
  <c r="P111"/>
  <c r="Q111" s="1"/>
  <c r="P115"/>
  <c r="Q115" s="1"/>
  <c r="P119"/>
  <c r="Q119" s="1"/>
  <c r="Q125"/>
  <c r="Q131"/>
  <c r="Q135"/>
  <c r="Q142"/>
  <c r="Q146"/>
  <c r="Q150"/>
  <c r="Q155"/>
  <c r="Q159"/>
  <c r="Q163"/>
  <c r="Q168"/>
  <c r="P123"/>
  <c r="Q123" s="1"/>
  <c r="P127"/>
  <c r="Q127" s="1"/>
  <c r="P133"/>
  <c r="Q133" s="1"/>
  <c r="P137"/>
  <c r="Q137" s="1"/>
  <c r="P144"/>
  <c r="Q144" s="1"/>
  <c r="P148"/>
  <c r="Q148" s="1"/>
  <c r="P152"/>
  <c r="Q152" s="1"/>
  <c r="P157"/>
  <c r="Q157" s="1"/>
  <c r="P161"/>
  <c r="Q161" s="1"/>
  <c r="P166"/>
  <c r="Q166" s="1"/>
  <c r="P170"/>
  <c r="Q170" s="1"/>
  <c r="W124"/>
  <c r="X124"/>
  <c r="V124"/>
  <c r="W134"/>
  <c r="X134"/>
  <c r="V134"/>
  <c r="W145"/>
  <c r="X145"/>
  <c r="V145"/>
  <c r="W154"/>
  <c r="X154"/>
  <c r="V154"/>
  <c r="W162"/>
  <c r="X162"/>
  <c r="V162"/>
  <c r="P120"/>
  <c r="Q120" s="1"/>
  <c r="P132"/>
  <c r="Q132" s="1"/>
  <c r="P136"/>
  <c r="Q136" s="1"/>
  <c r="P143"/>
  <c r="Q143" s="1"/>
  <c r="P151"/>
  <c r="Q151" s="1"/>
  <c r="P156"/>
  <c r="Q156" s="1"/>
  <c r="P160"/>
  <c r="Q160" s="1"/>
  <c r="P169"/>
  <c r="Q169" s="1"/>
  <c r="P70"/>
  <c r="Q70" s="1"/>
  <c r="P75"/>
  <c r="Q75" s="1"/>
  <c r="P79"/>
  <c r="Q79" s="1"/>
  <c r="P84"/>
  <c r="Q84" s="1"/>
  <c r="P88"/>
  <c r="Q88" s="1"/>
  <c r="P94"/>
  <c r="Q94" s="1"/>
  <c r="P98"/>
  <c r="Q98" s="1"/>
  <c r="P102"/>
  <c r="Q102" s="1"/>
  <c r="P106"/>
  <c r="Q106" s="1"/>
  <c r="P110"/>
  <c r="Q110" s="1"/>
  <c r="P114"/>
  <c r="Q114" s="1"/>
  <c r="P118"/>
  <c r="Q118" s="1"/>
  <c r="P69"/>
  <c r="Q69" s="1"/>
  <c r="P74"/>
  <c r="Q74" s="1"/>
  <c r="P78"/>
  <c r="Q78" s="1"/>
  <c r="P82"/>
  <c r="Q82" s="1"/>
  <c r="P87"/>
  <c r="Q87" s="1"/>
  <c r="P93"/>
  <c r="Q93" s="1"/>
  <c r="P97"/>
  <c r="Q97" s="1"/>
  <c r="P101"/>
  <c r="Q101" s="1"/>
  <c r="P105"/>
  <c r="Q105" s="1"/>
  <c r="P109"/>
  <c r="Q109" s="1"/>
  <c r="P113"/>
  <c r="Q113" s="1"/>
  <c r="P117"/>
  <c r="Q117" s="1"/>
  <c r="Q63" i="2"/>
  <c r="Q52"/>
  <c r="Q47"/>
  <c r="Q25"/>
  <c r="Q23"/>
  <c r="Q19"/>
  <c r="W71"/>
  <c r="V71"/>
  <c r="Y71" s="1"/>
  <c r="X71"/>
  <c r="Z71" s="1"/>
  <c r="W76"/>
  <c r="V76"/>
  <c r="Y76" s="1"/>
  <c r="X76"/>
  <c r="Z76" s="1"/>
  <c r="X12"/>
  <c r="V12"/>
  <c r="W12"/>
  <c r="X18"/>
  <c r="V18"/>
  <c r="W18"/>
  <c r="X22"/>
  <c r="V22"/>
  <c r="W22"/>
  <c r="X26"/>
  <c r="V26"/>
  <c r="W26"/>
  <c r="X32"/>
  <c r="V32"/>
  <c r="W32"/>
  <c r="X36"/>
  <c r="V36"/>
  <c r="W36"/>
  <c r="X38"/>
  <c r="V38"/>
  <c r="W38"/>
  <c r="X44"/>
  <c r="V44"/>
  <c r="W44"/>
  <c r="X46"/>
  <c r="V46"/>
  <c r="W46"/>
  <c r="X49"/>
  <c r="V49"/>
  <c r="W49"/>
  <c r="X51"/>
  <c r="V51"/>
  <c r="W51"/>
  <c r="X53"/>
  <c r="V53"/>
  <c r="W53"/>
  <c r="X55"/>
  <c r="V55"/>
  <c r="W55"/>
  <c r="X57"/>
  <c r="V57"/>
  <c r="W57"/>
  <c r="X62"/>
  <c r="V62"/>
  <c r="W62"/>
  <c r="X64"/>
  <c r="V64"/>
  <c r="W64"/>
  <c r="X66"/>
  <c r="V66"/>
  <c r="W66"/>
  <c r="X81"/>
  <c r="V81"/>
  <c r="W81"/>
  <c r="X86"/>
  <c r="V86"/>
  <c r="W86"/>
  <c r="X92"/>
  <c r="V92"/>
  <c r="W92"/>
  <c r="X96"/>
  <c r="V96"/>
  <c r="W96"/>
  <c r="X100"/>
  <c r="V100"/>
  <c r="W100"/>
  <c r="X104"/>
  <c r="V104"/>
  <c r="W104"/>
  <c r="X108"/>
  <c r="V108"/>
  <c r="W108"/>
  <c r="W111"/>
  <c r="X111"/>
  <c r="V111"/>
  <c r="Y111" s="1"/>
  <c r="W116"/>
  <c r="X116"/>
  <c r="V116"/>
  <c r="Y116" s="1"/>
  <c r="W120"/>
  <c r="X120"/>
  <c r="V120"/>
  <c r="Y120" s="1"/>
  <c r="W126"/>
  <c r="X126"/>
  <c r="V126"/>
  <c r="Y126" s="1"/>
  <c r="W132"/>
  <c r="X132"/>
  <c r="V132"/>
  <c r="Y132" s="1"/>
  <c r="W136"/>
  <c r="X136"/>
  <c r="V136"/>
  <c r="Y136" s="1"/>
  <c r="W143"/>
  <c r="X143"/>
  <c r="V143"/>
  <c r="Y143" s="1"/>
  <c r="W147"/>
  <c r="X147"/>
  <c r="V147"/>
  <c r="Y147" s="1"/>
  <c r="W151"/>
  <c r="X151"/>
  <c r="V151"/>
  <c r="Y151" s="1"/>
  <c r="W156"/>
  <c r="X156"/>
  <c r="V156"/>
  <c r="Y156" s="1"/>
  <c r="W160"/>
  <c r="X160"/>
  <c r="V160"/>
  <c r="Y160" s="1"/>
  <c r="W165"/>
  <c r="X165"/>
  <c r="V165"/>
  <c r="Y165" s="1"/>
  <c r="W169"/>
  <c r="X169"/>
  <c r="V169"/>
  <c r="Y169" s="1"/>
  <c r="X9"/>
  <c r="V9"/>
  <c r="W9"/>
  <c r="X16"/>
  <c r="V16"/>
  <c r="W16"/>
  <c r="X20"/>
  <c r="V20"/>
  <c r="W20"/>
  <c r="X24"/>
  <c r="V24"/>
  <c r="W24"/>
  <c r="X28"/>
  <c r="V28"/>
  <c r="W28"/>
  <c r="X34"/>
  <c r="V34"/>
  <c r="W34"/>
  <c r="X40"/>
  <c r="V40"/>
  <c r="W40"/>
  <c r="W69"/>
  <c r="V69"/>
  <c r="Y69" s="1"/>
  <c r="X69"/>
  <c r="Z69" s="1"/>
  <c r="X8"/>
  <c r="V8"/>
  <c r="W8"/>
  <c r="X11"/>
  <c r="V11"/>
  <c r="W11"/>
  <c r="X15"/>
  <c r="V15"/>
  <c r="W15"/>
  <c r="X17"/>
  <c r="V17"/>
  <c r="W17"/>
  <c r="X19"/>
  <c r="V19"/>
  <c r="W19"/>
  <c r="X21"/>
  <c r="V21"/>
  <c r="W21"/>
  <c r="X23"/>
  <c r="V23"/>
  <c r="W23"/>
  <c r="X25"/>
  <c r="V25"/>
  <c r="W25"/>
  <c r="X27"/>
  <c r="V27"/>
  <c r="Y27" s="1"/>
  <c r="W27"/>
  <c r="X31"/>
  <c r="V31"/>
  <c r="Y31" s="1"/>
  <c r="W31"/>
  <c r="X33"/>
  <c r="V33"/>
  <c r="Y33" s="1"/>
  <c r="W33"/>
  <c r="X35"/>
  <c r="V35"/>
  <c r="Y35" s="1"/>
  <c r="W35"/>
  <c r="X37"/>
  <c r="V37"/>
  <c r="Y37" s="1"/>
  <c r="W37"/>
  <c r="X39"/>
  <c r="V39"/>
  <c r="Y39" s="1"/>
  <c r="W39"/>
  <c r="X41"/>
  <c r="V41"/>
  <c r="Y41" s="1"/>
  <c r="W41"/>
  <c r="X45"/>
  <c r="V45"/>
  <c r="Y45" s="1"/>
  <c r="W45"/>
  <c r="X47"/>
  <c r="V47"/>
  <c r="W47"/>
  <c r="X50"/>
  <c r="V50"/>
  <c r="Y50" s="1"/>
  <c r="W50"/>
  <c r="X52"/>
  <c r="V52"/>
  <c r="Y52" s="1"/>
  <c r="W52"/>
  <c r="X54"/>
  <c r="V54"/>
  <c r="Y54" s="1"/>
  <c r="W54"/>
  <c r="X56"/>
  <c r="V56"/>
  <c r="Y56" s="1"/>
  <c r="W56"/>
  <c r="X61"/>
  <c r="V61"/>
  <c r="Y61" s="1"/>
  <c r="W61"/>
  <c r="X63"/>
  <c r="V63"/>
  <c r="W63"/>
  <c r="X65"/>
  <c r="V65"/>
  <c r="Y65" s="1"/>
  <c r="W65"/>
  <c r="W67"/>
  <c r="V67"/>
  <c r="Y67" s="1"/>
  <c r="X67"/>
  <c r="X84"/>
  <c r="V84"/>
  <c r="Y84" s="1"/>
  <c r="W84"/>
  <c r="X88"/>
  <c r="V88"/>
  <c r="Y88" s="1"/>
  <c r="W88"/>
  <c r="X94"/>
  <c r="V94"/>
  <c r="Y94" s="1"/>
  <c r="W94"/>
  <c r="X98"/>
  <c r="V98"/>
  <c r="W98"/>
  <c r="X102"/>
  <c r="V102"/>
  <c r="Y102" s="1"/>
  <c r="W102"/>
  <c r="X106"/>
  <c r="V106"/>
  <c r="Y106" s="1"/>
  <c r="W106"/>
  <c r="X110"/>
  <c r="V110"/>
  <c r="Y110" s="1"/>
  <c r="W110"/>
  <c r="W114"/>
  <c r="X114"/>
  <c r="V114"/>
  <c r="W118"/>
  <c r="X118"/>
  <c r="V118"/>
  <c r="W124"/>
  <c r="X124"/>
  <c r="V124"/>
  <c r="W130"/>
  <c r="X130"/>
  <c r="V130"/>
  <c r="W134"/>
  <c r="X134"/>
  <c r="V134"/>
  <c r="W138"/>
  <c r="X138"/>
  <c r="V138"/>
  <c r="W145"/>
  <c r="X145"/>
  <c r="V145"/>
  <c r="W149"/>
  <c r="X149"/>
  <c r="V149"/>
  <c r="W154"/>
  <c r="X154"/>
  <c r="V154"/>
  <c r="W158"/>
  <c r="X158"/>
  <c r="V158"/>
  <c r="W162"/>
  <c r="X162"/>
  <c r="V162"/>
  <c r="W167"/>
  <c r="X167"/>
  <c r="V167"/>
  <c r="W78"/>
  <c r="V78"/>
  <c r="Y78" s="1"/>
  <c r="X78"/>
  <c r="Z78" s="1"/>
  <c r="W112"/>
  <c r="V112"/>
  <c r="Y112" s="1"/>
  <c r="X112"/>
  <c r="Z112" s="1"/>
  <c r="X7"/>
  <c r="V7"/>
  <c r="W7"/>
  <c r="X80"/>
  <c r="V80"/>
  <c r="Y80" s="1"/>
  <c r="W80"/>
  <c r="X85"/>
  <c r="V85"/>
  <c r="Y85" s="1"/>
  <c r="W85"/>
  <c r="X89"/>
  <c r="V89"/>
  <c r="Y89" s="1"/>
  <c r="W89"/>
  <c r="X95"/>
  <c r="V95"/>
  <c r="Y95" s="1"/>
  <c r="W95"/>
  <c r="X99"/>
  <c r="V99"/>
  <c r="Y99" s="1"/>
  <c r="W99"/>
  <c r="X103"/>
  <c r="V103"/>
  <c r="Y103" s="1"/>
  <c r="W103"/>
  <c r="X107"/>
  <c r="V107"/>
  <c r="Y107" s="1"/>
  <c r="W107"/>
  <c r="P75"/>
  <c r="Q75" s="1"/>
  <c r="P113"/>
  <c r="Q113" s="1"/>
  <c r="P117"/>
  <c r="Q117" s="1"/>
  <c r="P123"/>
  <c r="Q123" s="1"/>
  <c r="P127"/>
  <c r="Q127" s="1"/>
  <c r="P133"/>
  <c r="Q133" s="1"/>
  <c r="P137"/>
  <c r="Q137" s="1"/>
  <c r="P144"/>
  <c r="Q144" s="1"/>
  <c r="P148"/>
  <c r="Q148" s="1"/>
  <c r="P152"/>
  <c r="Q152" s="1"/>
  <c r="P157"/>
  <c r="Q157" s="1"/>
  <c r="P161"/>
  <c r="Q161" s="1"/>
  <c r="P166"/>
  <c r="Q166" s="1"/>
  <c r="P77"/>
  <c r="Q77" s="1"/>
  <c r="P168"/>
  <c r="Q168" s="1"/>
  <c r="W74"/>
  <c r="V74"/>
  <c r="Y74" s="1"/>
  <c r="X74"/>
  <c r="Z74" s="1"/>
  <c r="X82"/>
  <c r="V82"/>
  <c r="W82"/>
  <c r="X87"/>
  <c r="V87"/>
  <c r="W87"/>
  <c r="X93"/>
  <c r="V93"/>
  <c r="W93"/>
  <c r="X97"/>
  <c r="V97"/>
  <c r="W97"/>
  <c r="X101"/>
  <c r="V101"/>
  <c r="W101"/>
  <c r="X105"/>
  <c r="V105"/>
  <c r="W105"/>
  <c r="X109"/>
  <c r="V109"/>
  <c r="W109"/>
  <c r="O115"/>
  <c r="O119"/>
  <c r="O125"/>
  <c r="O131"/>
  <c r="O135"/>
  <c r="O142"/>
  <c r="O146"/>
  <c r="O150"/>
  <c r="O155"/>
  <c r="O159"/>
  <c r="O163"/>
  <c r="O170"/>
  <c r="P70"/>
  <c r="Q70" s="1"/>
  <c r="P79"/>
  <c r="Q79" s="1"/>
  <c r="P68"/>
  <c r="Q68" s="1"/>
  <c r="P73"/>
  <c r="Q73" s="1"/>
  <c r="W170" i="1"/>
  <c r="V170"/>
  <c r="Y170" s="1"/>
  <c r="X170"/>
  <c r="Z170"/>
  <c r="W166"/>
  <c r="V166"/>
  <c r="Y166" s="1"/>
  <c r="X166"/>
  <c r="Z166"/>
  <c r="W163"/>
  <c r="V163"/>
  <c r="Y163" s="1"/>
  <c r="X163"/>
  <c r="Z163"/>
  <c r="W161"/>
  <c r="V161"/>
  <c r="Y161" s="1"/>
  <c r="X161"/>
  <c r="Z161"/>
  <c r="W157"/>
  <c r="V157"/>
  <c r="Y157" s="1"/>
  <c r="X157"/>
  <c r="Z157"/>
  <c r="W155"/>
  <c r="V155"/>
  <c r="Y155" s="1"/>
  <c r="X155"/>
  <c r="Z155"/>
  <c r="W152"/>
  <c r="V152"/>
  <c r="Y152" s="1"/>
  <c r="X152"/>
  <c r="Z152"/>
  <c r="W148"/>
  <c r="V148"/>
  <c r="Y148" s="1"/>
  <c r="X148"/>
  <c r="Z148"/>
  <c r="W146"/>
  <c r="V146"/>
  <c r="Y146" s="1"/>
  <c r="X146"/>
  <c r="Z146"/>
  <c r="W144"/>
  <c r="V144"/>
  <c r="Y144" s="1"/>
  <c r="X144"/>
  <c r="Z144"/>
  <c r="W137"/>
  <c r="V137"/>
  <c r="Y137" s="1"/>
  <c r="X137"/>
  <c r="Z137"/>
  <c r="W135"/>
  <c r="V135"/>
  <c r="Y135" s="1"/>
  <c r="X135"/>
  <c r="Z135"/>
  <c r="W133"/>
  <c r="V133"/>
  <c r="Y133" s="1"/>
  <c r="X133"/>
  <c r="Z133"/>
  <c r="W127"/>
  <c r="V127"/>
  <c r="Y127" s="1"/>
  <c r="X127"/>
  <c r="Z127"/>
  <c r="W125"/>
  <c r="V125"/>
  <c r="Y125" s="1"/>
  <c r="X125"/>
  <c r="Z125"/>
  <c r="W123"/>
  <c r="V123"/>
  <c r="Y123" s="1"/>
  <c r="X123"/>
  <c r="Z123"/>
  <c r="W117"/>
  <c r="V117"/>
  <c r="Y117" s="1"/>
  <c r="X117"/>
  <c r="Z117"/>
  <c r="W115"/>
  <c r="V115"/>
  <c r="Y115" s="1"/>
  <c r="X115"/>
  <c r="Z115"/>
  <c r="W113"/>
  <c r="V113"/>
  <c r="Y113" s="1"/>
  <c r="X113"/>
  <c r="Z113"/>
  <c r="V49"/>
  <c r="X49"/>
  <c r="W49"/>
  <c r="V46"/>
  <c r="X46"/>
  <c r="W46"/>
  <c r="V40"/>
  <c r="X40"/>
  <c r="W40"/>
  <c r="V38"/>
  <c r="X38"/>
  <c r="W38"/>
  <c r="V36"/>
  <c r="X36"/>
  <c r="W36"/>
  <c r="V32"/>
  <c r="X32"/>
  <c r="W32"/>
  <c r="V28"/>
  <c r="X28"/>
  <c r="W28"/>
  <c r="V26"/>
  <c r="X26"/>
  <c r="W26"/>
  <c r="V22"/>
  <c r="X22"/>
  <c r="W22"/>
  <c r="V20"/>
  <c r="X20"/>
  <c r="W20"/>
  <c r="V18"/>
  <c r="X18"/>
  <c r="W18"/>
  <c r="V12"/>
  <c r="X12"/>
  <c r="W12"/>
  <c r="V7"/>
  <c r="X7"/>
  <c r="W7"/>
  <c r="W167"/>
  <c r="V167"/>
  <c r="X167"/>
  <c r="W162"/>
  <c r="V162"/>
  <c r="Y162" s="1"/>
  <c r="X162"/>
  <c r="Z162"/>
  <c r="W158"/>
  <c r="V158"/>
  <c r="Y158" s="1"/>
  <c r="X158"/>
  <c r="Z158"/>
  <c r="W154"/>
  <c r="V154"/>
  <c r="Y154" s="1"/>
  <c r="X154"/>
  <c r="Z154"/>
  <c r="W149"/>
  <c r="V149"/>
  <c r="Y149" s="1"/>
  <c r="X149"/>
  <c r="Z149"/>
  <c r="W145"/>
  <c r="V145"/>
  <c r="Y145" s="1"/>
  <c r="X145"/>
  <c r="Z145"/>
  <c r="W138"/>
  <c r="V138"/>
  <c r="Y138" s="1"/>
  <c r="X138"/>
  <c r="Z138"/>
  <c r="W134"/>
  <c r="V134"/>
  <c r="Y134" s="1"/>
  <c r="X134"/>
  <c r="Z134"/>
  <c r="W130"/>
  <c r="V130"/>
  <c r="Y130" s="1"/>
  <c r="X130"/>
  <c r="Z130"/>
  <c r="W124"/>
  <c r="V124"/>
  <c r="Y124" s="1"/>
  <c r="X124"/>
  <c r="Z124"/>
  <c r="W118"/>
  <c r="V118"/>
  <c r="Y118" s="1"/>
  <c r="X118"/>
  <c r="Z118"/>
  <c r="W114"/>
  <c r="V114"/>
  <c r="Y114" s="1"/>
  <c r="X114"/>
  <c r="Z114"/>
  <c r="V41"/>
  <c r="X41"/>
  <c r="W41"/>
  <c r="V33"/>
  <c r="X33"/>
  <c r="W33"/>
  <c r="V23"/>
  <c r="X23"/>
  <c r="W23"/>
  <c r="V15"/>
  <c r="X15"/>
  <c r="W15"/>
  <c r="V50"/>
  <c r="Y50" s="1"/>
  <c r="X50"/>
  <c r="Z50"/>
  <c r="W50"/>
  <c r="W165"/>
  <c r="V165"/>
  <c r="X165"/>
  <c r="W156"/>
  <c r="V156"/>
  <c r="X156"/>
  <c r="W147"/>
  <c r="V147"/>
  <c r="X147"/>
  <c r="W136"/>
  <c r="V136"/>
  <c r="X136"/>
  <c r="W126"/>
  <c r="V126"/>
  <c r="X126"/>
  <c r="W116"/>
  <c r="V116"/>
  <c r="X116"/>
  <c r="O107"/>
  <c r="P107" s="1"/>
  <c r="V9"/>
  <c r="X9"/>
  <c r="W9"/>
  <c r="V104"/>
  <c r="Y104" s="1"/>
  <c r="X104"/>
  <c r="Z104"/>
  <c r="W104"/>
  <c r="V102"/>
  <c r="Y102" s="1"/>
  <c r="X102"/>
  <c r="Z102"/>
  <c r="W102"/>
  <c r="V100"/>
  <c r="Y100" s="1"/>
  <c r="X100"/>
  <c r="Z100"/>
  <c r="W100"/>
  <c r="V98"/>
  <c r="Y98" s="1"/>
  <c r="X98"/>
  <c r="Z98"/>
  <c r="W98"/>
  <c r="V96"/>
  <c r="Y96" s="1"/>
  <c r="X96"/>
  <c r="Z96"/>
  <c r="W96"/>
  <c r="V94"/>
  <c r="Y94" s="1"/>
  <c r="X94"/>
  <c r="Z94"/>
  <c r="W94"/>
  <c r="V92"/>
  <c r="Y92" s="1"/>
  <c r="X92"/>
  <c r="Z92"/>
  <c r="W92"/>
  <c r="V88"/>
  <c r="Y88" s="1"/>
  <c r="X88"/>
  <c r="Z88"/>
  <c r="W88"/>
  <c r="V86"/>
  <c r="Y86" s="1"/>
  <c r="X86"/>
  <c r="Z86"/>
  <c r="W86"/>
  <c r="V84"/>
  <c r="Y84" s="1"/>
  <c r="X84"/>
  <c r="Z84"/>
  <c r="W84"/>
  <c r="V81"/>
  <c r="Y81" s="1"/>
  <c r="X81"/>
  <c r="Z81"/>
  <c r="W81"/>
  <c r="V79"/>
  <c r="Y79" s="1"/>
  <c r="X79"/>
  <c r="Z79"/>
  <c r="W79"/>
  <c r="V77"/>
  <c r="Y77" s="1"/>
  <c r="X77"/>
  <c r="Z77"/>
  <c r="W77"/>
  <c r="V75"/>
  <c r="Y75" s="1"/>
  <c r="X75"/>
  <c r="Z75"/>
  <c r="W75"/>
  <c r="V73"/>
  <c r="Y73" s="1"/>
  <c r="X73"/>
  <c r="Z73"/>
  <c r="W73"/>
  <c r="V70"/>
  <c r="Y70" s="1"/>
  <c r="X70"/>
  <c r="Z70"/>
  <c r="W70"/>
  <c r="V68"/>
  <c r="Y68" s="1"/>
  <c r="X68"/>
  <c r="Z68"/>
  <c r="W68"/>
  <c r="V66"/>
  <c r="Y66" s="1"/>
  <c r="X66"/>
  <c r="Z66"/>
  <c r="W66"/>
  <c r="V64"/>
  <c r="Y64" s="1"/>
  <c r="X64"/>
  <c r="Z64"/>
  <c r="W64"/>
  <c r="V62"/>
  <c r="Y62" s="1"/>
  <c r="X62"/>
  <c r="Z62"/>
  <c r="W62"/>
  <c r="V45"/>
  <c r="Y45" s="1"/>
  <c r="X45"/>
  <c r="Z45"/>
  <c r="W45"/>
  <c r="V35"/>
  <c r="Y35" s="1"/>
  <c r="X35"/>
  <c r="Z35"/>
  <c r="W35"/>
  <c r="V25"/>
  <c r="Y25" s="1"/>
  <c r="Z25" s="1"/>
  <c r="X25"/>
  <c r="W25"/>
  <c r="V17"/>
  <c r="Y17" s="1"/>
  <c r="X17"/>
  <c r="Z17"/>
  <c r="W17"/>
  <c r="N56"/>
  <c r="N52"/>
  <c r="O110"/>
  <c r="P110" s="1"/>
  <c r="W169"/>
  <c r="V169"/>
  <c r="X169"/>
  <c r="W160"/>
  <c r="V160"/>
  <c r="X160"/>
  <c r="W151"/>
  <c r="V151"/>
  <c r="X151"/>
  <c r="W143"/>
  <c r="V143"/>
  <c r="X143"/>
  <c r="W132"/>
  <c r="V132"/>
  <c r="X132"/>
  <c r="W120"/>
  <c r="V120"/>
  <c r="X120"/>
  <c r="O111"/>
  <c r="P111" s="1"/>
  <c r="W168"/>
  <c r="V168"/>
  <c r="X168"/>
  <c r="W159"/>
  <c r="V159"/>
  <c r="X159"/>
  <c r="W150"/>
  <c r="V150"/>
  <c r="X150"/>
  <c r="W142"/>
  <c r="V142"/>
  <c r="X142"/>
  <c r="W131"/>
  <c r="V131"/>
  <c r="X131"/>
  <c r="W119"/>
  <c r="V119"/>
  <c r="X119"/>
  <c r="V44"/>
  <c r="Y44" s="1"/>
  <c r="X44"/>
  <c r="Z44"/>
  <c r="W44"/>
  <c r="V34"/>
  <c r="Y34" s="1"/>
  <c r="X34"/>
  <c r="Z34"/>
  <c r="W34"/>
  <c r="V24"/>
  <c r="Y24" s="1"/>
  <c r="X24"/>
  <c r="Z24"/>
  <c r="W24"/>
  <c r="V16"/>
  <c r="Y16" s="1"/>
  <c r="X16"/>
  <c r="Z16"/>
  <c r="W16"/>
  <c r="V105"/>
  <c r="Y105" s="1"/>
  <c r="X105"/>
  <c r="Z105"/>
  <c r="W105"/>
  <c r="V103"/>
  <c r="Y103" s="1"/>
  <c r="X103"/>
  <c r="Z103"/>
  <c r="W103"/>
  <c r="V101"/>
  <c r="Y101" s="1"/>
  <c r="X101"/>
  <c r="Z101"/>
  <c r="W101"/>
  <c r="V99"/>
  <c r="Y99" s="1"/>
  <c r="X99"/>
  <c r="Z99"/>
  <c r="W99"/>
  <c r="V97"/>
  <c r="Y97" s="1"/>
  <c r="X97"/>
  <c r="Z97"/>
  <c r="W97"/>
  <c r="V95"/>
  <c r="Y95" s="1"/>
  <c r="X95"/>
  <c r="Z95"/>
  <c r="W95"/>
  <c r="V93"/>
  <c r="Y93" s="1"/>
  <c r="X93"/>
  <c r="Z93"/>
  <c r="W93"/>
  <c r="V89"/>
  <c r="Y89" s="1"/>
  <c r="X89"/>
  <c r="Z89"/>
  <c r="W89"/>
  <c r="V87"/>
  <c r="Y87" s="1"/>
  <c r="X87"/>
  <c r="Z87"/>
  <c r="W87"/>
  <c r="V85"/>
  <c r="Y85" s="1"/>
  <c r="X85"/>
  <c r="Z85"/>
  <c r="W85"/>
  <c r="V82"/>
  <c r="Y82" s="1"/>
  <c r="X82"/>
  <c r="Z82"/>
  <c r="W82"/>
  <c r="V80"/>
  <c r="Y80" s="1"/>
  <c r="X80"/>
  <c r="Z80"/>
  <c r="W80"/>
  <c r="V78"/>
  <c r="Y78" s="1"/>
  <c r="X78"/>
  <c r="Z78"/>
  <c r="W78"/>
  <c r="V76"/>
  <c r="Y76" s="1"/>
  <c r="X76"/>
  <c r="Z76"/>
  <c r="W76"/>
  <c r="V74"/>
  <c r="Y74" s="1"/>
  <c r="X74"/>
  <c r="Z74"/>
  <c r="W74"/>
  <c r="V71"/>
  <c r="Y71" s="1"/>
  <c r="X71"/>
  <c r="Z71"/>
  <c r="W71"/>
  <c r="V69"/>
  <c r="Y69" s="1"/>
  <c r="X69"/>
  <c r="Z69"/>
  <c r="W69"/>
  <c r="V67"/>
  <c r="Y67" s="1"/>
  <c r="X67"/>
  <c r="Z67"/>
  <c r="W67"/>
  <c r="V65"/>
  <c r="Y65" s="1"/>
  <c r="X65"/>
  <c r="Z65"/>
  <c r="W65"/>
  <c r="V63"/>
  <c r="Y63" s="1"/>
  <c r="X63"/>
  <c r="Z63"/>
  <c r="W63"/>
  <c r="V61"/>
  <c r="Y61" s="1"/>
  <c r="X61"/>
  <c r="Z61"/>
  <c r="W61"/>
  <c r="V39"/>
  <c r="Y39" s="1"/>
  <c r="X39"/>
  <c r="Z39"/>
  <c r="W39"/>
  <c r="V31"/>
  <c r="Y31" s="1"/>
  <c r="X31"/>
  <c r="Z31"/>
  <c r="W31"/>
  <c r="V21"/>
  <c r="Y21" s="1"/>
  <c r="X21"/>
  <c r="Z21"/>
  <c r="W21"/>
  <c r="V11"/>
  <c r="Y11" s="1"/>
  <c r="X11"/>
  <c r="W11"/>
  <c r="O112"/>
  <c r="P112" s="1"/>
  <c r="O108"/>
  <c r="P108" s="1"/>
  <c r="N54"/>
  <c r="O54" s="1"/>
  <c r="V47"/>
  <c r="Y47" s="1"/>
  <c r="X47"/>
  <c r="Z47"/>
  <c r="W47"/>
  <c r="V37"/>
  <c r="Y37" s="1"/>
  <c r="X37"/>
  <c r="Z37"/>
  <c r="W37"/>
  <c r="V27"/>
  <c r="Y27" s="1"/>
  <c r="X27"/>
  <c r="Z27"/>
  <c r="W27"/>
  <c r="V19"/>
  <c r="Y19" s="1"/>
  <c r="X19"/>
  <c r="Z19"/>
  <c r="W19"/>
  <c r="V8"/>
  <c r="Y8" s="1"/>
  <c r="X8"/>
  <c r="Z8"/>
  <c r="W8"/>
  <c r="P57"/>
  <c r="Q57" s="1"/>
  <c r="P53"/>
  <c r="Q53" s="1"/>
  <c r="O106"/>
  <c r="P106" s="1"/>
  <c r="O109"/>
  <c r="P109" s="1"/>
  <c r="N55"/>
  <c r="N51"/>
  <c r="W160" i="3" l="1"/>
  <c r="X160"/>
  <c r="V160"/>
  <c r="W151"/>
  <c r="X151"/>
  <c r="V151"/>
  <c r="Y151" s="1"/>
  <c r="W136"/>
  <c r="X136"/>
  <c r="V136"/>
  <c r="Y136" s="1"/>
  <c r="W120"/>
  <c r="X120"/>
  <c r="V120"/>
  <c r="Y120" s="1"/>
  <c r="W170"/>
  <c r="X170"/>
  <c r="V170"/>
  <c r="Y170" s="1"/>
  <c r="W161"/>
  <c r="X161"/>
  <c r="V161"/>
  <c r="Y161" s="1"/>
  <c r="W152"/>
  <c r="X152"/>
  <c r="V152"/>
  <c r="Y152" s="1"/>
  <c r="W144"/>
  <c r="X144"/>
  <c r="V144"/>
  <c r="Y144" s="1"/>
  <c r="W133"/>
  <c r="X133"/>
  <c r="V133"/>
  <c r="Y133" s="1"/>
  <c r="W123"/>
  <c r="X123"/>
  <c r="V123"/>
  <c r="Y123" s="1"/>
  <c r="W169"/>
  <c r="X169"/>
  <c r="V169"/>
  <c r="Y169" s="1"/>
  <c r="W156"/>
  <c r="X156"/>
  <c r="V156"/>
  <c r="Y156" s="1"/>
  <c r="W143"/>
  <c r="X143"/>
  <c r="V143"/>
  <c r="Y143" s="1"/>
  <c r="W132"/>
  <c r="X132"/>
  <c r="V132"/>
  <c r="Y132" s="1"/>
  <c r="W166"/>
  <c r="X166"/>
  <c r="V166"/>
  <c r="Y166" s="1"/>
  <c r="W157"/>
  <c r="X157"/>
  <c r="V157"/>
  <c r="Y157" s="1"/>
  <c r="W148"/>
  <c r="X148"/>
  <c r="V148"/>
  <c r="Y148" s="1"/>
  <c r="W137"/>
  <c r="X137"/>
  <c r="V137"/>
  <c r="Y137" s="1"/>
  <c r="W127"/>
  <c r="X127"/>
  <c r="V127"/>
  <c r="Y127" s="1"/>
  <c r="W165"/>
  <c r="X165"/>
  <c r="V165"/>
  <c r="Y165" s="1"/>
  <c r="W147"/>
  <c r="X147"/>
  <c r="V147"/>
  <c r="Y147" s="1"/>
  <c r="W126"/>
  <c r="X126"/>
  <c r="V126"/>
  <c r="Y126" s="1"/>
  <c r="W117"/>
  <c r="X117"/>
  <c r="V117"/>
  <c r="Y117" s="1"/>
  <c r="W109"/>
  <c r="X109"/>
  <c r="V109"/>
  <c r="Y109" s="1"/>
  <c r="W101"/>
  <c r="X101"/>
  <c r="V101"/>
  <c r="Y101" s="1"/>
  <c r="W93"/>
  <c r="X93"/>
  <c r="V93"/>
  <c r="Y93" s="1"/>
  <c r="W82"/>
  <c r="X82"/>
  <c r="V82"/>
  <c r="Y82" s="1"/>
  <c r="W74"/>
  <c r="X74"/>
  <c r="V74"/>
  <c r="Y74" s="1"/>
  <c r="W118"/>
  <c r="X118"/>
  <c r="V118"/>
  <c r="Y118" s="1"/>
  <c r="W110"/>
  <c r="X110"/>
  <c r="V110"/>
  <c r="Y110" s="1"/>
  <c r="W102"/>
  <c r="X102"/>
  <c r="V102"/>
  <c r="Y102" s="1"/>
  <c r="W94"/>
  <c r="X94"/>
  <c r="V94"/>
  <c r="Y94" s="1"/>
  <c r="W84"/>
  <c r="X84"/>
  <c r="V84"/>
  <c r="Y84" s="1"/>
  <c r="W75"/>
  <c r="X75"/>
  <c r="V75"/>
  <c r="Y75" s="1"/>
  <c r="W168"/>
  <c r="X168"/>
  <c r="V168"/>
  <c r="Y168" s="1"/>
  <c r="W159"/>
  <c r="X159"/>
  <c r="V159"/>
  <c r="Y159" s="1"/>
  <c r="W150"/>
  <c r="X150"/>
  <c r="V150"/>
  <c r="Y150" s="1"/>
  <c r="W142"/>
  <c r="X142"/>
  <c r="V142"/>
  <c r="Y142" s="1"/>
  <c r="W131"/>
  <c r="X131"/>
  <c r="V131"/>
  <c r="Y131" s="1"/>
  <c r="W119"/>
  <c r="X119"/>
  <c r="V119"/>
  <c r="Y119" s="1"/>
  <c r="W111"/>
  <c r="X111"/>
  <c r="V111"/>
  <c r="Y111" s="1"/>
  <c r="W103"/>
  <c r="X103"/>
  <c r="V103"/>
  <c r="Y103" s="1"/>
  <c r="W95"/>
  <c r="X95"/>
  <c r="V95"/>
  <c r="Y95" s="1"/>
  <c r="W85"/>
  <c r="X85"/>
  <c r="V85"/>
  <c r="Y85" s="1"/>
  <c r="W76"/>
  <c r="X76"/>
  <c r="V76"/>
  <c r="Y76" s="1"/>
  <c r="W112"/>
  <c r="X112"/>
  <c r="V112"/>
  <c r="Y112" s="1"/>
  <c r="W104"/>
  <c r="X104"/>
  <c r="V104"/>
  <c r="Y104" s="1"/>
  <c r="W96"/>
  <c r="X96"/>
  <c r="V96"/>
  <c r="Y96" s="1"/>
  <c r="W86"/>
  <c r="X86"/>
  <c r="V86"/>
  <c r="Y86" s="1"/>
  <c r="W77"/>
  <c r="X77"/>
  <c r="V77"/>
  <c r="Y77" s="1"/>
  <c r="Q171"/>
  <c r="X7"/>
  <c r="V7"/>
  <c r="W7"/>
  <c r="Z66"/>
  <c r="Z62"/>
  <c r="Z55"/>
  <c r="Z51"/>
  <c r="Z46"/>
  <c r="Z40"/>
  <c r="Z36"/>
  <c r="Z32"/>
  <c r="Z26"/>
  <c r="Z22"/>
  <c r="Z18"/>
  <c r="Z12"/>
  <c r="Z65"/>
  <c r="Z61"/>
  <c r="Z54"/>
  <c r="Z50"/>
  <c r="Z45"/>
  <c r="Z39"/>
  <c r="Z35"/>
  <c r="Z31"/>
  <c r="Z25"/>
  <c r="Z21"/>
  <c r="Z17"/>
  <c r="Z11"/>
  <c r="Z64"/>
  <c r="Z57"/>
  <c r="Z53"/>
  <c r="Z49"/>
  <c r="Z44"/>
  <c r="Z38"/>
  <c r="Z34"/>
  <c r="Z28"/>
  <c r="Z24"/>
  <c r="Z20"/>
  <c r="Z16"/>
  <c r="Z9"/>
  <c r="Z67"/>
  <c r="Z63"/>
  <c r="Z56"/>
  <c r="Z52"/>
  <c r="Z47"/>
  <c r="Z41"/>
  <c r="Z37"/>
  <c r="Z33"/>
  <c r="Z27"/>
  <c r="Z23"/>
  <c r="Z19"/>
  <c r="Z15"/>
  <c r="Z8"/>
  <c r="W113"/>
  <c r="X113"/>
  <c r="V113"/>
  <c r="Y113" s="1"/>
  <c r="W105"/>
  <c r="X105"/>
  <c r="V105"/>
  <c r="Y105" s="1"/>
  <c r="W97"/>
  <c r="X97"/>
  <c r="V97"/>
  <c r="Y97" s="1"/>
  <c r="W87"/>
  <c r="X87"/>
  <c r="V87"/>
  <c r="Y87" s="1"/>
  <c r="W78"/>
  <c r="X78"/>
  <c r="V78"/>
  <c r="Y78" s="1"/>
  <c r="W69"/>
  <c r="X69"/>
  <c r="V69"/>
  <c r="Y69" s="1"/>
  <c r="W114"/>
  <c r="X114"/>
  <c r="V114"/>
  <c r="Y114" s="1"/>
  <c r="W106"/>
  <c r="X106"/>
  <c r="V106"/>
  <c r="Y106" s="1"/>
  <c r="W98"/>
  <c r="X98"/>
  <c r="V98"/>
  <c r="Y98" s="1"/>
  <c r="W88"/>
  <c r="X88"/>
  <c r="V88"/>
  <c r="Y88" s="1"/>
  <c r="W79"/>
  <c r="X79"/>
  <c r="V79"/>
  <c r="Y79" s="1"/>
  <c r="W70"/>
  <c r="X70"/>
  <c r="V70"/>
  <c r="Y70" s="1"/>
  <c r="W163"/>
  <c r="X163"/>
  <c r="V163"/>
  <c r="Y163" s="1"/>
  <c r="W155"/>
  <c r="X155"/>
  <c r="V155"/>
  <c r="Y155" s="1"/>
  <c r="W146"/>
  <c r="X146"/>
  <c r="V146"/>
  <c r="Y146" s="1"/>
  <c r="W135"/>
  <c r="X135"/>
  <c r="V135"/>
  <c r="Y135" s="1"/>
  <c r="W125"/>
  <c r="X125"/>
  <c r="V125"/>
  <c r="Y125" s="1"/>
  <c r="W115"/>
  <c r="X115"/>
  <c r="V115"/>
  <c r="Y115" s="1"/>
  <c r="W107"/>
  <c r="X107"/>
  <c r="V107"/>
  <c r="Y107" s="1"/>
  <c r="W99"/>
  <c r="X99"/>
  <c r="V99"/>
  <c r="Y99" s="1"/>
  <c r="W89"/>
  <c r="X89"/>
  <c r="V89"/>
  <c r="Y89" s="1"/>
  <c r="W80"/>
  <c r="X80"/>
  <c r="V80"/>
  <c r="Y80" s="1"/>
  <c r="W71"/>
  <c r="X71"/>
  <c r="V71"/>
  <c r="Y71" s="1"/>
  <c r="W116"/>
  <c r="X116"/>
  <c r="V116"/>
  <c r="Y116" s="1"/>
  <c r="W108"/>
  <c r="X108"/>
  <c r="V108"/>
  <c r="Y108" s="1"/>
  <c r="W100"/>
  <c r="X100"/>
  <c r="V100"/>
  <c r="Y100" s="1"/>
  <c r="W92"/>
  <c r="X92"/>
  <c r="V92"/>
  <c r="Y92" s="1"/>
  <c r="W81"/>
  <c r="X81"/>
  <c r="V81"/>
  <c r="Y81" s="1"/>
  <c r="W73"/>
  <c r="X73"/>
  <c r="V73"/>
  <c r="Y73" s="1"/>
  <c r="Y162"/>
  <c r="Z162"/>
  <c r="Y154"/>
  <c r="Z154"/>
  <c r="Y145"/>
  <c r="Z145"/>
  <c r="Y134"/>
  <c r="Z134"/>
  <c r="Y124"/>
  <c r="Z124"/>
  <c r="Y167"/>
  <c r="Z167"/>
  <c r="Y158"/>
  <c r="Z158"/>
  <c r="Y149"/>
  <c r="Z149"/>
  <c r="Y138"/>
  <c r="Z138"/>
  <c r="Y130"/>
  <c r="Z130"/>
  <c r="Y68"/>
  <c r="Z68" s="1"/>
  <c r="Y98" i="2"/>
  <c r="Y63"/>
  <c r="Y47"/>
  <c r="Y25"/>
  <c r="Y23"/>
  <c r="W161"/>
  <c r="X161"/>
  <c r="V161"/>
  <c r="Y161" s="1"/>
  <c r="W152"/>
  <c r="X152"/>
  <c r="V152"/>
  <c r="Y152" s="1"/>
  <c r="W144"/>
  <c r="X144"/>
  <c r="V144"/>
  <c r="Y144" s="1"/>
  <c r="W133"/>
  <c r="X133"/>
  <c r="V133"/>
  <c r="Y133" s="1"/>
  <c r="W123"/>
  <c r="X123"/>
  <c r="V123"/>
  <c r="Y123" s="1"/>
  <c r="W113"/>
  <c r="X113"/>
  <c r="V113"/>
  <c r="Y113" s="1"/>
  <c r="W168"/>
  <c r="X168"/>
  <c r="V168"/>
  <c r="Y168" s="1"/>
  <c r="W166"/>
  <c r="X166"/>
  <c r="V166"/>
  <c r="Y166" s="1"/>
  <c r="W157"/>
  <c r="X157"/>
  <c r="V157"/>
  <c r="Y157" s="1"/>
  <c r="W148"/>
  <c r="X148"/>
  <c r="V148"/>
  <c r="Y148" s="1"/>
  <c r="W137"/>
  <c r="X137"/>
  <c r="V137"/>
  <c r="Y137" s="1"/>
  <c r="W127"/>
  <c r="X127"/>
  <c r="V127"/>
  <c r="Y127" s="1"/>
  <c r="W117"/>
  <c r="X117"/>
  <c r="V117"/>
  <c r="Y117" s="1"/>
  <c r="W73"/>
  <c r="X73"/>
  <c r="V73"/>
  <c r="Y73" s="1"/>
  <c r="X79"/>
  <c r="W79"/>
  <c r="V79"/>
  <c r="Y79" s="1"/>
  <c r="W75"/>
  <c r="X75"/>
  <c r="V75"/>
  <c r="Y75" s="1"/>
  <c r="Y7"/>
  <c r="Q159"/>
  <c r="Q142"/>
  <c r="Q119"/>
  <c r="Z107"/>
  <c r="Z103"/>
  <c r="Z99"/>
  <c r="Z95"/>
  <c r="Z89"/>
  <c r="Z85"/>
  <c r="Z80"/>
  <c r="Z7"/>
  <c r="P159"/>
  <c r="P150"/>
  <c r="Q150" s="1"/>
  <c r="P142"/>
  <c r="P131"/>
  <c r="Q131" s="1"/>
  <c r="P119"/>
  <c r="Z110"/>
  <c r="Z106"/>
  <c r="Z102"/>
  <c r="Z98"/>
  <c r="Z94"/>
  <c r="Z88"/>
  <c r="Z84"/>
  <c r="Z65"/>
  <c r="Z63"/>
  <c r="Z61"/>
  <c r="Z56"/>
  <c r="Z54"/>
  <c r="Z52"/>
  <c r="Z50"/>
  <c r="Z47"/>
  <c r="Z45"/>
  <c r="Z41"/>
  <c r="Z39"/>
  <c r="Z37"/>
  <c r="Z35"/>
  <c r="Z33"/>
  <c r="Z31"/>
  <c r="Z27"/>
  <c r="Z25"/>
  <c r="Z23"/>
  <c r="Y21"/>
  <c r="Z21"/>
  <c r="Y19"/>
  <c r="Z19"/>
  <c r="Y17"/>
  <c r="Z17"/>
  <c r="Y15"/>
  <c r="Z15"/>
  <c r="Y11"/>
  <c r="Z11"/>
  <c r="Y8"/>
  <c r="Z8"/>
  <c r="Y40"/>
  <c r="Z40"/>
  <c r="Y34"/>
  <c r="Z34"/>
  <c r="Y28"/>
  <c r="Z28"/>
  <c r="Y24"/>
  <c r="Z24"/>
  <c r="Y20"/>
  <c r="Z20"/>
  <c r="Y16"/>
  <c r="Z16"/>
  <c r="Y9"/>
  <c r="Z9"/>
  <c r="Z111"/>
  <c r="Y108"/>
  <c r="Z108" s="1"/>
  <c r="Y104"/>
  <c r="Z104" s="1"/>
  <c r="Y100"/>
  <c r="Z100" s="1"/>
  <c r="Y96"/>
  <c r="Z96" s="1"/>
  <c r="Y92"/>
  <c r="Z92" s="1"/>
  <c r="Y86"/>
  <c r="Z86" s="1"/>
  <c r="Y81"/>
  <c r="Z81" s="1"/>
  <c r="Y66"/>
  <c r="Z66" s="1"/>
  <c r="Y64"/>
  <c r="Z64" s="1"/>
  <c r="Y62"/>
  <c r="Z62" s="1"/>
  <c r="Y57"/>
  <c r="Z57" s="1"/>
  <c r="Y55"/>
  <c r="Z55" s="1"/>
  <c r="Y53"/>
  <c r="Z53" s="1"/>
  <c r="Y51"/>
  <c r="Z51" s="1"/>
  <c r="Y49"/>
  <c r="Z49" s="1"/>
  <c r="Y46"/>
  <c r="Z46" s="1"/>
  <c r="Y44"/>
  <c r="Z44" s="1"/>
  <c r="Y38"/>
  <c r="Z38" s="1"/>
  <c r="Y36"/>
  <c r="Z36" s="1"/>
  <c r="Y32"/>
  <c r="Z32" s="1"/>
  <c r="Y26"/>
  <c r="Z26" s="1"/>
  <c r="Y22"/>
  <c r="Z22" s="1"/>
  <c r="Y18"/>
  <c r="Z18" s="1"/>
  <c r="Y12"/>
  <c r="Z12" s="1"/>
  <c r="W68"/>
  <c r="X68"/>
  <c r="V68"/>
  <c r="W70"/>
  <c r="X70"/>
  <c r="V70"/>
  <c r="W77"/>
  <c r="X77"/>
  <c r="V77"/>
  <c r="Y109"/>
  <c r="Z109" s="1"/>
  <c r="Y105"/>
  <c r="Z105" s="1"/>
  <c r="Y101"/>
  <c r="Z101" s="1"/>
  <c r="Y97"/>
  <c r="Z97" s="1"/>
  <c r="Y93"/>
  <c r="Z93" s="1"/>
  <c r="Y87"/>
  <c r="Z87" s="1"/>
  <c r="Y82"/>
  <c r="Z82" s="1"/>
  <c r="P163"/>
  <c r="Q163" s="1"/>
  <c r="P155"/>
  <c r="Q155" s="1"/>
  <c r="P146"/>
  <c r="Q146" s="1"/>
  <c r="P135"/>
  <c r="Q135" s="1"/>
  <c r="P125"/>
  <c r="Q125" s="1"/>
  <c r="P115"/>
  <c r="Q115" s="1"/>
  <c r="Y167"/>
  <c r="Z167" s="1"/>
  <c r="Y162"/>
  <c r="Z162" s="1"/>
  <c r="Y158"/>
  <c r="Z158" s="1"/>
  <c r="Y154"/>
  <c r="Z154" s="1"/>
  <c r="Y149"/>
  <c r="Z149" s="1"/>
  <c r="Y145"/>
  <c r="Z145" s="1"/>
  <c r="Y138"/>
  <c r="Z138" s="1"/>
  <c r="Y134"/>
  <c r="Z134" s="1"/>
  <c r="Y130"/>
  <c r="Z130" s="1"/>
  <c r="Y124"/>
  <c r="Z124" s="1"/>
  <c r="Y118"/>
  <c r="Z118" s="1"/>
  <c r="Y114"/>
  <c r="Z114" s="1"/>
  <c r="Z67"/>
  <c r="P170"/>
  <c r="Q170" s="1"/>
  <c r="Z169"/>
  <c r="Z165"/>
  <c r="Z160"/>
  <c r="Z156"/>
  <c r="Z151"/>
  <c r="Z147"/>
  <c r="Z143"/>
  <c r="Z136"/>
  <c r="Z132"/>
  <c r="Z126"/>
  <c r="Z120"/>
  <c r="Z116"/>
  <c r="Y167" i="1"/>
  <c r="Z167" s="1"/>
  <c r="Z11"/>
  <c r="Y9"/>
  <c r="Z9" s="1"/>
  <c r="V53"/>
  <c r="X53"/>
  <c r="W53"/>
  <c r="Z18"/>
  <c r="Z28"/>
  <c r="Z40"/>
  <c r="V57"/>
  <c r="Y57" s="1"/>
  <c r="X57"/>
  <c r="Z57"/>
  <c r="W57"/>
  <c r="Z119"/>
  <c r="Z159"/>
  <c r="Z151"/>
  <c r="P52"/>
  <c r="Z147"/>
  <c r="O51"/>
  <c r="Y7"/>
  <c r="Z7" s="1"/>
  <c r="P54"/>
  <c r="Q108"/>
  <c r="Q112"/>
  <c r="Y119"/>
  <c r="Y131"/>
  <c r="Z131" s="1"/>
  <c r="Y142"/>
  <c r="Z142" s="1"/>
  <c r="Y150"/>
  <c r="Z150" s="1"/>
  <c r="Y159"/>
  <c r="Y168"/>
  <c r="Z168" s="1"/>
  <c r="Q111"/>
  <c r="Y120"/>
  <c r="Z120" s="1"/>
  <c r="Y132"/>
  <c r="Z132" s="1"/>
  <c r="Y143"/>
  <c r="Z143" s="1"/>
  <c r="Y151"/>
  <c r="Y160"/>
  <c r="Z160" s="1"/>
  <c r="Y169"/>
  <c r="Z169" s="1"/>
  <c r="Q110"/>
  <c r="Q107"/>
  <c r="Y116"/>
  <c r="Z116" s="1"/>
  <c r="Y126"/>
  <c r="Z126" s="1"/>
  <c r="Y136"/>
  <c r="Z136" s="1"/>
  <c r="Y147"/>
  <c r="Y156"/>
  <c r="Z156" s="1"/>
  <c r="Y165"/>
  <c r="Z165" s="1"/>
  <c r="Y15"/>
  <c r="Z15" s="1"/>
  <c r="Y23"/>
  <c r="Z23" s="1"/>
  <c r="Y33"/>
  <c r="Z33" s="1"/>
  <c r="Y41"/>
  <c r="Z41" s="1"/>
  <c r="Y12"/>
  <c r="Z12" s="1"/>
  <c r="Y18"/>
  <c r="Y20"/>
  <c r="Z20" s="1"/>
  <c r="Y22"/>
  <c r="Z22" s="1"/>
  <c r="Y26"/>
  <c r="Z26" s="1"/>
  <c r="Y28"/>
  <c r="Y32"/>
  <c r="Z32" s="1"/>
  <c r="Y36"/>
  <c r="Z36" s="1"/>
  <c r="Y38"/>
  <c r="Z38" s="1"/>
  <c r="Y40"/>
  <c r="Y46"/>
  <c r="Z46" s="1"/>
  <c r="Y49"/>
  <c r="Z49" s="1"/>
  <c r="Q55"/>
  <c r="O55"/>
  <c r="Q52"/>
  <c r="O52"/>
  <c r="O56"/>
  <c r="P56" s="1"/>
  <c r="Q56" s="1"/>
  <c r="P51"/>
  <c r="Q51" s="1"/>
  <c r="P55"/>
  <c r="Q106"/>
  <c r="Q109"/>
  <c r="Q54"/>
  <c r="Z92" i="3" l="1"/>
  <c r="Z108"/>
  <c r="Z116"/>
  <c r="X171"/>
  <c r="U173" s="1"/>
  <c r="Z119"/>
  <c r="Y7"/>
  <c r="Z73"/>
  <c r="Z81"/>
  <c r="Z100"/>
  <c r="Z71"/>
  <c r="Z80"/>
  <c r="Z89"/>
  <c r="Z99"/>
  <c r="Z107"/>
  <c r="Z115"/>
  <c r="Z125"/>
  <c r="Z135"/>
  <c r="Z146"/>
  <c r="Z155"/>
  <c r="Z163"/>
  <c r="Z70"/>
  <c r="Z79"/>
  <c r="Z88"/>
  <c r="Z98"/>
  <c r="Z106"/>
  <c r="Z114"/>
  <c r="Z69"/>
  <c r="Z78"/>
  <c r="Z87"/>
  <c r="Z97"/>
  <c r="Z105"/>
  <c r="Z113"/>
  <c r="Z7"/>
  <c r="Z77"/>
  <c r="Z86"/>
  <c r="Z96"/>
  <c r="Z104"/>
  <c r="Z112"/>
  <c r="Z76"/>
  <c r="Z85"/>
  <c r="Z95"/>
  <c r="Z103"/>
  <c r="Z111"/>
  <c r="Z131"/>
  <c r="Z142"/>
  <c r="Z150"/>
  <c r="Z159"/>
  <c r="Z168"/>
  <c r="Z75"/>
  <c r="Z84"/>
  <c r="Z94"/>
  <c r="Z102"/>
  <c r="Z110"/>
  <c r="Z118"/>
  <c r="Z74"/>
  <c r="Z82"/>
  <c r="Z93"/>
  <c r="Z101"/>
  <c r="Z109"/>
  <c r="Z117"/>
  <c r="Z126"/>
  <c r="Z147"/>
  <c r="Z165"/>
  <c r="Z127"/>
  <c r="Z137"/>
  <c r="Z148"/>
  <c r="Z157"/>
  <c r="Z166"/>
  <c r="Z132"/>
  <c r="Z143"/>
  <c r="Z156"/>
  <c r="Z169"/>
  <c r="Z123"/>
  <c r="Z133"/>
  <c r="Z144"/>
  <c r="Z152"/>
  <c r="Z161"/>
  <c r="Z170"/>
  <c r="Z120"/>
  <c r="Z136"/>
  <c r="Z151"/>
  <c r="Y160"/>
  <c r="U172" s="1"/>
  <c r="Z160"/>
  <c r="W146" i="2"/>
  <c r="X146"/>
  <c r="V146"/>
  <c r="Y146" s="1"/>
  <c r="W170"/>
  <c r="X170"/>
  <c r="V170"/>
  <c r="Y170" s="1"/>
  <c r="W115"/>
  <c r="X115"/>
  <c r="V115"/>
  <c r="Y115" s="1"/>
  <c r="Q171"/>
  <c r="W135"/>
  <c r="X135"/>
  <c r="V135"/>
  <c r="W155"/>
  <c r="X155"/>
  <c r="V155"/>
  <c r="W125"/>
  <c r="X125"/>
  <c r="V125"/>
  <c r="W163"/>
  <c r="X163"/>
  <c r="V163"/>
  <c r="W131"/>
  <c r="X131"/>
  <c r="V131"/>
  <c r="W150"/>
  <c r="X150"/>
  <c r="V150"/>
  <c r="Y77"/>
  <c r="Z77" s="1"/>
  <c r="Y70"/>
  <c r="Z70" s="1"/>
  <c r="Y68"/>
  <c r="Z68" s="1"/>
  <c r="Z75"/>
  <c r="Z79"/>
  <c r="Z73"/>
  <c r="Z113"/>
  <c r="W119"/>
  <c r="X119"/>
  <c r="V119"/>
  <c r="Y119" s="1"/>
  <c r="W142"/>
  <c r="X142"/>
  <c r="V142"/>
  <c r="Y142" s="1"/>
  <c r="W159"/>
  <c r="X159"/>
  <c r="V159"/>
  <c r="Y159" s="1"/>
  <c r="Z117"/>
  <c r="Z127"/>
  <c r="Z137"/>
  <c r="Z148"/>
  <c r="Z157"/>
  <c r="Z166"/>
  <c r="Z168"/>
  <c r="Z123"/>
  <c r="Z133"/>
  <c r="Z144"/>
  <c r="Z152"/>
  <c r="Z161"/>
  <c r="V56" i="1"/>
  <c r="X56"/>
  <c r="W56"/>
  <c r="V51"/>
  <c r="X51"/>
  <c r="W51"/>
  <c r="Q171"/>
  <c r="W109"/>
  <c r="X109"/>
  <c r="V109"/>
  <c r="Y109" s="1"/>
  <c r="W107"/>
  <c r="X107"/>
  <c r="V107"/>
  <c r="Y107" s="1"/>
  <c r="W111"/>
  <c r="X111"/>
  <c r="V111"/>
  <c r="Y111" s="1"/>
  <c r="W108"/>
  <c r="V108"/>
  <c r="X108"/>
  <c r="Y53"/>
  <c r="Z53" s="1"/>
  <c r="V54"/>
  <c r="X54"/>
  <c r="W54"/>
  <c r="W106"/>
  <c r="V106"/>
  <c r="Y106" s="1"/>
  <c r="X106"/>
  <c r="V52"/>
  <c r="X52"/>
  <c r="W52"/>
  <c r="V55"/>
  <c r="X55"/>
  <c r="W55"/>
  <c r="W110"/>
  <c r="V110"/>
  <c r="Y110" s="1"/>
  <c r="X110"/>
  <c r="W112"/>
  <c r="V112"/>
  <c r="Y112" s="1"/>
  <c r="X112"/>
  <c r="Z112"/>
  <c r="Z171" i="3" l="1"/>
  <c r="Z159" i="2"/>
  <c r="Z142"/>
  <c r="Z119"/>
  <c r="U172"/>
  <c r="Y150"/>
  <c r="Z150"/>
  <c r="Y131"/>
  <c r="Z131"/>
  <c r="Y163"/>
  <c r="Z163"/>
  <c r="Y125"/>
  <c r="Z125"/>
  <c r="Y155"/>
  <c r="Z155"/>
  <c r="Y135"/>
  <c r="Z135"/>
  <c r="X171"/>
  <c r="U173" s="1"/>
  <c r="Z115"/>
  <c r="Z170"/>
  <c r="Z146"/>
  <c r="Z56" i="1"/>
  <c r="Z110"/>
  <c r="Y55"/>
  <c r="Z55" s="1"/>
  <c r="Y52"/>
  <c r="Z52" s="1"/>
  <c r="Z106"/>
  <c r="Y54"/>
  <c r="Z54" s="1"/>
  <c r="Y108"/>
  <c r="Z108" s="1"/>
  <c r="Z111"/>
  <c r="Z107"/>
  <c r="Z109"/>
  <c r="X171"/>
  <c r="U173" s="1"/>
  <c r="Y56"/>
  <c r="Y51"/>
  <c r="Z51" s="1"/>
  <c r="Z171" i="2" l="1"/>
  <c r="Z171" i="1"/>
  <c r="U172"/>
</calcChain>
</file>

<file path=xl/sharedStrings.xml><?xml version="1.0" encoding="utf-8"?>
<sst xmlns="http://schemas.openxmlformats.org/spreadsheetml/2006/main" count="1041" uniqueCount="199">
  <si>
    <t>Total CPM &amp; Commissioning</t>
  </si>
  <si>
    <t>Total Pre-design, Design &amp; Fees on Design</t>
  </si>
  <si>
    <t xml:space="preserve">Total Project Cost </t>
  </si>
  <si>
    <t>LF</t>
  </si>
  <si>
    <t xml:space="preserve">Emergency repair of HDS pipe insulation including removal of existing ACM pipe insulation </t>
  </si>
  <si>
    <t>EA</t>
  </si>
  <si>
    <t xml:space="preserve">Water well station - Bldg ? </t>
  </si>
  <si>
    <t>Force main lift station - Bldg ?</t>
  </si>
  <si>
    <t>Fire hydrant - replacement including lateral piping, tracing and insulation</t>
  </si>
  <si>
    <t>Fire hydrant - new including manhole, lateral piping, tracing and insulation</t>
  </si>
  <si>
    <t xml:space="preserve">Replace condensate pump station </t>
  </si>
  <si>
    <t>Other Project Specific Items</t>
  </si>
  <si>
    <t xml:space="preserve">direct buried sewer piping - 24"  force main </t>
  </si>
  <si>
    <t xml:space="preserve">direct buried sewer piping - 20"  force main </t>
  </si>
  <si>
    <t xml:space="preserve">direct buried sewer piping - 18"  force main </t>
  </si>
  <si>
    <t xml:space="preserve">direct buried sewer piping - 16"  force main </t>
  </si>
  <si>
    <t xml:space="preserve">direct buried sewer piping - 14"  force main </t>
  </si>
  <si>
    <t xml:space="preserve">direct buried sewer piping - 12"  force main </t>
  </si>
  <si>
    <t xml:space="preserve">direct buried sewer piping - 10"  force main </t>
  </si>
  <si>
    <t xml:space="preserve">direct buried sewer piping - 8"  force main </t>
  </si>
  <si>
    <r>
      <t xml:space="preserve">direct buried sewer  main </t>
    </r>
    <r>
      <rPr>
        <sz val="12"/>
        <color indexed="12"/>
        <rFont val="Arial"/>
        <family val="2"/>
      </rPr>
      <t xml:space="preserve"> (DU Sewer Service Table March 2008)</t>
    </r>
    <r>
      <rPr>
        <sz val="12"/>
        <rFont val="Arial"/>
        <family val="2"/>
      </rPr>
      <t xml:space="preserve">  - 6" force main</t>
    </r>
  </si>
  <si>
    <r>
      <t xml:space="preserve">direct buried sewer  main </t>
    </r>
    <r>
      <rPr>
        <sz val="12"/>
        <color indexed="12"/>
        <rFont val="Arial"/>
        <family val="2"/>
      </rPr>
      <t xml:space="preserve"> (DU Sewer Service Table March 2008) </t>
    </r>
    <r>
      <rPr>
        <sz val="12"/>
        <rFont val="Arial"/>
        <family val="2"/>
      </rPr>
      <t xml:space="preserve"> - 4" force main</t>
    </r>
  </si>
  <si>
    <t>Force Main:</t>
  </si>
  <si>
    <t>direct buried sewer piping - 24" gravity</t>
  </si>
  <si>
    <t>direct buried sewer piping - 20" gravity</t>
  </si>
  <si>
    <t>direct buried sewer piping - 18" gravity</t>
  </si>
  <si>
    <t>direct buried sewer piping - 16" gravity</t>
  </si>
  <si>
    <t>direct buried sewer piping - 14" gravity</t>
  </si>
  <si>
    <t>direct buried sewer piping - 12" gravity</t>
  </si>
  <si>
    <t>direct buried sewer piping - 10" gravity</t>
  </si>
  <si>
    <t>direct buried sewer piping - 8" gravity</t>
  </si>
  <si>
    <r>
      <t xml:space="preserve">direct buried sewer  main </t>
    </r>
    <r>
      <rPr>
        <sz val="12"/>
        <color indexed="12"/>
        <rFont val="Arial"/>
        <family val="2"/>
      </rPr>
      <t xml:space="preserve"> (DU Sewer Service Table March 2008)</t>
    </r>
    <r>
      <rPr>
        <sz val="12"/>
        <rFont val="Arial"/>
        <family val="2"/>
      </rPr>
      <t xml:space="preserve">  - 6" gravity</t>
    </r>
  </si>
  <si>
    <r>
      <t xml:space="preserve">direct buried sewer  main </t>
    </r>
    <r>
      <rPr>
        <sz val="12"/>
        <color indexed="12"/>
        <rFont val="Arial"/>
        <family val="2"/>
      </rPr>
      <t xml:space="preserve"> (DU Sewer Service Table March 2008) </t>
    </r>
    <r>
      <rPr>
        <sz val="12"/>
        <rFont val="Arial"/>
        <family val="2"/>
      </rPr>
      <t xml:space="preserve"> - 4" gravity</t>
    </r>
  </si>
  <si>
    <t>direct buried sewer piping - 3" gravity</t>
  </si>
  <si>
    <t>Gravity:</t>
  </si>
  <si>
    <t xml:space="preserve">Ductile iron piping (4" and larger), AWWA C151/A21.51, Class 53; cement lined, AWWA C104, standard; ductile iron fittings, ASTM A536; ductile iron valves; mechanical couplings for cut grooved and shouldered piping systems, AWWA C606.     </t>
  </si>
  <si>
    <r>
      <t xml:space="preserve">Direct Buried Sewer Piping System </t>
    </r>
    <r>
      <rPr>
        <sz val="14"/>
        <rFont val="Arial"/>
        <family val="2"/>
      </rPr>
      <t>- includes demolition of existing pipes; installation of new pipe; installation of new support / anchor system; reconnect or replace service laterals as required.</t>
    </r>
  </si>
  <si>
    <t>direct buried water piping - 20" diameter</t>
  </si>
  <si>
    <t>direct buried water piping - 18" diameter</t>
  </si>
  <si>
    <t>direct buried water piping - 16" diameter</t>
  </si>
  <si>
    <t>direct buried water piping - 14" diameter</t>
  </si>
  <si>
    <t>direct buried water piping - 12" diameter</t>
  </si>
  <si>
    <t>direct buried water piping - 10" diameter</t>
  </si>
  <si>
    <r>
      <t xml:space="preserve">direct buried water main  </t>
    </r>
    <r>
      <rPr>
        <sz val="12"/>
        <color indexed="12"/>
        <rFont val="Arial"/>
        <family val="2"/>
      </rPr>
      <t xml:space="preserve">(DU Water Service Table March 2008) </t>
    </r>
    <r>
      <rPr>
        <sz val="12"/>
        <rFont val="Arial"/>
        <family val="2"/>
      </rPr>
      <t xml:space="preserve"> - 8" diameter</t>
    </r>
  </si>
  <si>
    <r>
      <t xml:space="preserve">direct buried water main </t>
    </r>
    <r>
      <rPr>
        <sz val="12"/>
        <color indexed="12"/>
        <rFont val="Arial"/>
        <family val="2"/>
      </rPr>
      <t xml:space="preserve"> (DU Water Service Table March 2008) </t>
    </r>
    <r>
      <rPr>
        <sz val="12"/>
        <rFont val="Arial"/>
        <family val="2"/>
      </rPr>
      <t xml:space="preserve"> - 6" diameter</t>
    </r>
  </si>
  <si>
    <r>
      <t xml:space="preserve">direct buried water main  </t>
    </r>
    <r>
      <rPr>
        <sz val="12"/>
        <color indexed="12"/>
        <rFont val="Arial"/>
        <family val="2"/>
      </rPr>
      <t>(DU Water Service Table March 2008)</t>
    </r>
    <r>
      <rPr>
        <sz val="12"/>
        <rFont val="Arial"/>
        <family val="2"/>
      </rPr>
      <t xml:space="preserve"> - 4" diameter</t>
    </r>
  </si>
  <si>
    <r>
      <t xml:space="preserve">Direct Buried Domestic Water Piping System </t>
    </r>
    <r>
      <rPr>
        <sz val="14"/>
        <rFont val="Arial"/>
        <family val="2"/>
      </rPr>
      <t>- includes demolition of existing pipes; installation of new pipe; installation of new support / anchor system; reconnect or replace service laterals as required.</t>
    </r>
  </si>
  <si>
    <r>
      <t>Direct Buried HDS Main</t>
    </r>
    <r>
      <rPr>
        <sz val="12"/>
        <color indexed="12"/>
        <rFont val="Arial"/>
        <family val="2"/>
      </rPr>
      <t xml:space="preserve"> </t>
    </r>
    <r>
      <rPr>
        <sz val="12"/>
        <color indexed="8"/>
        <rFont val="Arial"/>
        <family val="2"/>
      </rPr>
      <t>- 12" Steam &amp; 6" Condensate</t>
    </r>
  </si>
  <si>
    <r>
      <t xml:space="preserve">Direct Buried HDS Main </t>
    </r>
    <r>
      <rPr>
        <sz val="12"/>
        <color indexed="12"/>
        <rFont val="Arial"/>
        <family val="2"/>
      </rPr>
      <t xml:space="preserve">(DU Steam Heat Service Table March 2008) </t>
    </r>
    <r>
      <rPr>
        <sz val="12"/>
        <color indexed="8"/>
        <rFont val="Arial"/>
        <family val="2"/>
      </rPr>
      <t>- 8" Steam &amp; 4" Condensate</t>
    </r>
  </si>
  <si>
    <r>
      <t xml:space="preserve">Direct Buried HDS Main </t>
    </r>
    <r>
      <rPr>
        <sz val="12"/>
        <color indexed="12"/>
        <rFont val="Arial"/>
        <family val="2"/>
      </rPr>
      <t xml:space="preserve">(DU Steam Heat Service Table March 2008) </t>
    </r>
    <r>
      <rPr>
        <sz val="12"/>
        <color indexed="8"/>
        <rFont val="Arial"/>
        <family val="2"/>
      </rPr>
      <t>- 6" Steam &amp; 2" Condensate</t>
    </r>
  </si>
  <si>
    <r>
      <t xml:space="preserve">Direct Buried HDS Main </t>
    </r>
    <r>
      <rPr>
        <sz val="12"/>
        <color indexed="12"/>
        <rFont val="Arial"/>
        <family val="2"/>
      </rPr>
      <t xml:space="preserve">(DU Steam Heat Service Table March 2008) </t>
    </r>
    <r>
      <rPr>
        <sz val="12"/>
        <color indexed="8"/>
        <rFont val="Arial"/>
        <family val="2"/>
      </rPr>
      <t>- 4" Steam &amp; 1" Condensate</t>
    </r>
  </si>
  <si>
    <r>
      <t xml:space="preserve">Direct Buried HDS Main </t>
    </r>
    <r>
      <rPr>
        <sz val="12"/>
        <color indexed="12"/>
        <rFont val="Arial"/>
        <family val="2"/>
      </rPr>
      <t xml:space="preserve">(DU Steam Heat Service Table March 2008) </t>
    </r>
    <r>
      <rPr>
        <sz val="12"/>
        <color indexed="8"/>
        <rFont val="Arial"/>
        <family val="2"/>
      </rPr>
      <t>- 2" Steam &amp; 1" Condensate</t>
    </r>
  </si>
  <si>
    <t>Class A conduit system, drainable, dryable, pressure testable.  Standard weight steel pipe for steam; schedule 10S for condensate; foamglas insulation on carrier pipe; FRP coating as protection on conduit.</t>
  </si>
  <si>
    <r>
      <t xml:space="preserve">Direct Buried Heat Distribution Piping System </t>
    </r>
    <r>
      <rPr>
        <sz val="14"/>
        <rFont val="Arial"/>
        <family val="2"/>
      </rPr>
      <t>- includes demolition of existing pipes; installation of new pipe; installation of new support / anchor system; reconnect or replace service laterals as required.</t>
    </r>
  </si>
  <si>
    <t>Precast concrete sections - 18" by 24"</t>
  </si>
  <si>
    <t>Precast concrete sections - 18" by 30"</t>
  </si>
  <si>
    <t>Precast concrete sections - 24" by 24"</t>
  </si>
  <si>
    <t>Precast concrete sections - 24" by 30"</t>
  </si>
  <si>
    <t>Precast concrete sections - 24" by 48"</t>
  </si>
  <si>
    <t>Precast concrete sections - 30" by 24"</t>
  </si>
  <si>
    <t>Precast concrete sections - 30" by 30"</t>
  </si>
  <si>
    <t>Precast concrete sections - 30" by 36"</t>
  </si>
  <si>
    <t>Precast concrete sections - 36" by 30"</t>
  </si>
  <si>
    <t>Precast concrete sections - 36" by 36"</t>
  </si>
  <si>
    <t>Precast concrete sections - 36" by 42"</t>
  </si>
  <si>
    <t>Precast concrete sections - 42" by 42"</t>
  </si>
  <si>
    <t>Precast concrete sections - 48" by 48"</t>
  </si>
  <si>
    <t>Precast concrete sections - 48" by 60"</t>
  </si>
  <si>
    <t>Precast concrete sections - 54" by 54"</t>
  </si>
  <si>
    <t>Precast concrete sections - 54" by 60"</t>
  </si>
  <si>
    <t>Precast concrete sections - 60" by 30"</t>
  </si>
  <si>
    <t>Precast concrete sections - 60" by 48"</t>
  </si>
  <si>
    <t>Precast concrete sections - 60" by 60"</t>
  </si>
  <si>
    <t>Precast concrete sections - 60" by 72"</t>
  </si>
  <si>
    <t>Precast concrete sections - 72" by 36"</t>
  </si>
  <si>
    <t>Precast concrete sections - 72" by 60"</t>
  </si>
  <si>
    <t>Precast concrete sections - 72" by 72"</t>
  </si>
  <si>
    <t>Precast concrete sections - 72" by 84"</t>
  </si>
  <si>
    <t>Precast concrete sections - 78" by 78"</t>
  </si>
  <si>
    <t>Precast concrete sections - 84" by 48"</t>
  </si>
  <si>
    <t>Precast concrete sections - 84" by 60"</t>
  </si>
  <si>
    <t>Precast concrete sections - 84" by 84"</t>
  </si>
  <si>
    <t>Precast concrete sections - 84" by 108"</t>
  </si>
  <si>
    <t xml:space="preserve">8 foot long precast concrete U-sections with precast concrete lids;  ACI 317, 5000 psi concrete,   </t>
  </si>
  <si>
    <r>
      <t xml:space="preserve">Utilidor Replacement - </t>
    </r>
    <r>
      <rPr>
        <sz val="14"/>
        <rFont val="Arial"/>
        <family val="2"/>
      </rPr>
      <t>Includes removal and recycling of existing concrete utilidor elements.  Replacement also includes mastic damp proofing, board insulation, access hatches, vents, lighting,  and sumps with submersible pumps.</t>
    </r>
  </si>
  <si>
    <r>
      <t>Replace existing access hatches with new secure (lockable) hatches.</t>
    </r>
    <r>
      <rPr>
        <b/>
        <sz val="12"/>
        <color indexed="10"/>
        <rFont val="Arial"/>
        <family val="2"/>
      </rPr>
      <t xml:space="preserve"> </t>
    </r>
  </si>
  <si>
    <t xml:space="preserve">Replace utilidor drainage system , sump pumps (where required) </t>
  </si>
  <si>
    <r>
      <t>Replace manhole convenience power and lighting system (where required).</t>
    </r>
    <r>
      <rPr>
        <b/>
        <sz val="12"/>
        <color indexed="10"/>
        <rFont val="Arial"/>
        <family val="2"/>
      </rPr>
      <t xml:space="preserve"> </t>
    </r>
  </si>
  <si>
    <t xml:space="preserve">Repair/replace utilidor ventilation system in manhole lid (where required). </t>
  </si>
  <si>
    <t xml:space="preserve">Raise elevation of manhole lid where required to eliminate seasonal flooding of utilidor system. </t>
  </si>
  <si>
    <t xml:space="preserve">Repair and recondition utilidor walls, floor and removable roof panels;  repair/replace utilidor insulation and waterproofing system. </t>
  </si>
  <si>
    <t xml:space="preserve">Utilidor Rehabilitation and Repair </t>
  </si>
  <si>
    <t>utilidor installed force main - 24" diameter</t>
  </si>
  <si>
    <t>utilidor installed force main - 20" diameter</t>
  </si>
  <si>
    <t>utilidor installed force main - 18" diameter</t>
  </si>
  <si>
    <t>utilidor installed force main - 16" diameter</t>
  </si>
  <si>
    <t>utilidor installed force main - 14" diameter</t>
  </si>
  <si>
    <t>utilidor installed force main - 12" diameter</t>
  </si>
  <si>
    <t>utilidor installed force main - 10" diameter</t>
  </si>
  <si>
    <t>utilidor installed force main - 8" diameter</t>
  </si>
  <si>
    <t>utilidor installed force main - 6" diameter</t>
  </si>
  <si>
    <t>utilidor installed force main - 4" diameter</t>
  </si>
  <si>
    <t>utilidor installed sewer piping - 24" gravity</t>
  </si>
  <si>
    <t>utilidor installed sewer piping - 20" gravity</t>
  </si>
  <si>
    <t>utilidor installed sewer piping - 18" gravity</t>
  </si>
  <si>
    <t>utilidor installed sewer piping - 16" gravity</t>
  </si>
  <si>
    <t>utilidor installed sewer piping - 14" gravity</t>
  </si>
  <si>
    <t>utilidor installed sewer piping - 12" gravity</t>
  </si>
  <si>
    <t>utilidor installed sewer piping - 10" gravity</t>
  </si>
  <si>
    <t>utilidor installed sewer piping - 8" gravity</t>
  </si>
  <si>
    <t>utilidor installed sewer piping - 6" gravity</t>
  </si>
  <si>
    <t>utilidor installed sewer piping - 4" gravity</t>
  </si>
  <si>
    <t>utilidor installed sewer piping - 3" gravity</t>
  </si>
  <si>
    <r>
      <t xml:space="preserve">Utilidor Sewer Piping System </t>
    </r>
    <r>
      <rPr>
        <sz val="14"/>
        <rFont val="Arial"/>
        <family val="2"/>
      </rPr>
      <t>- includes demolition of existing pipes and supports; installation of new pipe; installation of new support and anchor systems; reconnect or replace service laterals as required.</t>
    </r>
  </si>
  <si>
    <t>utilidor installed water piping - 20" diameter</t>
  </si>
  <si>
    <t>utilidor installed water piping - 18" diameter</t>
  </si>
  <si>
    <t>utilidor installed water piping - 16" diameter</t>
  </si>
  <si>
    <t>utilidor installed water piping - 14" diameter</t>
  </si>
  <si>
    <t>utilidor installed water piping - 12" diameter</t>
  </si>
  <si>
    <t>utilidor installed water piping - 10" diameter</t>
  </si>
  <si>
    <t>utilidor installed water piping - 8" diameter</t>
  </si>
  <si>
    <t>utilidor installed water piping - 6" diameter</t>
  </si>
  <si>
    <t>utilidor installed water piping - 4" diameter</t>
  </si>
  <si>
    <t>utilidor installed water piping - 3" diameter</t>
  </si>
  <si>
    <t>utilidor installed water piping - 2½" diameter</t>
  </si>
  <si>
    <t>utilidor installed water piping - 2" diameter</t>
  </si>
  <si>
    <t>utilidor installed water piping - 1½" diameter</t>
  </si>
  <si>
    <t xml:space="preserve">Copper tubing (3" and smaller), ASTM B88, type K; cast bronze fittings, ASTM A536; cast bronze valves; mechanical couplings for roll grooved  piping system.     </t>
  </si>
  <si>
    <r>
      <t xml:space="preserve">Utilidor Water Piping System </t>
    </r>
    <r>
      <rPr>
        <sz val="14"/>
        <rFont val="Arial"/>
        <family val="2"/>
      </rPr>
      <t>- includes demolition of existing pipes and supports; installation of new pipe; installation of new support and anchor systems; new insulation and tracing; reconnect or replace service laterals as required.</t>
    </r>
  </si>
  <si>
    <t>utilidor installed condensate piping - 12" diameter</t>
  </si>
  <si>
    <t>utilidor installed condensate piping - 10" diameter</t>
  </si>
  <si>
    <t>utilidor installed condensate piping - 8" diameter</t>
  </si>
  <si>
    <t>utilidor installed condensate piping - 6" diameter</t>
  </si>
  <si>
    <t>utilidor installed condensate piping - 4" diameter</t>
  </si>
  <si>
    <t>utilidor installed condensate piping - 3" diameter</t>
  </si>
  <si>
    <t>utilidor installed condensate piping - 2" diameter</t>
  </si>
  <si>
    <t>utilidor installed condensate piping - 1½" diameter</t>
  </si>
  <si>
    <t>utilidor installed condensate piping - 1" diameter</t>
  </si>
  <si>
    <t>utilidor installed condensate piping - ¾" diameter</t>
  </si>
  <si>
    <t>utilidor installed condensate piping - ½" diameter</t>
  </si>
  <si>
    <t>Stainless steel piping, ASTM A312, Type 316L, schedule 10S; wrought stainless steel fittings; forged stainless steel valves (2" and smaller); cast stainless steel valves (3" and larger); externally pressurized expansion joints; all welded piping system.</t>
  </si>
  <si>
    <r>
      <t xml:space="preserve">Utilidor Condensate Piping System </t>
    </r>
    <r>
      <rPr>
        <sz val="14"/>
        <rFont val="Arial"/>
        <family val="2"/>
      </rPr>
      <t>- includes demolition of existing pipes and supports; installation of new pipe; installation of new supports, expansion compensation and anchor systems; new insulation; reconnect or replace service laterals as required.</t>
    </r>
  </si>
  <si>
    <t>utilidor installed steam piping - 24" diameter</t>
  </si>
  <si>
    <t>utilidor installed steam piping - 20" diameter</t>
  </si>
  <si>
    <t>utilidor installed steam piping - 18" diameter</t>
  </si>
  <si>
    <t>utilidor installed steam piping - 16" diameter</t>
  </si>
  <si>
    <t>utilidor installed steam piping - 14" diameter</t>
  </si>
  <si>
    <t>utilidor installed steam piping - 12" diameter</t>
  </si>
  <si>
    <t>utilidor installed steam piping - 10" diameter</t>
  </si>
  <si>
    <t>utilidor installed steam piping - 8" diameter</t>
  </si>
  <si>
    <t>utilidor installed steam piping - 6" diameter</t>
  </si>
  <si>
    <t>utilidor installed steam piping - 4" diameter</t>
  </si>
  <si>
    <t>utilidor installed steam piping - 3" diameter</t>
  </si>
  <si>
    <t>utilidor installed steam piping - 2" diameter</t>
  </si>
  <si>
    <t>utilidor installed steam piping - 1½" diameter</t>
  </si>
  <si>
    <t xml:space="preserve">utilidor installed steam piping - 1" diameter </t>
  </si>
  <si>
    <r>
      <t xml:space="preserve">Carbon steel piping, ASTM A106, seamless, standard wall; forged carbon steel fittings; forged carbon steel valves (2" and smaller); cast carbon steel valves (3" and larger); </t>
    </r>
    <r>
      <rPr>
        <sz val="12"/>
        <color indexed="12"/>
        <rFont val="Arial"/>
        <family val="2"/>
      </rPr>
      <t>externally</t>
    </r>
    <r>
      <rPr>
        <sz val="12"/>
        <color indexed="12"/>
        <rFont val="Arial"/>
        <family val="2"/>
      </rPr>
      <t xml:space="preserve"> pressurized expansion joints; all welded piping system.</t>
    </r>
  </si>
  <si>
    <r>
      <t xml:space="preserve">Utilidor Steam Piping System </t>
    </r>
    <r>
      <rPr>
        <sz val="14"/>
        <rFont val="Arial"/>
        <family val="2"/>
      </rPr>
      <t>- includes demolition of existing pipes and supports; installation of new pipe; installation of new supports, expansion compensation and anchor systems; new insulation; reconnect or replace service laterals as required.</t>
    </r>
  </si>
  <si>
    <t xml:space="preserve">utilidor clean up &amp; asbestos encapsulation </t>
  </si>
  <si>
    <r>
      <t xml:space="preserve">asbestos pipe insulation removal and disposal in </t>
    </r>
    <r>
      <rPr>
        <b/>
        <sz val="12"/>
        <color indexed="10"/>
        <rFont val="Arial"/>
        <family val="2"/>
      </rPr>
      <t>POST</t>
    </r>
    <r>
      <rPr>
        <sz val="12"/>
        <color indexed="10"/>
        <rFont val="Arial"/>
        <family val="2"/>
      </rPr>
      <t xml:space="preserve"> </t>
    </r>
    <r>
      <rPr>
        <sz val="12"/>
        <rFont val="Arial"/>
        <family val="2"/>
      </rPr>
      <t>landfill</t>
    </r>
  </si>
  <si>
    <t>Asbestos Containing Material Abatement</t>
  </si>
  <si>
    <t>utilidor roof panel clean-up and reinstallation; backfill; finish grading; pavement repair; turf and landscape repair.</t>
  </si>
  <si>
    <t>isolation tenting, ventilation, lid removal  and cribbing, isolation bulkheads, repair or replacement of broken utilidor roof panels</t>
  </si>
  <si>
    <t>site preparation, overburden excavation and removal, sedimentation control</t>
  </si>
  <si>
    <t>Site Preparation &amp; Access</t>
  </si>
  <si>
    <t>FTW</t>
  </si>
  <si>
    <t>CY</t>
  </si>
  <si>
    <t>Fee's on Studies &amp; Design</t>
  </si>
  <si>
    <t>Services During Construction</t>
  </si>
  <si>
    <t>Design</t>
  </si>
  <si>
    <t>Studies &amp; Pre-Design</t>
  </si>
  <si>
    <t>Services During Construction(3%) &amp; Commissioning (2%)</t>
  </si>
  <si>
    <t>Contractors Profit</t>
  </si>
  <si>
    <t>Contractors G&amp;A</t>
  </si>
  <si>
    <t>General Conditions</t>
  </si>
  <si>
    <t>Bonds &amp; Insurance</t>
  </si>
  <si>
    <t>Contingency</t>
  </si>
  <si>
    <t>Comments</t>
  </si>
  <si>
    <t>RDL   (Repl. Design Life)</t>
  </si>
  <si>
    <t>RYN     (Repl. Year New)</t>
  </si>
  <si>
    <t>Design Life</t>
  </si>
  <si>
    <t>RCN          Total w. Engineering)</t>
  </si>
  <si>
    <t>Engineering Services $'s</t>
  </si>
  <si>
    <t>Engineering Services %</t>
  </si>
  <si>
    <t>RCN         (Total Installed)</t>
  </si>
  <si>
    <t>Contractors Mark-ups  $</t>
  </si>
  <si>
    <t>Contractors Mark-ups  %</t>
  </si>
  <si>
    <t>RCN</t>
  </si>
  <si>
    <t>Unit Cost</t>
  </si>
  <si>
    <t>Quantity</t>
  </si>
  <si>
    <t>Year Inst</t>
  </si>
  <si>
    <t>Item</t>
  </si>
  <si>
    <t>Project Cost  Estimating Worksheet</t>
  </si>
  <si>
    <r>
      <t xml:space="preserve">Fort Wainwright          </t>
    </r>
    <r>
      <rPr>
        <b/>
        <sz val="18"/>
        <color indexed="12"/>
        <rFont val="Arial"/>
        <family val="2"/>
      </rPr>
      <t>FTW336</t>
    </r>
  </si>
  <si>
    <t>Utility Extension for Aviation</t>
  </si>
  <si>
    <r>
      <t xml:space="preserve">Fort Wainwright          </t>
    </r>
    <r>
      <rPr>
        <b/>
        <sz val="18"/>
        <color indexed="12"/>
        <rFont val="Arial"/>
        <family val="2"/>
      </rPr>
      <t>FTW336A</t>
    </r>
  </si>
  <si>
    <t>Utility Service Lateral from New Mains to Aircraft Parts Storage</t>
  </si>
  <si>
    <r>
      <t xml:space="preserve">Fort Wainwright          </t>
    </r>
    <r>
      <rPr>
        <b/>
        <sz val="18"/>
        <color indexed="12"/>
        <rFont val="Arial"/>
        <family val="2"/>
      </rPr>
      <t>FTW336B</t>
    </r>
  </si>
  <si>
    <t>Utility Service Lateral from New Mains to Barracks</t>
  </si>
</sst>
</file>

<file path=xl/styles.xml><?xml version="1.0" encoding="utf-8"?>
<styleSheet xmlns="http://schemas.openxmlformats.org/spreadsheetml/2006/main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%"/>
    <numFmt numFmtId="167" formatCode="_-* #,##0\ _P_t_s_-;\-* #,##0\ _P_t_s_-;_-* &quot;-&quot;\ _P_t_s_-;_-@_-"/>
    <numFmt numFmtId="168" formatCode="_-* #,##0.00\ _P_t_s_-;\-* #,##0.00\ _P_t_s_-;_-* &quot;-&quot;??\ _P_t_s_-;_-@_-"/>
    <numFmt numFmtId="169" formatCode="_-&quot;S/.&quot;* #,##0_-;\-&quot;S/.&quot;* #,##0_-;_-&quot;S/.&quot;* &quot;-&quot;_-;_-@_-"/>
    <numFmt numFmtId="170" formatCode="_-&quot;S/.&quot;* #,##0.00_-;\-&quot;S/.&quot;* #,##0.00_-;_-&quot;S/.&quot;* &quot;-&quot;??_-;_-@_-"/>
    <numFmt numFmtId="171" formatCode="_ &quot;\&quot;* #,##0.00_ ;_ &quot;\&quot;* &quot;\&quot;&quot;\&quot;&quot;\&quot;&quot;\&quot;&quot;\&quot;&quot;\&quot;&quot;\&quot;&quot;\&quot;&quot;\&quot;&quot;\&quot;&quot;\&quot;\-#,##0.00_ ;_ &quot;\&quot;* &quot;-&quot;??_ ;_ @_ "/>
  </numFmts>
  <fonts count="36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u val="singleAccounting"/>
      <sz val="14"/>
      <color theme="1"/>
      <name val="Arial"/>
      <family val="2"/>
    </font>
    <font>
      <u val="singleAccounting"/>
      <sz val="10"/>
      <name val="Arial"/>
      <family val="2"/>
    </font>
    <font>
      <u val="singleAccounting"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4"/>
      <color indexed="12"/>
      <name val="Arial"/>
      <family val="2"/>
    </font>
    <font>
      <b/>
      <sz val="12"/>
      <color indexed="12"/>
      <name val="Arial"/>
      <family val="2"/>
    </font>
    <font>
      <sz val="12"/>
      <color theme="1"/>
      <name val="Arial"/>
      <family val="2"/>
    </font>
    <font>
      <b/>
      <sz val="14"/>
      <name val="Arial"/>
      <family val="2"/>
    </font>
    <font>
      <sz val="12"/>
      <color indexed="12"/>
      <name val="Arial"/>
      <family val="2"/>
    </font>
    <font>
      <sz val="12"/>
      <color indexed="8"/>
      <name val="Arial"/>
      <family val="2"/>
    </font>
    <font>
      <sz val="14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8"/>
      <name val="Arial"/>
      <family val="2"/>
    </font>
    <font>
      <sz val="9"/>
      <name val="Arial"/>
      <family val="2"/>
    </font>
    <font>
      <b/>
      <u val="singleAccounting"/>
      <sz val="10"/>
      <name val="Arial"/>
      <family val="2"/>
    </font>
    <font>
      <u val="singleAccounting"/>
      <sz val="12"/>
      <name val="Arial"/>
      <family val="2"/>
    </font>
    <font>
      <b/>
      <u val="singleAccounting"/>
      <sz val="12"/>
      <color indexed="12"/>
      <name val="Arial"/>
      <family val="2"/>
    </font>
    <font>
      <sz val="12"/>
      <color indexed="10"/>
      <name val="Arial"/>
      <family val="2"/>
    </font>
    <font>
      <b/>
      <u val="singleAccounting"/>
      <sz val="10"/>
      <color theme="1"/>
      <name val="Arial"/>
      <family val="2"/>
    </font>
    <font>
      <b/>
      <u val="singleAccounting"/>
      <sz val="12"/>
      <name val="Arial"/>
      <family val="2"/>
    </font>
    <font>
      <b/>
      <sz val="18"/>
      <color indexed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14"/>
      <name val="–¾’©"/>
      <charset val="128"/>
    </font>
    <font>
      <sz val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</borders>
  <cellStyleXfs count="41">
    <xf numFmtId="0" fontId="0" fillId="0" borderId="0"/>
    <xf numFmtId="4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38" fontId="32" fillId="2" borderId="0" applyNumberFormat="0" applyBorder="0" applyAlignment="0" applyProtection="0"/>
    <xf numFmtId="0" fontId="11" fillId="0" borderId="10" applyNumberFormat="0" applyAlignment="0" applyProtection="0">
      <alignment horizontal="left" vertical="center"/>
    </xf>
    <xf numFmtId="0" fontId="11" fillId="0" borderId="2">
      <alignment horizontal="left" vertical="center"/>
    </xf>
    <xf numFmtId="10" fontId="32" fillId="5" borderId="1" applyNumberFormat="0" applyBorder="0" applyAlignment="0" applyProtection="0"/>
    <xf numFmtId="167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33" fillId="0" borderId="0" applyFont="0" applyFill="0" applyBorder="0" applyAlignment="0" applyProtection="0"/>
    <xf numFmtId="170" fontId="33" fillId="0" borderId="0" applyFont="0" applyFill="0" applyBorder="0" applyAlignment="0" applyProtection="0"/>
    <xf numFmtId="171" fontId="3" fillId="0" borderId="0"/>
    <xf numFmtId="40" fontId="34" fillId="0" borderId="0" applyFont="0" applyFill="0" applyBorder="0" applyAlignment="0" applyProtection="0"/>
    <xf numFmtId="38" fontId="34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35" fillId="0" borderId="35" applyNumberFormat="0" applyAlignment="0"/>
  </cellStyleXfs>
  <cellXfs count="345">
    <xf numFmtId="0" fontId="0" fillId="0" borderId="0" xfId="0"/>
    <xf numFmtId="0" fontId="1" fillId="0" borderId="0" xfId="0" applyFont="1"/>
    <xf numFmtId="0" fontId="3" fillId="0" borderId="0" xfId="2"/>
    <xf numFmtId="0" fontId="3" fillId="0" borderId="0" xfId="3"/>
    <xf numFmtId="0" fontId="3" fillId="0" borderId="0" xfId="4"/>
    <xf numFmtId="0" fontId="3" fillId="0" borderId="0" xfId="5"/>
    <xf numFmtId="0" fontId="1" fillId="0" borderId="0" xfId="6" applyFont="1"/>
    <xf numFmtId="0" fontId="3" fillId="0" borderId="0" xfId="6"/>
    <xf numFmtId="0" fontId="3" fillId="0" borderId="0" xfId="7"/>
    <xf numFmtId="0" fontId="3" fillId="0" borderId="0" xfId="8"/>
    <xf numFmtId="0" fontId="3" fillId="0" borderId="0" xfId="9"/>
    <xf numFmtId="0" fontId="3" fillId="0" borderId="0" xfId="9" applyFont="1" applyFill="1" applyAlignment="1" applyProtection="1">
      <alignment horizontal="center"/>
      <protection locked="0"/>
    </xf>
    <xf numFmtId="0" fontId="3" fillId="0" borderId="0" xfId="10"/>
    <xf numFmtId="0" fontId="3" fillId="0" borderId="0" xfId="2" applyFont="1" applyFill="1" applyAlignment="1" applyProtection="1">
      <alignment wrapText="1"/>
      <protection locked="0"/>
    </xf>
    <xf numFmtId="0" fontId="3" fillId="0" borderId="0" xfId="3" applyFont="1" applyFill="1" applyProtection="1">
      <protection locked="0"/>
    </xf>
    <xf numFmtId="0" fontId="3" fillId="0" borderId="0" xfId="11" applyNumberFormat="1" applyFont="1" applyFill="1" applyAlignment="1" applyProtection="1">
      <alignment horizontal="center"/>
      <protection locked="0"/>
    </xf>
    <xf numFmtId="43" fontId="1" fillId="0" borderId="0" xfId="12" applyFont="1" applyFill="1" applyProtection="1">
      <protection locked="0"/>
    </xf>
    <xf numFmtId="43" fontId="3" fillId="0" borderId="0" xfId="12" applyFont="1" applyFill="1" applyProtection="1">
      <protection locked="0"/>
    </xf>
    <xf numFmtId="43" fontId="3" fillId="0" borderId="0" xfId="13" applyFont="1" applyFill="1" applyProtection="1">
      <protection locked="0"/>
    </xf>
    <xf numFmtId="43" fontId="3" fillId="0" borderId="0" xfId="14" applyFont="1" applyFill="1" applyProtection="1">
      <protection locked="0"/>
    </xf>
    <xf numFmtId="0" fontId="3" fillId="0" borderId="0" xfId="10" applyNumberFormat="1" applyFont="1" applyFill="1" applyProtection="1">
      <protection locked="0"/>
    </xf>
    <xf numFmtId="0" fontId="4" fillId="0" borderId="0" xfId="11" applyNumberFormat="1" applyFont="1" applyFill="1" applyAlignment="1" applyProtection="1">
      <alignment horizontal="center"/>
      <protection locked="0"/>
    </xf>
    <xf numFmtId="43" fontId="2" fillId="0" borderId="0" xfId="12" applyFont="1" applyFill="1" applyProtection="1">
      <protection locked="0"/>
    </xf>
    <xf numFmtId="43" fontId="4" fillId="0" borderId="0" xfId="12" applyFont="1" applyFill="1" applyProtection="1">
      <protection locked="0"/>
    </xf>
    <xf numFmtId="43" fontId="4" fillId="0" borderId="0" xfId="13" applyFont="1" applyFill="1" applyProtection="1">
      <protection locked="0"/>
    </xf>
    <xf numFmtId="43" fontId="4" fillId="0" borderId="0" xfId="14" applyFont="1" applyFill="1" applyProtection="1">
      <protection locked="0"/>
    </xf>
    <xf numFmtId="43" fontId="3" fillId="0" borderId="0" xfId="11" applyFont="1" applyFill="1" applyProtection="1">
      <protection locked="0"/>
    </xf>
    <xf numFmtId="1" fontId="3" fillId="0" borderId="0" xfId="15" applyNumberFormat="1" applyFont="1" applyFill="1" applyAlignment="1" applyProtection="1">
      <alignment horizontal="right"/>
      <protection locked="0"/>
    </xf>
    <xf numFmtId="164" fontId="3" fillId="0" borderId="0" xfId="15" applyNumberFormat="1" applyFont="1" applyFill="1" applyProtection="1">
      <protection locked="0"/>
    </xf>
    <xf numFmtId="1" fontId="3" fillId="0" borderId="0" xfId="15" applyNumberFormat="1" applyFont="1" applyFill="1" applyProtection="1">
      <protection locked="0"/>
    </xf>
    <xf numFmtId="0" fontId="3" fillId="0" borderId="0" xfId="4" applyFont="1" applyFill="1" applyAlignment="1" applyProtection="1">
      <alignment horizontal="center"/>
      <protection locked="0"/>
    </xf>
    <xf numFmtId="0" fontId="5" fillId="0" borderId="0" xfId="11" applyNumberFormat="1" applyFont="1" applyFill="1" applyAlignment="1" applyProtection="1">
      <alignment horizontal="center"/>
      <protection locked="0"/>
    </xf>
    <xf numFmtId="0" fontId="3" fillId="0" borderId="0" xfId="3" applyFont="1" applyFill="1" applyAlignment="1" applyProtection="1">
      <alignment wrapText="1"/>
      <protection locked="0"/>
    </xf>
    <xf numFmtId="0" fontId="3" fillId="0" borderId="0" xfId="2" applyFont="1" applyFill="1" applyBorder="1" applyAlignment="1" applyProtection="1">
      <alignment wrapText="1"/>
      <protection locked="0"/>
    </xf>
    <xf numFmtId="0" fontId="3" fillId="0" borderId="0" xfId="3" applyFont="1" applyFill="1" applyBorder="1" applyProtection="1">
      <protection locked="0"/>
    </xf>
    <xf numFmtId="0" fontId="3" fillId="0" borderId="0" xfId="4" applyFont="1" applyFill="1" applyBorder="1" applyAlignment="1" applyProtection="1">
      <alignment horizontal="center"/>
      <protection locked="0"/>
    </xf>
    <xf numFmtId="0" fontId="3" fillId="0" borderId="0" xfId="11" applyNumberFormat="1" applyFont="1" applyFill="1" applyBorder="1" applyAlignment="1" applyProtection="1">
      <alignment horizontal="center"/>
      <protection locked="0"/>
    </xf>
    <xf numFmtId="43" fontId="1" fillId="0" borderId="0" xfId="12" applyFont="1" applyFill="1" applyBorder="1" applyProtection="1">
      <protection locked="0"/>
    </xf>
    <xf numFmtId="43" fontId="3" fillId="0" borderId="0" xfId="12" applyFont="1" applyFill="1" applyBorder="1" applyProtection="1">
      <protection locked="0"/>
    </xf>
    <xf numFmtId="43" fontId="3" fillId="0" borderId="0" xfId="13" applyFont="1" applyFill="1" applyBorder="1" applyProtection="1">
      <protection locked="0"/>
    </xf>
    <xf numFmtId="43" fontId="3" fillId="0" borderId="0" xfId="14" applyFont="1" applyFill="1" applyBorder="1" applyProtection="1">
      <protection locked="0"/>
    </xf>
    <xf numFmtId="1" fontId="3" fillId="0" borderId="0" xfId="15" applyNumberFormat="1" applyFont="1" applyFill="1" applyBorder="1" applyProtection="1">
      <protection locked="0"/>
    </xf>
    <xf numFmtId="43" fontId="3" fillId="0" borderId="0" xfId="11" applyFont="1" applyFill="1" applyBorder="1" applyProtection="1">
      <protection locked="0"/>
    </xf>
    <xf numFmtId="164" fontId="3" fillId="0" borderId="0" xfId="15" applyNumberFormat="1" applyFont="1" applyFill="1" applyBorder="1" applyProtection="1">
      <protection locked="0"/>
    </xf>
    <xf numFmtId="0" fontId="3" fillId="0" borderId="0" xfId="9" applyFont="1" applyFill="1" applyBorder="1" applyAlignment="1" applyProtection="1">
      <alignment horizontal="center"/>
      <protection locked="0"/>
    </xf>
    <xf numFmtId="0" fontId="3" fillId="0" borderId="0" xfId="10" applyNumberFormat="1" applyFont="1" applyFill="1" applyBorder="1" applyProtection="1">
      <protection locked="0"/>
    </xf>
    <xf numFmtId="43" fontId="2" fillId="0" borderId="0" xfId="12" applyFont="1" applyFill="1" applyBorder="1" applyProtection="1">
      <protection locked="0"/>
    </xf>
    <xf numFmtId="43" fontId="4" fillId="0" borderId="0" xfId="12" applyFont="1" applyFill="1" applyBorder="1" applyProtection="1">
      <protection locked="0"/>
    </xf>
    <xf numFmtId="43" fontId="4" fillId="0" borderId="0" xfId="13" applyFont="1" applyFill="1" applyBorder="1" applyProtection="1">
      <protection locked="0"/>
    </xf>
    <xf numFmtId="43" fontId="4" fillId="0" borderId="0" xfId="14" applyFont="1" applyFill="1" applyBorder="1" applyProtection="1">
      <protection locked="0"/>
    </xf>
    <xf numFmtId="1" fontId="3" fillId="0" borderId="0" xfId="15" applyNumberFormat="1" applyFont="1" applyFill="1" applyBorder="1" applyAlignment="1" applyProtection="1">
      <alignment horizontal="right"/>
      <protection locked="0"/>
    </xf>
    <xf numFmtId="0" fontId="3" fillId="0" borderId="0" xfId="9" applyFont="1" applyFill="1" applyBorder="1" applyAlignment="1" applyProtection="1">
      <alignment horizontal="center" vertical="top"/>
      <protection locked="0"/>
    </xf>
    <xf numFmtId="0" fontId="3" fillId="0" borderId="0" xfId="10" applyNumberFormat="1" applyFont="1" applyFill="1" applyBorder="1" applyAlignment="1" applyProtection="1">
      <alignment vertical="top"/>
      <protection locked="0"/>
    </xf>
    <xf numFmtId="0" fontId="3" fillId="0" borderId="0" xfId="4" applyFont="1" applyFill="1" applyBorder="1" applyAlignment="1" applyProtection="1">
      <alignment horizontal="center" vertical="top"/>
      <protection locked="0"/>
    </xf>
    <xf numFmtId="0" fontId="3" fillId="0" borderId="0" xfId="11" applyNumberFormat="1" applyFont="1" applyFill="1" applyBorder="1" applyAlignment="1" applyProtection="1">
      <alignment horizontal="center" vertical="top"/>
      <protection locked="0"/>
    </xf>
    <xf numFmtId="43" fontId="1" fillId="0" borderId="0" xfId="12" applyFont="1" applyFill="1" applyBorder="1" applyAlignment="1" applyProtection="1">
      <alignment vertical="top"/>
      <protection locked="0"/>
    </xf>
    <xf numFmtId="43" fontId="3" fillId="0" borderId="0" xfId="12" applyFont="1" applyFill="1" applyBorder="1" applyAlignment="1" applyProtection="1">
      <alignment vertical="top"/>
      <protection locked="0"/>
    </xf>
    <xf numFmtId="43" fontId="3" fillId="0" borderId="0" xfId="13" applyFont="1" applyFill="1" applyBorder="1" applyAlignment="1" applyProtection="1">
      <alignment vertical="top"/>
      <protection locked="0"/>
    </xf>
    <xf numFmtId="43" fontId="3" fillId="0" borderId="0" xfId="14" applyFont="1" applyFill="1" applyBorder="1" applyAlignment="1" applyProtection="1">
      <alignment vertical="top"/>
      <protection locked="0"/>
    </xf>
    <xf numFmtId="1" fontId="3" fillId="0" borderId="0" xfId="15" applyNumberFormat="1" applyFont="1" applyFill="1" applyBorder="1" applyAlignment="1" applyProtection="1">
      <alignment wrapText="1"/>
      <protection locked="0"/>
    </xf>
    <xf numFmtId="9" fontId="3" fillId="0" borderId="0" xfId="11" applyNumberFormat="1" applyFont="1" applyFill="1" applyBorder="1" applyAlignment="1" applyProtection="1">
      <alignment vertical="top"/>
      <protection locked="0"/>
    </xf>
    <xf numFmtId="0" fontId="4" fillId="0" borderId="0" xfId="11" applyNumberFormat="1" applyFont="1" applyFill="1" applyBorder="1" applyAlignment="1" applyProtection="1">
      <alignment horizontal="center"/>
      <protection locked="0"/>
    </xf>
    <xf numFmtId="0" fontId="3" fillId="0" borderId="0" xfId="9" applyFill="1" applyBorder="1" applyAlignment="1" applyProtection="1">
      <alignment horizontal="center" wrapText="1"/>
      <protection locked="0"/>
    </xf>
    <xf numFmtId="43" fontId="3" fillId="0" borderId="0" xfId="11" applyFont="1" applyFill="1" applyBorder="1" applyAlignment="1" applyProtection="1">
      <alignment vertical="top"/>
      <protection locked="0"/>
    </xf>
    <xf numFmtId="1" fontId="3" fillId="0" borderId="0" xfId="15" applyNumberFormat="1" applyFont="1" applyFill="1" applyBorder="1" applyAlignment="1" applyProtection="1">
      <alignment vertical="top"/>
      <protection locked="0"/>
    </xf>
    <xf numFmtId="0" fontId="3" fillId="0" borderId="0" xfId="10" applyNumberFormat="1" applyFont="1" applyFill="1" applyBorder="1" applyAlignment="1" applyProtection="1">
      <alignment wrapText="1"/>
      <protection locked="0"/>
    </xf>
    <xf numFmtId="0" fontId="3" fillId="0" borderId="0" xfId="2" applyFill="1" applyBorder="1" applyAlignment="1" applyProtection="1">
      <alignment wrapText="1"/>
      <protection locked="0"/>
    </xf>
    <xf numFmtId="0" fontId="5" fillId="0" borderId="0" xfId="11" applyNumberFormat="1" applyFont="1" applyFill="1" applyBorder="1" applyAlignment="1" applyProtection="1">
      <alignment horizontal="center" vertical="top"/>
      <protection locked="0"/>
    </xf>
    <xf numFmtId="43" fontId="3" fillId="0" borderId="0" xfId="11" applyFont="1" applyFill="1" applyBorder="1" applyAlignment="1" applyProtection="1">
      <alignment horizontal="left" vertical="top"/>
      <protection locked="0"/>
    </xf>
    <xf numFmtId="164" fontId="3" fillId="0" borderId="0" xfId="15" applyNumberFormat="1" applyFont="1" applyFill="1" applyBorder="1" applyAlignment="1" applyProtection="1">
      <alignment horizontal="left" vertical="top" wrapText="1"/>
      <protection locked="0"/>
    </xf>
    <xf numFmtId="0" fontId="3" fillId="0" borderId="0" xfId="10" applyNumberFormat="1" applyFill="1" applyBorder="1" applyProtection="1">
      <protection locked="0"/>
    </xf>
    <xf numFmtId="164" fontId="3" fillId="0" borderId="0" xfId="15" applyNumberFormat="1" applyFont="1" applyFill="1" applyBorder="1" applyAlignment="1" applyProtection="1">
      <alignment horizontal="center"/>
      <protection locked="0"/>
    </xf>
    <xf numFmtId="0" fontId="3" fillId="0" borderId="0" xfId="9" applyFill="1" applyBorder="1" applyAlignment="1" applyProtection="1">
      <alignment horizontal="center"/>
      <protection locked="0"/>
    </xf>
    <xf numFmtId="0" fontId="3" fillId="0" borderId="0" xfId="10" applyNumberFormat="1" applyFill="1" applyBorder="1" applyAlignment="1" applyProtection="1">
      <alignment wrapText="1"/>
      <protection locked="0"/>
    </xf>
    <xf numFmtId="0" fontId="3" fillId="0" borderId="0" xfId="2" applyFont="1" applyFill="1" applyBorder="1" applyProtection="1">
      <protection locked="0"/>
    </xf>
    <xf numFmtId="164" fontId="3" fillId="0" borderId="0" xfId="15" applyNumberFormat="1" applyFont="1" applyFill="1" applyBorder="1" applyAlignment="1" applyProtection="1">
      <alignment horizontal="right"/>
      <protection locked="0"/>
    </xf>
    <xf numFmtId="0" fontId="4" fillId="0" borderId="0" xfId="10" applyNumberFormat="1" applyFont="1" applyFill="1" applyBorder="1" applyProtection="1">
      <protection locked="0"/>
    </xf>
    <xf numFmtId="0" fontId="3" fillId="0" borderId="0" xfId="3" applyFont="1" applyFill="1" applyBorder="1" applyAlignment="1" applyProtection="1">
      <alignment horizontal="left" vertical="top" wrapText="1"/>
      <protection locked="0"/>
    </xf>
    <xf numFmtId="43" fontId="3" fillId="0" borderId="0" xfId="11" applyFont="1" applyFill="1" applyBorder="1" applyAlignment="1" applyProtection="1">
      <alignment horizontal="left" vertical="top" wrapText="1"/>
      <protection locked="0"/>
    </xf>
    <xf numFmtId="164" fontId="3" fillId="0" borderId="0" xfId="15" applyNumberFormat="1" applyFont="1" applyFill="1" applyBorder="1" applyAlignment="1" applyProtection="1">
      <alignment horizontal="center" wrapText="1"/>
      <protection locked="0"/>
    </xf>
    <xf numFmtId="0" fontId="0" fillId="0" borderId="0" xfId="0" applyFill="1"/>
    <xf numFmtId="43" fontId="6" fillId="0" borderId="0" xfId="14" applyFont="1" applyFill="1" applyBorder="1" applyAlignment="1" applyProtection="1">
      <alignment horizontal="right" vertical="top"/>
      <protection locked="0"/>
    </xf>
    <xf numFmtId="0" fontId="6" fillId="0" borderId="0" xfId="8" applyFont="1" applyFill="1" applyAlignment="1" applyProtection="1">
      <alignment vertical="center"/>
      <protection locked="0"/>
    </xf>
    <xf numFmtId="0" fontId="3" fillId="0" borderId="0" xfId="3" applyFont="1" applyFill="1" applyBorder="1" applyAlignment="1" applyProtection="1">
      <alignment wrapText="1"/>
      <protection locked="0"/>
    </xf>
    <xf numFmtId="0" fontId="3" fillId="0" borderId="0" xfId="4" applyFont="1" applyFill="1" applyBorder="1" applyAlignment="1" applyProtection="1">
      <alignment horizontal="center" vertical="top" wrapText="1"/>
      <protection locked="0"/>
    </xf>
    <xf numFmtId="0" fontId="3" fillId="0" borderId="0" xfId="11" applyNumberFormat="1" applyFont="1" applyFill="1" applyBorder="1" applyAlignment="1" applyProtection="1">
      <alignment horizontal="center" vertical="top" wrapText="1"/>
      <protection locked="0"/>
    </xf>
    <xf numFmtId="164" fontId="7" fillId="0" borderId="0" xfId="12" applyNumberFormat="1" applyFont="1" applyFill="1" applyBorder="1" applyAlignment="1" applyProtection="1">
      <alignment vertical="top" wrapText="1"/>
      <protection locked="0"/>
    </xf>
    <xf numFmtId="43" fontId="3" fillId="0" borderId="0" xfId="12" applyFont="1" applyFill="1" applyBorder="1" applyAlignment="1" applyProtection="1">
      <alignment vertical="top" wrapText="1"/>
      <protection locked="0"/>
    </xf>
    <xf numFmtId="43" fontId="6" fillId="0" borderId="0" xfId="12" applyFont="1" applyFill="1" applyBorder="1" applyAlignment="1" applyProtection="1">
      <alignment vertical="top" wrapText="1"/>
      <protection locked="0"/>
    </xf>
    <xf numFmtId="43" fontId="3" fillId="0" borderId="0" xfId="13" applyFont="1" applyFill="1" applyBorder="1" applyAlignment="1" applyProtection="1">
      <alignment vertical="top" wrapText="1"/>
      <protection locked="0"/>
    </xf>
    <xf numFmtId="43" fontId="3" fillId="0" borderId="0" xfId="14" applyFont="1" applyFill="1" applyBorder="1" applyAlignment="1" applyProtection="1">
      <alignment vertical="top" wrapText="1"/>
      <protection locked="0"/>
    </xf>
    <xf numFmtId="1" fontId="3" fillId="0" borderId="0" xfId="15" applyNumberFormat="1" applyFont="1" applyFill="1" applyBorder="1" applyAlignment="1" applyProtection="1">
      <alignment vertical="top" wrapText="1"/>
      <protection locked="0"/>
    </xf>
    <xf numFmtId="165" fontId="8" fillId="0" borderId="0" xfId="16" applyNumberFormat="1" applyFont="1" applyFill="1" applyAlignment="1" applyProtection="1">
      <alignment horizontal="left" vertical="center"/>
      <protection locked="0"/>
    </xf>
    <xf numFmtId="43" fontId="9" fillId="0" borderId="0" xfId="12" applyFont="1" applyFill="1" applyBorder="1" applyAlignment="1" applyProtection="1">
      <alignment vertical="top" wrapText="1"/>
      <protection locked="0"/>
    </xf>
    <xf numFmtId="165" fontId="10" fillId="0" borderId="0" xfId="6" applyNumberFormat="1" applyFont="1" applyFill="1" applyBorder="1" applyAlignment="1" applyProtection="1">
      <alignment vertical="top"/>
      <protection locked="0"/>
    </xf>
    <xf numFmtId="0" fontId="3" fillId="0" borderId="0" xfId="8" applyFont="1" applyFill="1" applyProtection="1">
      <protection locked="0"/>
    </xf>
    <xf numFmtId="165" fontId="7" fillId="0" borderId="0" xfId="16" applyNumberFormat="1" applyFont="1" applyFill="1" applyAlignment="1" applyProtection="1">
      <alignment horizontal="left" vertical="center"/>
      <protection locked="0"/>
    </xf>
    <xf numFmtId="165" fontId="6" fillId="0" borderId="0" xfId="16" applyNumberFormat="1" applyFont="1" applyFill="1" applyAlignment="1" applyProtection="1">
      <alignment vertical="top"/>
      <protection locked="0"/>
    </xf>
    <xf numFmtId="0" fontId="5" fillId="0" borderId="0" xfId="11" applyNumberFormat="1" applyFont="1" applyFill="1" applyBorder="1" applyAlignment="1" applyProtection="1">
      <alignment horizontal="center" vertical="top" wrapText="1"/>
      <protection locked="0"/>
    </xf>
    <xf numFmtId="0" fontId="3" fillId="0" borderId="0" xfId="8" applyFont="1" applyFill="1" applyAlignment="1" applyProtection="1">
      <alignment wrapText="1"/>
      <protection locked="0"/>
    </xf>
    <xf numFmtId="165" fontId="6" fillId="0" borderId="0" xfId="16" applyNumberFormat="1" applyFont="1" applyFill="1" applyAlignment="1" applyProtection="1">
      <alignment horizontal="left" vertical="center"/>
      <protection locked="0"/>
    </xf>
    <xf numFmtId="0" fontId="6" fillId="0" borderId="0" xfId="8" applyFont="1" applyFill="1" applyAlignment="1" applyProtection="1">
      <alignment horizontal="left" vertical="center"/>
      <protection locked="0"/>
    </xf>
    <xf numFmtId="0" fontId="4" fillId="0" borderId="0" xfId="10" applyNumberFormat="1" applyFont="1" applyFill="1" applyBorder="1" applyAlignment="1" applyProtection="1">
      <alignment wrapText="1"/>
      <protection locked="0"/>
    </xf>
    <xf numFmtId="43" fontId="1" fillId="0" borderId="0" xfId="12" applyFont="1" applyFill="1" applyBorder="1" applyAlignment="1" applyProtection="1">
      <alignment vertical="top" wrapText="1"/>
      <protection locked="0"/>
    </xf>
    <xf numFmtId="0" fontId="7" fillId="0" borderId="0" xfId="6" applyFont="1" applyFill="1" applyAlignment="1" applyProtection="1">
      <alignment vertical="top"/>
      <protection locked="0"/>
    </xf>
    <xf numFmtId="0" fontId="6" fillId="0" borderId="0" xfId="6" applyFont="1" applyFill="1" applyAlignment="1" applyProtection="1">
      <alignment vertical="top"/>
      <protection locked="0"/>
    </xf>
    <xf numFmtId="0" fontId="3" fillId="0" borderId="0" xfId="2" applyFont="1" applyFill="1" applyBorder="1" applyAlignment="1" applyProtection="1">
      <alignment vertical="center" wrapText="1"/>
      <protection locked="0"/>
    </xf>
    <xf numFmtId="0" fontId="3" fillId="0" borderId="0" xfId="3" applyFont="1" applyFill="1" applyBorder="1" applyAlignment="1" applyProtection="1">
      <alignment vertical="center" wrapText="1"/>
      <protection locked="0"/>
    </xf>
    <xf numFmtId="0" fontId="3" fillId="0" borderId="0" xfId="4" applyFont="1" applyFill="1" applyBorder="1" applyAlignment="1" applyProtection="1">
      <alignment horizontal="center" vertical="center" wrapText="1"/>
      <protection locked="0"/>
    </xf>
    <xf numFmtId="0" fontId="3" fillId="0" borderId="0" xfId="11" applyNumberFormat="1" applyFont="1" applyFill="1" applyBorder="1" applyAlignment="1" applyProtection="1">
      <alignment horizontal="center" vertical="center" wrapText="1"/>
      <protection locked="0"/>
    </xf>
    <xf numFmtId="43" fontId="1" fillId="0" borderId="0" xfId="12" applyFont="1" applyFill="1" applyBorder="1" applyAlignment="1" applyProtection="1">
      <alignment vertical="center" wrapText="1"/>
      <protection locked="0"/>
    </xf>
    <xf numFmtId="43" fontId="3" fillId="0" borderId="0" xfId="12" applyFont="1" applyFill="1" applyBorder="1" applyAlignment="1" applyProtection="1">
      <alignment vertical="center" wrapText="1"/>
      <protection locked="0"/>
    </xf>
    <xf numFmtId="164" fontId="11" fillId="0" borderId="0" xfId="12" applyNumberFormat="1" applyFont="1" applyFill="1" applyBorder="1" applyAlignment="1" applyProtection="1">
      <alignment vertical="center" wrapText="1"/>
      <protection locked="0"/>
    </xf>
    <xf numFmtId="165" fontId="11" fillId="0" borderId="0" xfId="16" applyNumberFormat="1" applyFont="1" applyFill="1" applyBorder="1" applyAlignment="1" applyProtection="1">
      <alignment horizontal="right" vertical="center"/>
      <protection locked="0"/>
    </xf>
    <xf numFmtId="0" fontId="11" fillId="0" borderId="0" xfId="6" applyFont="1" applyFill="1" applyBorder="1" applyAlignment="1">
      <alignment vertical="center"/>
    </xf>
    <xf numFmtId="0" fontId="3" fillId="0" borderId="0" xfId="6" applyFont="1" applyFill="1" applyBorder="1" applyAlignment="1" applyProtection="1">
      <alignment vertical="center" wrapText="1"/>
      <protection locked="0"/>
    </xf>
    <xf numFmtId="43" fontId="3" fillId="0" borderId="0" xfId="13" applyFont="1" applyFill="1" applyBorder="1" applyAlignment="1" applyProtection="1">
      <alignment vertical="center" wrapText="1"/>
      <protection locked="0"/>
    </xf>
    <xf numFmtId="43" fontId="3" fillId="0" borderId="0" xfId="14" applyFont="1" applyFill="1" applyBorder="1" applyAlignment="1" applyProtection="1">
      <alignment vertical="center" wrapText="1"/>
      <protection locked="0"/>
    </xf>
    <xf numFmtId="1" fontId="3" fillId="0" borderId="0" xfId="15" applyNumberFormat="1" applyFont="1" applyFill="1" applyBorder="1" applyAlignment="1" applyProtection="1">
      <alignment vertical="center" wrapText="1"/>
      <protection locked="0"/>
    </xf>
    <xf numFmtId="43" fontId="3" fillId="0" borderId="0" xfId="11" applyFont="1" applyFill="1" applyBorder="1" applyAlignment="1" applyProtection="1">
      <alignment horizontal="left" vertical="center" wrapText="1"/>
      <protection locked="0"/>
    </xf>
    <xf numFmtId="164" fontId="3" fillId="0" borderId="0" xfId="15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9" applyFill="1" applyBorder="1" applyAlignment="1" applyProtection="1">
      <alignment horizontal="center" vertical="center" wrapText="1"/>
      <protection locked="0"/>
    </xf>
    <xf numFmtId="0" fontId="3" fillId="0" borderId="0" xfId="10" applyNumberFormat="1" applyFont="1" applyFill="1" applyBorder="1" applyAlignment="1" applyProtection="1">
      <alignment vertical="center" wrapText="1"/>
      <protection locked="0"/>
    </xf>
    <xf numFmtId="165" fontId="11" fillId="2" borderId="1" xfId="1" applyNumberFormat="1" applyFont="1" applyFill="1" applyBorder="1" applyAlignment="1" applyProtection="1">
      <alignment vertical="center" wrapText="1"/>
      <protection locked="0"/>
    </xf>
    <xf numFmtId="165" fontId="11" fillId="0" borderId="1" xfId="16" applyNumberFormat="1" applyFont="1" applyFill="1" applyBorder="1" applyAlignment="1" applyProtection="1">
      <alignment horizontal="right" vertical="center"/>
      <protection locked="0"/>
    </xf>
    <xf numFmtId="0" fontId="11" fillId="0" borderId="1" xfId="6" applyFont="1" applyFill="1" applyBorder="1" applyAlignment="1">
      <alignment vertical="center"/>
    </xf>
    <xf numFmtId="0" fontId="3" fillId="0" borderId="1" xfId="6" applyFont="1" applyFill="1" applyBorder="1" applyAlignment="1" applyProtection="1">
      <alignment vertical="center" wrapText="1"/>
      <protection locked="0"/>
    </xf>
    <xf numFmtId="0" fontId="0" fillId="0" borderId="2" xfId="0" applyBorder="1"/>
    <xf numFmtId="43" fontId="3" fillId="0" borderId="2" xfId="13" applyFont="1" applyFill="1" applyBorder="1" applyAlignment="1" applyProtection="1">
      <alignment vertical="center" wrapText="1"/>
      <protection locked="0"/>
    </xf>
    <xf numFmtId="43" fontId="3" fillId="0" borderId="3" xfId="14" applyFont="1" applyFill="1" applyBorder="1" applyAlignment="1" applyProtection="1">
      <alignment vertical="center" wrapText="1"/>
      <protection locked="0"/>
    </xf>
    <xf numFmtId="0" fontId="3" fillId="0" borderId="4" xfId="2" applyFill="1" applyBorder="1" applyAlignment="1" applyProtection="1">
      <alignment vertical="center" wrapText="1"/>
      <protection locked="0"/>
    </xf>
    <xf numFmtId="0" fontId="12" fillId="0" borderId="0" xfId="3" applyFont="1" applyFill="1" applyBorder="1" applyAlignment="1" applyProtection="1">
      <alignment vertical="center" wrapText="1"/>
      <protection locked="0"/>
    </xf>
    <xf numFmtId="43" fontId="3" fillId="0" borderId="0" xfId="11" applyFont="1" applyFill="1" applyBorder="1" applyAlignment="1" applyProtection="1">
      <alignment vertical="center" wrapText="1"/>
    </xf>
    <xf numFmtId="165" fontId="13" fillId="0" borderId="0" xfId="16" applyNumberFormat="1" applyFont="1" applyFill="1" applyBorder="1" applyAlignment="1" applyProtection="1">
      <alignment vertical="center" wrapText="1"/>
      <protection locked="0"/>
    </xf>
    <xf numFmtId="165" fontId="4" fillId="2" borderId="0" xfId="16" applyNumberFormat="1" applyFont="1" applyFill="1" applyBorder="1" applyAlignment="1" applyProtection="1">
      <alignment vertical="center" wrapText="1"/>
      <protection locked="0"/>
    </xf>
    <xf numFmtId="165" fontId="11" fillId="2" borderId="0" xfId="16" applyNumberFormat="1" applyFont="1" applyFill="1" applyBorder="1" applyAlignment="1" applyProtection="1">
      <alignment vertical="center" wrapText="1"/>
      <protection locked="0"/>
    </xf>
    <xf numFmtId="0" fontId="3" fillId="2" borderId="0" xfId="6" applyFont="1" applyFill="1" applyBorder="1" applyAlignment="1" applyProtection="1">
      <alignment vertical="center" wrapText="1"/>
      <protection locked="0"/>
    </xf>
    <xf numFmtId="165" fontId="11" fillId="2" borderId="5" xfId="16" applyNumberFormat="1" applyFont="1" applyFill="1" applyBorder="1" applyAlignment="1" applyProtection="1">
      <alignment vertical="center" wrapText="1"/>
      <protection locked="0"/>
    </xf>
    <xf numFmtId="165" fontId="11" fillId="0" borderId="6" xfId="16" applyNumberFormat="1" applyFont="1" applyFill="1" applyBorder="1" applyAlignment="1" applyProtection="1">
      <alignment horizontal="right" vertical="center"/>
      <protection locked="0"/>
    </xf>
    <xf numFmtId="0" fontId="3" fillId="0" borderId="7" xfId="6" applyFill="1" applyBorder="1" applyAlignment="1">
      <alignment vertical="center"/>
    </xf>
    <xf numFmtId="0" fontId="3" fillId="0" borderId="7" xfId="6" applyFont="1" applyFill="1" applyBorder="1" applyAlignment="1" applyProtection="1">
      <alignment vertical="center" wrapText="1"/>
      <protection locked="0"/>
    </xf>
    <xf numFmtId="0" fontId="0" fillId="0" borderId="7" xfId="0" applyBorder="1"/>
    <xf numFmtId="165" fontId="4" fillId="0" borderId="7" xfId="17" applyNumberFormat="1" applyFont="1" applyFill="1" applyBorder="1" applyAlignment="1" applyProtection="1">
      <alignment vertical="center" wrapText="1"/>
      <protection locked="0"/>
    </xf>
    <xf numFmtId="165" fontId="4" fillId="0" borderId="8" xfId="18" applyNumberFormat="1" applyFont="1" applyFill="1" applyBorder="1" applyAlignment="1" applyProtection="1">
      <alignment vertical="center" wrapText="1"/>
      <protection locked="0"/>
    </xf>
    <xf numFmtId="165" fontId="4" fillId="0" borderId="0" xfId="18" applyNumberFormat="1" applyFont="1" applyFill="1" applyBorder="1" applyAlignment="1" applyProtection="1">
      <alignment vertical="center" wrapText="1"/>
      <protection locked="0"/>
    </xf>
    <xf numFmtId="1" fontId="3" fillId="0" borderId="0" xfId="11" applyNumberFormat="1" applyFont="1" applyFill="1" applyBorder="1" applyAlignment="1" applyProtection="1">
      <alignment vertical="center" wrapText="1"/>
    </xf>
    <xf numFmtId="43" fontId="3" fillId="0" borderId="0" xfId="11" applyFont="1" applyFill="1" applyBorder="1" applyAlignment="1" applyProtection="1">
      <alignment horizontal="left" vertical="center" wrapText="1"/>
    </xf>
    <xf numFmtId="164" fontId="3" fillId="0" borderId="0" xfId="15" applyNumberFormat="1" applyFont="1" applyFill="1" applyBorder="1" applyAlignment="1" applyProtection="1">
      <alignment horizontal="center" vertical="center" wrapText="1"/>
    </xf>
    <xf numFmtId="0" fontId="3" fillId="0" borderId="0" xfId="9" applyFont="1" applyFill="1" applyBorder="1" applyAlignment="1" applyProtection="1">
      <alignment vertical="center" wrapText="1"/>
    </xf>
    <xf numFmtId="0" fontId="11" fillId="0" borderId="0" xfId="10" applyNumberFormat="1" applyFont="1" applyFill="1" applyBorder="1" applyAlignment="1" applyProtection="1">
      <alignment vertical="center" wrapText="1"/>
      <protection locked="0"/>
    </xf>
    <xf numFmtId="1" fontId="12" fillId="0" borderId="0" xfId="3" applyNumberFormat="1" applyFont="1" applyFill="1" applyBorder="1" applyAlignment="1" applyProtection="1">
      <alignment horizontal="center" vertical="center" wrapText="1"/>
      <protection locked="0"/>
    </xf>
    <xf numFmtId="165" fontId="4" fillId="3" borderId="9" xfId="17" applyNumberFormat="1" applyFont="1" applyFill="1" applyBorder="1" applyAlignment="1" applyProtection="1">
      <alignment vertical="center" wrapText="1"/>
      <protection locked="0"/>
    </xf>
    <xf numFmtId="165" fontId="4" fillId="2" borderId="10" xfId="16" applyNumberFormat="1" applyFont="1" applyFill="1" applyBorder="1" applyAlignment="1" applyProtection="1">
      <alignment vertical="center" wrapText="1"/>
      <protection locked="0"/>
    </xf>
    <xf numFmtId="165" fontId="4" fillId="0" borderId="10" xfId="17" applyNumberFormat="1" applyFont="1" applyFill="1" applyBorder="1" applyAlignment="1" applyProtection="1">
      <alignment vertical="center" wrapText="1"/>
      <protection locked="0"/>
    </xf>
    <xf numFmtId="165" fontId="4" fillId="0" borderId="11" xfId="16" applyNumberFormat="1" applyFont="1" applyFill="1" applyBorder="1" applyAlignment="1" applyProtection="1">
      <alignment horizontal="right" vertical="center"/>
      <protection locked="0"/>
    </xf>
    <xf numFmtId="0" fontId="3" fillId="0" borderId="12" xfId="6" applyFont="1" applyFill="1" applyBorder="1" applyAlignment="1" applyProtection="1">
      <alignment vertical="center" wrapText="1"/>
      <protection locked="0"/>
    </xf>
    <xf numFmtId="165" fontId="4" fillId="3" borderId="10" xfId="17" applyNumberFormat="1" applyFont="1" applyFill="1" applyBorder="1" applyAlignment="1" applyProtection="1">
      <alignment vertical="center" wrapText="1"/>
      <protection locked="0"/>
    </xf>
    <xf numFmtId="1" fontId="3" fillId="0" borderId="10" xfId="11" applyNumberFormat="1" applyFont="1" applyFill="1" applyBorder="1" applyAlignment="1" applyProtection="1">
      <alignment vertical="center" wrapText="1"/>
    </xf>
    <xf numFmtId="43" fontId="3" fillId="0" borderId="10" xfId="11" applyFont="1" applyFill="1" applyBorder="1" applyAlignment="1" applyProtection="1">
      <alignment horizontal="left" vertical="center" wrapText="1"/>
    </xf>
    <xf numFmtId="164" fontId="3" fillId="0" borderId="10" xfId="15" applyNumberFormat="1" applyFont="1" applyFill="1" applyBorder="1" applyAlignment="1" applyProtection="1">
      <alignment horizontal="center" vertical="center" wrapText="1"/>
    </xf>
    <xf numFmtId="0" fontId="3" fillId="0" borderId="10" xfId="9" applyFont="1" applyFill="1" applyBorder="1" applyAlignment="1" applyProtection="1">
      <alignment vertical="center" wrapText="1"/>
    </xf>
    <xf numFmtId="0" fontId="14" fillId="3" borderId="13" xfId="10" applyNumberFormat="1" applyFont="1" applyFill="1" applyBorder="1" applyAlignment="1" applyProtection="1">
      <alignment vertical="center" wrapText="1"/>
      <protection locked="0"/>
    </xf>
    <xf numFmtId="0" fontId="3" fillId="0" borderId="4" xfId="2" applyFill="1" applyBorder="1" applyAlignment="1" applyProtection="1">
      <alignment vertical="top" wrapText="1"/>
      <protection locked="0"/>
    </xf>
    <xf numFmtId="0" fontId="15" fillId="0" borderId="14" xfId="3" applyFont="1" applyFill="1" applyBorder="1" applyAlignment="1" applyProtection="1">
      <alignment horizontal="center" vertical="center"/>
      <protection locked="0"/>
    </xf>
    <xf numFmtId="0" fontId="15" fillId="0" borderId="15" xfId="4" applyFont="1" applyFill="1" applyBorder="1" applyAlignment="1" applyProtection="1">
      <alignment horizontal="center" vertical="center"/>
      <protection locked="0"/>
    </xf>
    <xf numFmtId="0" fontId="15" fillId="0" borderId="15" xfId="11" applyNumberFormat="1" applyFont="1" applyFill="1" applyBorder="1" applyAlignment="1" applyProtection="1">
      <alignment horizontal="center" vertical="center"/>
    </xf>
    <xf numFmtId="165" fontId="16" fillId="0" borderId="15" xfId="16" applyNumberFormat="1" applyFont="1" applyFill="1" applyBorder="1" applyAlignment="1" applyProtection="1">
      <alignment horizontal="center" vertical="center"/>
    </xf>
    <xf numFmtId="165" fontId="12" fillId="0" borderId="1" xfId="16" applyNumberFormat="1" applyFont="1" applyFill="1" applyBorder="1" applyAlignment="1" applyProtection="1">
      <alignment horizontal="center" vertical="center"/>
    </xf>
    <xf numFmtId="9" fontId="12" fillId="0" borderId="16" xfId="19" applyFont="1" applyFill="1" applyBorder="1" applyAlignment="1" applyProtection="1">
      <alignment horizontal="center" vertical="center" wrapText="1"/>
      <protection locked="0"/>
    </xf>
    <xf numFmtId="9" fontId="12" fillId="0" borderId="16" xfId="19" applyNumberFormat="1" applyFont="1" applyFill="1" applyBorder="1" applyAlignment="1" applyProtection="1">
      <alignment horizontal="center" vertical="center" wrapText="1"/>
      <protection locked="0"/>
    </xf>
    <xf numFmtId="165" fontId="12" fillId="0" borderId="1" xfId="20" applyNumberFormat="1" applyFont="1" applyFill="1" applyBorder="1" applyAlignment="1" applyProtection="1">
      <alignment horizontal="center" vertical="center"/>
    </xf>
    <xf numFmtId="165" fontId="12" fillId="0" borderId="1" xfId="21" applyNumberFormat="1" applyFont="1" applyFill="1" applyBorder="1" applyAlignment="1" applyProtection="1">
      <alignment horizontal="center" vertical="center"/>
    </xf>
    <xf numFmtId="9" fontId="12" fillId="0" borderId="16" xfId="22" applyFont="1" applyFill="1" applyBorder="1" applyAlignment="1" applyProtection="1">
      <alignment horizontal="center" vertical="center" wrapText="1"/>
      <protection locked="0"/>
    </xf>
    <xf numFmtId="166" fontId="12" fillId="0" borderId="16" xfId="22" applyNumberFormat="1" applyFont="1" applyFill="1" applyBorder="1" applyAlignment="1" applyProtection="1">
      <alignment horizontal="center" vertical="center" wrapText="1"/>
      <protection locked="0"/>
    </xf>
    <xf numFmtId="164" fontId="0" fillId="0" borderId="0" xfId="0" applyNumberFormat="1" applyAlignment="1">
      <alignment horizontal="center" vertical="center"/>
    </xf>
    <xf numFmtId="165" fontId="15" fillId="4" borderId="17" xfId="23" applyNumberFormat="1" applyFont="1" applyFill="1" applyBorder="1" applyAlignment="1" applyProtection="1">
      <alignment horizontal="center" vertical="center" wrapText="1"/>
    </xf>
    <xf numFmtId="43" fontId="12" fillId="4" borderId="16" xfId="11" applyFont="1" applyFill="1" applyBorder="1" applyAlignment="1" applyProtection="1">
      <alignment horizontal="center" vertical="center" wrapText="1"/>
    </xf>
    <xf numFmtId="164" fontId="15" fillId="4" borderId="16" xfId="15" applyNumberFormat="1" applyFont="1" applyFill="1" applyBorder="1" applyAlignment="1" applyProtection="1">
      <alignment horizontal="center" vertical="center" wrapText="1"/>
    </xf>
    <xf numFmtId="0" fontId="15" fillId="4" borderId="18" xfId="9" applyFont="1" applyFill="1" applyBorder="1" applyAlignment="1" applyProtection="1">
      <alignment horizontal="center" vertical="center" wrapText="1"/>
    </xf>
    <xf numFmtId="0" fontId="12" fillId="0" borderId="19" xfId="10" applyNumberFormat="1" applyFont="1" applyFill="1" applyBorder="1" applyAlignment="1" applyProtection="1">
      <alignment horizontal="left" vertical="center" wrapText="1"/>
      <protection locked="0"/>
    </xf>
    <xf numFmtId="0" fontId="15" fillId="0" borderId="20" xfId="3" applyFont="1" applyFill="1" applyBorder="1" applyAlignment="1" applyProtection="1">
      <alignment horizontal="center" vertical="center"/>
      <protection locked="0"/>
    </xf>
    <xf numFmtId="0" fontId="15" fillId="0" borderId="1" xfId="4" applyFont="1" applyFill="1" applyBorder="1" applyAlignment="1" applyProtection="1">
      <alignment horizontal="center" vertical="center"/>
      <protection locked="0"/>
    </xf>
    <xf numFmtId="0" fontId="15" fillId="0" borderId="1" xfId="11" applyNumberFormat="1" applyFont="1" applyFill="1" applyBorder="1" applyAlignment="1" applyProtection="1">
      <alignment horizontal="center" vertical="center"/>
    </xf>
    <xf numFmtId="165" fontId="16" fillId="0" borderId="1" xfId="16" applyNumberFormat="1" applyFont="1" applyFill="1" applyBorder="1" applyAlignment="1" applyProtection="1">
      <alignment horizontal="center" vertical="center"/>
    </xf>
    <xf numFmtId="9" fontId="12" fillId="0" borderId="1" xfId="19" applyFont="1" applyFill="1" applyBorder="1" applyAlignment="1" applyProtection="1">
      <alignment horizontal="center" vertical="center" wrapText="1"/>
      <protection locked="0"/>
    </xf>
    <xf numFmtId="9" fontId="12" fillId="0" borderId="1" xfId="19" applyNumberFormat="1" applyFont="1" applyFill="1" applyBorder="1" applyAlignment="1" applyProtection="1">
      <alignment horizontal="center" vertical="center" wrapText="1"/>
      <protection locked="0"/>
    </xf>
    <xf numFmtId="9" fontId="12" fillId="0" borderId="1" xfId="22" applyFont="1" applyFill="1" applyBorder="1" applyAlignment="1" applyProtection="1">
      <alignment horizontal="center" vertical="center" wrapText="1"/>
      <protection locked="0"/>
    </xf>
    <xf numFmtId="166" fontId="12" fillId="0" borderId="1" xfId="22" applyNumberFormat="1" applyFont="1" applyFill="1" applyBorder="1" applyAlignment="1" applyProtection="1">
      <alignment horizontal="center" vertical="center" wrapText="1"/>
      <protection locked="0"/>
    </xf>
    <xf numFmtId="165" fontId="15" fillId="4" borderId="20" xfId="23" applyNumberFormat="1" applyFont="1" applyFill="1" applyBorder="1" applyAlignment="1" applyProtection="1">
      <alignment horizontal="center" vertical="center" wrapText="1"/>
    </xf>
    <xf numFmtId="43" fontId="12" fillId="4" borderId="1" xfId="11" applyFont="1" applyFill="1" applyBorder="1" applyAlignment="1" applyProtection="1">
      <alignment horizontal="center" vertical="center" wrapText="1"/>
    </xf>
    <xf numFmtId="164" fontId="15" fillId="4" borderId="1" xfId="15" applyNumberFormat="1" applyFont="1" applyFill="1" applyBorder="1" applyAlignment="1" applyProtection="1">
      <alignment horizontal="center" vertical="center" wrapText="1"/>
    </xf>
    <xf numFmtId="0" fontId="15" fillId="4" borderId="21" xfId="9" applyFont="1" applyFill="1" applyBorder="1" applyAlignment="1" applyProtection="1">
      <alignment horizontal="center" vertical="center" wrapText="1"/>
    </xf>
    <xf numFmtId="0" fontId="12" fillId="0" borderId="22" xfId="10" applyNumberFormat="1" applyFont="1" applyFill="1" applyBorder="1" applyAlignment="1" applyProtection="1">
      <alignment horizontal="left" vertical="center" wrapText="1"/>
      <protection locked="0"/>
    </xf>
    <xf numFmtId="0" fontId="3" fillId="0" borderId="20" xfId="2" applyFill="1" applyBorder="1" applyAlignment="1" applyProtection="1">
      <alignment vertical="top" wrapText="1"/>
      <protection locked="0"/>
    </xf>
    <xf numFmtId="0" fontId="15" fillId="2" borderId="20" xfId="3" applyFont="1" applyFill="1" applyBorder="1" applyAlignment="1" applyProtection="1">
      <alignment vertical="top"/>
      <protection locked="0"/>
    </xf>
    <xf numFmtId="0" fontId="15" fillId="2" borderId="20" xfId="3" applyFont="1" applyFill="1" applyBorder="1" applyAlignment="1" applyProtection="1">
      <alignment horizontal="center" vertical="center"/>
      <protection locked="0"/>
    </xf>
    <xf numFmtId="0" fontId="15" fillId="2" borderId="1" xfId="4" applyFont="1" applyFill="1" applyBorder="1" applyAlignment="1" applyProtection="1">
      <alignment horizontal="center" vertical="center"/>
      <protection locked="0"/>
    </xf>
    <xf numFmtId="9" fontId="12" fillId="2" borderId="1" xfId="19" applyFont="1" applyFill="1" applyBorder="1" applyAlignment="1" applyProtection="1">
      <alignment horizontal="center" vertical="center" wrapText="1"/>
      <protection locked="0"/>
    </xf>
    <xf numFmtId="9" fontId="16" fillId="2" borderId="1" xfId="19" applyFont="1" applyFill="1" applyBorder="1" applyAlignment="1" applyProtection="1">
      <alignment horizontal="center" vertical="center" wrapText="1"/>
      <protection locked="0"/>
    </xf>
    <xf numFmtId="9" fontId="12" fillId="2" borderId="1" xfId="19" applyNumberFormat="1" applyFont="1" applyFill="1" applyBorder="1" applyAlignment="1" applyProtection="1">
      <alignment horizontal="center" vertical="center" wrapText="1"/>
      <protection locked="0"/>
    </xf>
    <xf numFmtId="9" fontId="12" fillId="2" borderId="1" xfId="22" applyFont="1" applyFill="1" applyBorder="1" applyAlignment="1" applyProtection="1">
      <alignment horizontal="center" vertical="center" wrapText="1"/>
      <protection locked="0"/>
    </xf>
    <xf numFmtId="166" fontId="12" fillId="2" borderId="1" xfId="22" applyNumberFormat="1" applyFont="1" applyFill="1" applyBorder="1" applyAlignment="1" applyProtection="1">
      <alignment horizontal="center" vertical="center" wrapText="1"/>
      <protection locked="0"/>
    </xf>
    <xf numFmtId="44" fontId="15" fillId="2" borderId="20" xfId="23" applyFont="1" applyFill="1" applyBorder="1" applyAlignment="1" applyProtection="1">
      <alignment horizontal="center" vertical="center" wrapText="1"/>
    </xf>
    <xf numFmtId="43" fontId="12" fillId="2" borderId="1" xfId="11" applyFont="1" applyFill="1" applyBorder="1" applyAlignment="1" applyProtection="1">
      <alignment horizontal="center" vertical="center" wrapText="1"/>
    </xf>
    <xf numFmtId="164" fontId="15" fillId="2" borderId="1" xfId="15" applyNumberFormat="1" applyFont="1" applyFill="1" applyBorder="1" applyAlignment="1" applyProtection="1">
      <alignment horizontal="center" vertical="center" wrapText="1"/>
    </xf>
    <xf numFmtId="0" fontId="15" fillId="2" borderId="21" xfId="9" applyFont="1" applyFill="1" applyBorder="1" applyAlignment="1" applyProtection="1">
      <alignment horizontal="center" vertical="center" wrapText="1"/>
    </xf>
    <xf numFmtId="0" fontId="17" fillId="2" borderId="22" xfId="10" applyNumberFormat="1" applyFont="1" applyFill="1" applyBorder="1" applyAlignment="1" applyProtection="1">
      <alignment horizontal="left" vertical="center" wrapText="1"/>
      <protection locked="0"/>
    </xf>
    <xf numFmtId="164" fontId="12" fillId="4" borderId="1" xfId="15" applyNumberFormat="1" applyFont="1" applyFill="1" applyBorder="1" applyAlignment="1" applyProtection="1">
      <alignment horizontal="center" vertical="center" wrapText="1"/>
      <protection locked="0"/>
    </xf>
    <xf numFmtId="0" fontId="12" fillId="0" borderId="22" xfId="11" applyNumberFormat="1" applyFont="1" applyFill="1" applyBorder="1" applyAlignment="1" applyProtection="1">
      <alignment horizontal="justify" wrapText="1"/>
      <protection locked="0"/>
    </xf>
    <xf numFmtId="165" fontId="15" fillId="2" borderId="20" xfId="23" applyNumberFormat="1" applyFont="1" applyFill="1" applyBorder="1" applyAlignment="1" applyProtection="1">
      <alignment horizontal="center" vertical="center" wrapText="1"/>
    </xf>
    <xf numFmtId="164" fontId="12" fillId="2" borderId="1" xfId="15" applyNumberFormat="1" applyFont="1" applyFill="1" applyBorder="1" applyAlignment="1" applyProtection="1">
      <alignment horizontal="center" vertical="center" wrapText="1"/>
      <protection locked="0"/>
    </xf>
    <xf numFmtId="0" fontId="15" fillId="0" borderId="20" xfId="3" applyFont="1" applyFill="1" applyBorder="1" applyAlignment="1" applyProtection="1">
      <alignment vertical="top"/>
      <protection locked="0"/>
    </xf>
    <xf numFmtId="9" fontId="16" fillId="0" borderId="1" xfId="19" applyFont="1" applyFill="1" applyBorder="1" applyAlignment="1" applyProtection="1">
      <alignment horizontal="center" vertical="center" wrapText="1"/>
      <protection locked="0"/>
    </xf>
    <xf numFmtId="165" fontId="15" fillId="0" borderId="20" xfId="23" applyNumberFormat="1" applyFont="1" applyFill="1" applyBorder="1" applyAlignment="1" applyProtection="1">
      <alignment horizontal="center" vertical="center" wrapText="1"/>
    </xf>
    <xf numFmtId="164" fontId="12" fillId="0" borderId="1" xfId="15" applyNumberFormat="1" applyFont="1" applyFill="1" applyBorder="1" applyAlignment="1" applyProtection="1">
      <alignment horizontal="center" vertical="center" wrapText="1"/>
      <protection locked="0"/>
    </xf>
    <xf numFmtId="164" fontId="15" fillId="0" borderId="1" xfId="15" applyNumberFormat="1" applyFont="1" applyFill="1" applyBorder="1" applyAlignment="1" applyProtection="1">
      <alignment horizontal="center" vertical="center" wrapText="1"/>
    </xf>
    <xf numFmtId="0" fontId="15" fillId="0" borderId="21" xfId="9" applyFont="1" applyFill="1" applyBorder="1" applyAlignment="1" applyProtection="1">
      <alignment horizontal="center" vertical="center" wrapText="1"/>
    </xf>
    <xf numFmtId="0" fontId="18" fillId="0" borderId="22" xfId="11" applyNumberFormat="1" applyFont="1" applyFill="1" applyBorder="1" applyAlignment="1" applyProtection="1">
      <alignment horizontal="justify" vertical="center" wrapText="1"/>
      <protection locked="0"/>
    </xf>
    <xf numFmtId="0" fontId="15" fillId="2" borderId="1" xfId="11" applyNumberFormat="1" applyFont="1" applyFill="1" applyBorder="1" applyAlignment="1" applyProtection="1">
      <alignment horizontal="center" vertical="center"/>
    </xf>
    <xf numFmtId="0" fontId="17" fillId="2" borderId="22" xfId="10" applyNumberFormat="1" applyFont="1" applyFill="1" applyBorder="1" applyAlignment="1" applyProtection="1">
      <alignment horizontal="justify" vertical="top" wrapText="1"/>
      <protection locked="0"/>
    </xf>
    <xf numFmtId="0" fontId="12" fillId="0" borderId="22" xfId="10" applyNumberFormat="1" applyFont="1" applyFill="1" applyBorder="1" applyAlignment="1" applyProtection="1">
      <alignment horizontal="justify" vertical="center" wrapText="1"/>
      <protection locked="0"/>
    </xf>
    <xf numFmtId="0" fontId="12" fillId="0" borderId="22" xfId="11" applyNumberFormat="1" applyFont="1" applyFill="1" applyBorder="1" applyAlignment="1" applyProtection="1">
      <alignment horizontal="left" vertical="center" wrapText="1"/>
      <protection locked="0"/>
    </xf>
    <xf numFmtId="164" fontId="12" fillId="0" borderId="20" xfId="15" applyNumberFormat="1" applyFont="1" applyFill="1" applyBorder="1" applyAlignment="1" applyProtection="1">
      <alignment vertical="center"/>
    </xf>
    <xf numFmtId="164" fontId="12" fillId="0" borderId="1" xfId="15" applyNumberFormat="1" applyFont="1" applyFill="1" applyBorder="1" applyAlignment="1" applyProtection="1">
      <alignment vertical="center"/>
    </xf>
    <xf numFmtId="164" fontId="12" fillId="0" borderId="21" xfId="15" applyNumberFormat="1" applyFont="1" applyFill="1" applyBorder="1" applyAlignment="1" applyProtection="1">
      <alignment vertical="center"/>
    </xf>
    <xf numFmtId="0" fontId="20" fillId="0" borderId="22" xfId="11" applyNumberFormat="1" applyFont="1" applyFill="1" applyBorder="1" applyAlignment="1" applyProtection="1">
      <alignment horizontal="justify" vertical="justify" wrapText="1"/>
      <protection locked="0"/>
    </xf>
    <xf numFmtId="164" fontId="12" fillId="2" borderId="20" xfId="15" applyNumberFormat="1" applyFont="1" applyFill="1" applyBorder="1" applyAlignment="1" applyProtection="1">
      <alignment vertical="center"/>
    </xf>
    <xf numFmtId="164" fontId="12" fillId="2" borderId="1" xfId="15" applyNumberFormat="1" applyFont="1" applyFill="1" applyBorder="1" applyAlignment="1" applyProtection="1">
      <alignment vertical="center"/>
    </xf>
    <xf numFmtId="164" fontId="12" fillId="2" borderId="21" xfId="15" applyNumberFormat="1" applyFont="1" applyFill="1" applyBorder="1" applyAlignment="1" applyProtection="1">
      <alignment vertical="center"/>
    </xf>
    <xf numFmtId="0" fontId="17" fillId="2" borderId="22" xfId="11" applyNumberFormat="1" applyFont="1" applyFill="1" applyBorder="1" applyAlignment="1" applyProtection="1">
      <alignment horizontal="justify" vertical="center" wrapText="1"/>
      <protection locked="0"/>
    </xf>
    <xf numFmtId="165" fontId="15" fillId="4" borderId="20" xfId="23" applyNumberFormat="1" applyFont="1" applyFill="1" applyBorder="1" applyAlignment="1" applyProtection="1">
      <alignment vertical="center" wrapText="1"/>
    </xf>
    <xf numFmtId="44" fontId="22" fillId="2" borderId="20" xfId="23" applyFont="1" applyFill="1" applyBorder="1" applyAlignment="1" applyProtection="1">
      <alignment horizontal="left" vertical="center" wrapText="1"/>
    </xf>
    <xf numFmtId="43" fontId="12" fillId="2" borderId="1" xfId="11" applyFont="1" applyFill="1" applyBorder="1" applyAlignment="1" applyProtection="1">
      <alignment horizontal="left" vertical="center" wrapText="1"/>
    </xf>
    <xf numFmtId="0" fontId="15" fillId="2" borderId="1" xfId="9" applyFont="1" applyFill="1" applyBorder="1" applyAlignment="1" applyProtection="1">
      <alignment horizontal="left" vertical="center" wrapText="1"/>
    </xf>
    <xf numFmtId="0" fontId="15" fillId="2" borderId="22" xfId="9" applyFont="1" applyFill="1" applyBorder="1" applyAlignment="1" applyProtection="1">
      <alignment horizontal="left" vertical="center" wrapText="1"/>
    </xf>
    <xf numFmtId="0" fontId="17" fillId="2" borderId="22" xfId="11" applyNumberFormat="1" applyFont="1" applyFill="1" applyBorder="1" applyAlignment="1" applyProtection="1">
      <alignment horizontal="left" vertical="center" wrapText="1"/>
      <protection locked="0"/>
    </xf>
    <xf numFmtId="0" fontId="12" fillId="0" borderId="22" xfId="11" applyNumberFormat="1" applyFont="1" applyFill="1" applyBorder="1" applyAlignment="1" applyProtection="1">
      <alignment horizontal="justify" vertical="center" wrapText="1"/>
      <protection locked="0"/>
    </xf>
    <xf numFmtId="164" fontId="15" fillId="4" borderId="1" xfId="15" applyNumberFormat="1" applyFont="1" applyFill="1" applyBorder="1" applyAlignment="1" applyProtection="1">
      <alignment horizontal="center" vertical="center" wrapText="1"/>
      <protection locked="0"/>
    </xf>
    <xf numFmtId="0" fontId="15" fillId="2" borderId="21" xfId="9" applyFont="1" applyFill="1" applyBorder="1" applyAlignment="1" applyProtection="1">
      <alignment horizontal="left" vertical="center" wrapText="1"/>
    </xf>
    <xf numFmtId="44" fontId="22" fillId="0" borderId="20" xfId="23" applyFont="1" applyFill="1" applyBorder="1" applyAlignment="1" applyProtection="1">
      <alignment vertical="center" wrapText="1"/>
    </xf>
    <xf numFmtId="43" fontId="12" fillId="0" borderId="1" xfId="11" applyFont="1" applyFill="1" applyBorder="1" applyAlignment="1" applyProtection="1">
      <alignment horizontal="center" vertical="center" wrapText="1"/>
    </xf>
    <xf numFmtId="0" fontId="23" fillId="0" borderId="16" xfId="9" applyFont="1" applyBorder="1" applyAlignment="1">
      <alignment vertical="center"/>
    </xf>
    <xf numFmtId="44" fontId="22" fillId="2" borderId="20" xfId="23" applyFont="1" applyFill="1" applyBorder="1" applyAlignment="1" applyProtection="1">
      <alignment vertical="center" wrapText="1"/>
    </xf>
    <xf numFmtId="0" fontId="3" fillId="0" borderId="20" xfId="2" applyFill="1" applyBorder="1" applyAlignment="1" applyProtection="1">
      <alignment vertical="center" wrapText="1"/>
      <protection locked="0"/>
    </xf>
    <xf numFmtId="44" fontId="15" fillId="0" borderId="20" xfId="23" applyFont="1" applyFill="1" applyBorder="1" applyAlignment="1" applyProtection="1">
      <alignment vertical="center" wrapText="1"/>
    </xf>
    <xf numFmtId="0" fontId="15" fillId="2" borderId="20" xfId="3" applyFont="1" applyFill="1" applyBorder="1" applyAlignment="1" applyProtection="1">
      <alignment vertical="center"/>
      <protection locked="0"/>
    </xf>
    <xf numFmtId="0" fontId="17" fillId="2" borderId="22" xfId="10" applyNumberFormat="1" applyFont="1" applyFill="1" applyBorder="1" applyAlignment="1" applyProtection="1">
      <alignment horizontal="justify" vertical="center" wrapText="1"/>
      <protection locked="0"/>
    </xf>
    <xf numFmtId="0" fontId="15" fillId="0" borderId="20" xfId="3" applyFont="1" applyFill="1" applyBorder="1" applyAlignment="1" applyProtection="1">
      <alignment vertical="center"/>
      <protection locked="0"/>
    </xf>
    <xf numFmtId="43" fontId="24" fillId="0" borderId="23" xfId="11" applyFont="1" applyFill="1" applyBorder="1" applyAlignment="1" applyProtection="1">
      <alignment horizontal="center" vertical="center" wrapText="1"/>
      <protection locked="0"/>
    </xf>
    <xf numFmtId="165" fontId="15" fillId="4" borderId="20" xfId="23" applyNumberFormat="1" applyFont="1" applyFill="1" applyBorder="1" applyAlignment="1" applyProtection="1">
      <alignment horizontal="left" vertical="center" wrapText="1"/>
    </xf>
    <xf numFmtId="0" fontId="3" fillId="0" borderId="0" xfId="8" applyFill="1" applyAlignment="1" applyProtection="1">
      <alignment horizontal="center" vertical="center" wrapText="1"/>
      <protection locked="0"/>
    </xf>
    <xf numFmtId="1" fontId="25" fillId="0" borderId="20" xfId="15" applyNumberFormat="1" applyFont="1" applyFill="1" applyBorder="1" applyAlignment="1" applyProtection="1">
      <alignment horizontal="center" vertical="center" wrapText="1"/>
      <protection locked="0"/>
    </xf>
    <xf numFmtId="164" fontId="15" fillId="0" borderId="1" xfId="15" applyNumberFormat="1" applyFont="1" applyFill="1" applyBorder="1" applyAlignment="1" applyProtection="1">
      <alignment horizontal="center" vertical="center" wrapText="1"/>
      <protection locked="0"/>
    </xf>
    <xf numFmtId="43" fontId="26" fillId="0" borderId="21" xfId="11" applyFont="1" applyFill="1" applyBorder="1" applyAlignment="1" applyProtection="1">
      <alignment horizontal="center" vertical="center" wrapText="1"/>
      <protection locked="0"/>
    </xf>
    <xf numFmtId="1" fontId="25" fillId="2" borderId="20" xfId="15" applyNumberFormat="1" applyFont="1" applyFill="1" applyBorder="1" applyAlignment="1" applyProtection="1">
      <alignment horizontal="center" vertical="center" wrapText="1"/>
      <protection locked="0"/>
    </xf>
    <xf numFmtId="164" fontId="15" fillId="2" borderId="1" xfId="15" applyNumberFormat="1" applyFont="1" applyFill="1" applyBorder="1" applyAlignment="1" applyProtection="1">
      <alignment horizontal="center" vertical="center" wrapText="1"/>
      <protection locked="0"/>
    </xf>
    <xf numFmtId="43" fontId="26" fillId="2" borderId="21" xfId="11" applyFont="1" applyFill="1" applyBorder="1" applyAlignment="1" applyProtection="1">
      <alignment horizontal="center" vertical="center" wrapText="1"/>
      <protection locked="0"/>
    </xf>
    <xf numFmtId="43" fontId="24" fillId="0" borderId="23" xfId="11" applyFont="1" applyFill="1" applyBorder="1" applyAlignment="1" applyProtection="1">
      <alignment horizontal="center" wrapText="1"/>
      <protection locked="0"/>
    </xf>
    <xf numFmtId="9" fontId="12" fillId="2" borderId="21" xfId="22" applyFont="1" applyFill="1" applyBorder="1" applyAlignment="1" applyProtection="1">
      <alignment horizontal="center" vertical="center" wrapText="1"/>
      <protection locked="0"/>
    </xf>
    <xf numFmtId="164" fontId="0" fillId="0" borderId="21" xfId="0" applyNumberFormat="1" applyBorder="1" applyAlignment="1">
      <alignment horizontal="center" vertical="center"/>
    </xf>
    <xf numFmtId="43" fontId="24" fillId="2" borderId="20" xfId="11" applyFont="1" applyFill="1" applyBorder="1" applyAlignment="1" applyProtection="1">
      <alignment horizontal="center" wrapText="1"/>
      <protection locked="0"/>
    </xf>
    <xf numFmtId="43" fontId="9" fillId="2" borderId="1" xfId="11" applyFont="1" applyFill="1" applyBorder="1" applyAlignment="1" applyProtection="1">
      <alignment horizontal="center" wrapText="1"/>
      <protection locked="0"/>
    </xf>
    <xf numFmtId="0" fontId="24" fillId="2" borderId="1" xfId="11" applyNumberFormat="1" applyFont="1" applyFill="1" applyBorder="1" applyAlignment="1" applyProtection="1">
      <alignment horizontal="center" wrapText="1"/>
      <protection locked="0"/>
    </xf>
    <xf numFmtId="43" fontId="28" fillId="2" borderId="1" xfId="12" applyFont="1" applyFill="1" applyBorder="1" applyAlignment="1" applyProtection="1">
      <alignment horizontal="center" wrapText="1"/>
      <protection locked="0"/>
    </xf>
    <xf numFmtId="43" fontId="24" fillId="2" borderId="1" xfId="12" applyFont="1" applyFill="1" applyBorder="1" applyAlignment="1" applyProtection="1">
      <alignment horizontal="center" wrapText="1"/>
      <protection locked="0"/>
    </xf>
    <xf numFmtId="9" fontId="22" fillId="2" borderId="1" xfId="19" applyFont="1" applyFill="1" applyBorder="1" applyAlignment="1" applyProtection="1">
      <alignment horizontal="center" wrapText="1"/>
      <protection locked="0"/>
    </xf>
    <xf numFmtId="9" fontId="22" fillId="2" borderId="1" xfId="19" applyNumberFormat="1" applyFont="1" applyFill="1" applyBorder="1" applyAlignment="1" applyProtection="1">
      <alignment horizontal="center" wrapText="1"/>
      <protection locked="0"/>
    </xf>
    <xf numFmtId="9" fontId="29" fillId="2" borderId="1" xfId="24" applyFont="1" applyFill="1" applyBorder="1" applyAlignment="1" applyProtection="1">
      <alignment horizontal="center" wrapText="1"/>
      <protection locked="0"/>
    </xf>
    <xf numFmtId="9" fontId="22" fillId="2" borderId="1" xfId="25" applyFont="1" applyFill="1" applyBorder="1" applyAlignment="1" applyProtection="1">
      <alignment horizontal="center" wrapText="1"/>
      <protection locked="0"/>
    </xf>
    <xf numFmtId="9" fontId="22" fillId="2" borderId="16" xfId="22" applyFont="1" applyFill="1" applyBorder="1" applyAlignment="1" applyProtection="1">
      <alignment horizontal="center" wrapText="1"/>
      <protection locked="0"/>
    </xf>
    <xf numFmtId="166" fontId="22" fillId="2" borderId="16" xfId="22" applyNumberFormat="1" applyFont="1" applyFill="1" applyBorder="1" applyAlignment="1" applyProtection="1">
      <alignment horizontal="center" wrapText="1"/>
      <protection locked="0"/>
    </xf>
    <xf numFmtId="164" fontId="25" fillId="2" borderId="21" xfId="26" applyNumberFormat="1" applyFont="1" applyFill="1" applyBorder="1" applyAlignment="1" applyProtection="1">
      <alignment horizontal="center" vertical="top" wrapText="1"/>
      <protection locked="0"/>
    </xf>
    <xf numFmtId="1" fontId="25" fillId="2" borderId="20" xfId="15" applyNumberFormat="1" applyFont="1" applyFill="1" applyBorder="1" applyAlignment="1" applyProtection="1">
      <alignment horizontal="center" wrapText="1"/>
      <protection locked="0"/>
    </xf>
    <xf numFmtId="164" fontId="12" fillId="2" borderId="1" xfId="15" applyNumberFormat="1" applyFont="1" applyFill="1" applyBorder="1" applyAlignment="1" applyProtection="1">
      <alignment horizontal="center" wrapText="1"/>
      <protection locked="0"/>
    </xf>
    <xf numFmtId="164" fontId="11" fillId="2" borderId="1" xfId="15" applyNumberFormat="1" applyFont="1" applyFill="1" applyBorder="1" applyAlignment="1" applyProtection="1">
      <alignment horizontal="center" wrapText="1"/>
      <protection locked="0"/>
    </xf>
    <xf numFmtId="43" fontId="29" fillId="2" borderId="21" xfId="11" applyFont="1" applyFill="1" applyBorder="1" applyAlignment="1" applyProtection="1">
      <alignment horizontal="center" wrapText="1"/>
      <protection locked="0"/>
    </xf>
    <xf numFmtId="0" fontId="17" fillId="2" borderId="22" xfId="11" applyNumberFormat="1" applyFont="1" applyFill="1" applyBorder="1" applyAlignment="1" applyProtection="1">
      <alignment horizontal="justify" vertical="top" wrapText="1"/>
      <protection locked="0"/>
    </xf>
    <xf numFmtId="43" fontId="24" fillId="2" borderId="24" xfId="11" applyFont="1" applyFill="1" applyBorder="1" applyAlignment="1" applyProtection="1">
      <alignment horizontal="center" wrapText="1"/>
      <protection locked="0"/>
    </xf>
    <xf numFmtId="43" fontId="9" fillId="2" borderId="25" xfId="11" applyFont="1" applyFill="1" applyBorder="1" applyAlignment="1" applyProtection="1">
      <alignment horizontal="center" wrapText="1"/>
      <protection locked="0"/>
    </xf>
    <xf numFmtId="0" fontId="24" fillId="2" borderId="16" xfId="11" applyNumberFormat="1" applyFont="1" applyFill="1" applyBorder="1" applyAlignment="1" applyProtection="1">
      <alignment horizontal="center" wrapText="1"/>
      <protection locked="0"/>
    </xf>
    <xf numFmtId="43" fontId="28" fillId="2" borderId="0" xfId="12" applyFont="1" applyFill="1" applyBorder="1" applyAlignment="1" applyProtection="1">
      <alignment horizontal="center" wrapText="1"/>
      <protection locked="0"/>
    </xf>
    <xf numFmtId="43" fontId="24" fillId="2" borderId="0" xfId="12" applyFont="1" applyFill="1" applyBorder="1" applyAlignment="1" applyProtection="1">
      <alignment horizontal="center" wrapText="1"/>
      <protection locked="0"/>
    </xf>
    <xf numFmtId="9" fontId="22" fillId="2" borderId="0" xfId="19" applyFont="1" applyFill="1" applyBorder="1" applyAlignment="1" applyProtection="1">
      <alignment horizontal="center" wrapText="1"/>
      <protection locked="0"/>
    </xf>
    <xf numFmtId="9" fontId="22" fillId="2" borderId="0" xfId="19" applyNumberFormat="1" applyFont="1" applyFill="1" applyBorder="1" applyAlignment="1" applyProtection="1">
      <alignment horizontal="center" wrapText="1"/>
      <protection locked="0"/>
    </xf>
    <xf numFmtId="9" fontId="29" fillId="2" borderId="0" xfId="24" applyFont="1" applyFill="1" applyBorder="1" applyAlignment="1" applyProtection="1">
      <alignment horizontal="center" wrapText="1"/>
      <protection locked="0"/>
    </xf>
    <xf numFmtId="9" fontId="22" fillId="2" borderId="0" xfId="25" applyFont="1" applyFill="1" applyBorder="1" applyAlignment="1" applyProtection="1">
      <alignment horizontal="center" wrapText="1"/>
      <protection locked="0"/>
    </xf>
    <xf numFmtId="9" fontId="22" fillId="2" borderId="0" xfId="22" applyFont="1" applyFill="1" applyBorder="1" applyAlignment="1" applyProtection="1">
      <alignment horizontal="center" wrapText="1"/>
      <protection locked="0"/>
    </xf>
    <xf numFmtId="166" fontId="22" fillId="2" borderId="0" xfId="22" applyNumberFormat="1" applyFont="1" applyFill="1" applyBorder="1" applyAlignment="1" applyProtection="1">
      <alignment horizontal="center" wrapText="1"/>
      <protection locked="0"/>
    </xf>
    <xf numFmtId="43" fontId="25" fillId="2" borderId="26" xfId="26" applyFont="1" applyFill="1" applyBorder="1" applyAlignment="1" applyProtection="1">
      <alignment horizontal="center" vertical="top" wrapText="1"/>
      <protection locked="0"/>
    </xf>
    <xf numFmtId="1" fontId="9" fillId="2" borderId="24" xfId="15" applyNumberFormat="1" applyFont="1" applyFill="1" applyBorder="1" applyAlignment="1" applyProtection="1">
      <alignment horizontal="center" wrapText="1"/>
      <protection locked="0"/>
    </xf>
    <xf numFmtId="164" fontId="3" fillId="2" borderId="25" xfId="15" applyNumberFormat="1" applyFont="1" applyFill="1" applyBorder="1" applyAlignment="1" applyProtection="1">
      <alignment horizontal="center" wrapText="1"/>
      <protection locked="0"/>
    </xf>
    <xf numFmtId="164" fontId="11" fillId="2" borderId="25" xfId="15" applyNumberFormat="1" applyFont="1" applyFill="1" applyBorder="1" applyAlignment="1" applyProtection="1">
      <alignment horizontal="center" wrapText="1"/>
      <protection locked="0"/>
    </xf>
    <xf numFmtId="43" fontId="24" fillId="2" borderId="27" xfId="11" applyFont="1" applyFill="1" applyBorder="1" applyAlignment="1" applyProtection="1">
      <alignment horizontal="center" wrapText="1"/>
      <protection locked="0"/>
    </xf>
    <xf numFmtId="0" fontId="14" fillId="2" borderId="28" xfId="11" applyNumberFormat="1" applyFont="1" applyFill="1" applyBorder="1" applyAlignment="1" applyProtection="1">
      <alignment horizontal="left" vertical="top" wrapText="1"/>
      <protection locked="0"/>
    </xf>
    <xf numFmtId="43" fontId="24" fillId="0" borderId="20" xfId="11" applyFont="1" applyFill="1" applyBorder="1" applyAlignment="1" applyProtection="1">
      <alignment horizontal="center" wrapText="1"/>
      <protection locked="0"/>
    </xf>
    <xf numFmtId="43" fontId="4" fillId="0" borderId="1" xfId="11" applyFont="1" applyFill="1" applyBorder="1" applyAlignment="1" applyProtection="1">
      <alignment horizontal="center" wrapText="1"/>
      <protection locked="0"/>
    </xf>
    <xf numFmtId="0" fontId="24" fillId="0" borderId="1" xfId="11" applyNumberFormat="1" applyFont="1" applyFill="1" applyBorder="1" applyAlignment="1" applyProtection="1">
      <alignment horizontal="center" wrapText="1"/>
      <protection locked="0"/>
    </xf>
    <xf numFmtId="43" fontId="28" fillId="0" borderId="1" xfId="12" applyFont="1" applyFill="1" applyBorder="1" applyAlignment="1" applyProtection="1">
      <alignment horizontal="center" wrapText="1"/>
      <protection locked="0"/>
    </xf>
    <xf numFmtId="43" fontId="4" fillId="0" borderId="1" xfId="12" applyFont="1" applyFill="1" applyBorder="1" applyAlignment="1" applyProtection="1">
      <alignment horizontal="center" wrapText="1"/>
      <protection locked="0"/>
    </xf>
    <xf numFmtId="43" fontId="4" fillId="0" borderId="1" xfId="12" applyFont="1" applyFill="1" applyBorder="1" applyAlignment="1" applyProtection="1">
      <alignment horizontal="center" textRotation="90" wrapText="1"/>
      <protection locked="0"/>
    </xf>
    <xf numFmtId="43" fontId="24" fillId="0" borderId="1" xfId="27" applyFont="1" applyFill="1" applyBorder="1" applyAlignment="1" applyProtection="1">
      <alignment horizontal="center" wrapText="1"/>
      <protection locked="0"/>
    </xf>
    <xf numFmtId="43" fontId="4" fillId="0" borderId="1" xfId="13" applyFont="1" applyFill="1" applyBorder="1" applyAlignment="1" applyProtection="1">
      <alignment horizontal="center" wrapText="1"/>
      <protection locked="0"/>
    </xf>
    <xf numFmtId="43" fontId="4" fillId="0" borderId="1" xfId="14" applyFont="1" applyFill="1" applyBorder="1" applyAlignment="1" applyProtection="1">
      <alignment horizontal="center" textRotation="90" wrapText="1"/>
      <protection locked="0"/>
    </xf>
    <xf numFmtId="43" fontId="25" fillId="0" borderId="29" xfId="26" applyFont="1" applyFill="1" applyBorder="1" applyAlignment="1" applyProtection="1">
      <alignment horizontal="center" vertical="top" wrapText="1"/>
      <protection locked="0"/>
    </xf>
    <xf numFmtId="1" fontId="9" fillId="0" borderId="20" xfId="15" applyNumberFormat="1" applyFont="1" applyFill="1" applyBorder="1" applyAlignment="1" applyProtection="1">
      <alignment horizontal="center" wrapText="1"/>
      <protection locked="0"/>
    </xf>
    <xf numFmtId="164" fontId="3" fillId="0" borderId="1" xfId="15" applyNumberFormat="1" applyFont="1" applyFill="1" applyBorder="1" applyAlignment="1" applyProtection="1">
      <alignment horizontal="center" wrapText="1"/>
      <protection locked="0"/>
    </xf>
    <xf numFmtId="164" fontId="11" fillId="0" borderId="1" xfId="15" applyNumberFormat="1" applyFont="1" applyFill="1" applyBorder="1" applyAlignment="1" applyProtection="1">
      <alignment horizontal="center" wrapText="1"/>
      <protection locked="0"/>
    </xf>
    <xf numFmtId="43" fontId="24" fillId="0" borderId="21" xfId="11" applyFont="1" applyFill="1" applyBorder="1" applyAlignment="1" applyProtection="1">
      <alignment horizontal="center" wrapText="1"/>
      <protection locked="0"/>
    </xf>
    <xf numFmtId="0" fontId="24" fillId="0" borderId="30" xfId="11" applyNumberFormat="1" applyFont="1" applyFill="1" applyBorder="1" applyAlignment="1" applyProtection="1">
      <alignment horizontal="center" wrapText="1"/>
      <protection locked="0"/>
    </xf>
    <xf numFmtId="43" fontId="4" fillId="0" borderId="31" xfId="11" applyFont="1" applyFill="1" applyBorder="1" applyAlignment="1" applyProtection="1">
      <alignment horizontal="center" wrapText="1"/>
      <protection locked="0"/>
    </xf>
    <xf numFmtId="43" fontId="4" fillId="0" borderId="32" xfId="11" applyFont="1" applyFill="1" applyBorder="1" applyAlignment="1" applyProtection="1">
      <alignment horizontal="center" wrapText="1"/>
      <protection locked="0"/>
    </xf>
    <xf numFmtId="0" fontId="4" fillId="0" borderId="32" xfId="11" applyNumberFormat="1" applyFont="1" applyFill="1" applyBorder="1" applyAlignment="1" applyProtection="1">
      <alignment horizontal="center" wrapText="1"/>
      <protection locked="0"/>
    </xf>
    <xf numFmtId="43" fontId="2" fillId="0" borderId="7" xfId="12" applyFont="1" applyFill="1" applyBorder="1" applyAlignment="1" applyProtection="1">
      <alignment horizontal="center" wrapText="1"/>
      <protection locked="0"/>
    </xf>
    <xf numFmtId="43" fontId="4" fillId="0" borderId="7" xfId="27" applyFont="1" applyFill="1" applyBorder="1" applyAlignment="1" applyProtection="1">
      <alignment horizontal="center" wrapText="1"/>
      <protection locked="0"/>
    </xf>
    <xf numFmtId="43" fontId="11" fillId="0" borderId="6" xfId="26" applyFont="1" applyFill="1" applyBorder="1" applyAlignment="1" applyProtection="1">
      <alignment horizontal="center" wrapText="1"/>
      <protection locked="0"/>
    </xf>
    <xf numFmtId="1" fontId="4" fillId="0" borderId="31" xfId="15" applyNumberFormat="1" applyFont="1" applyFill="1" applyBorder="1" applyAlignment="1" applyProtection="1">
      <alignment horizontal="center" wrapText="1"/>
      <protection locked="0"/>
    </xf>
    <xf numFmtId="43" fontId="4" fillId="0" borderId="33" xfId="11" applyFont="1" applyFill="1" applyBorder="1" applyAlignment="1" applyProtection="1">
      <alignment horizontal="center" wrapText="1"/>
      <protection locked="0"/>
    </xf>
    <xf numFmtId="0" fontId="4" fillId="0" borderId="34" xfId="11" applyNumberFormat="1" applyFont="1" applyFill="1" applyBorder="1" applyAlignment="1" applyProtection="1">
      <alignment horizontal="center" wrapText="1"/>
      <protection locked="0"/>
    </xf>
    <xf numFmtId="0" fontId="3" fillId="0" borderId="0" xfId="2" applyFill="1" applyAlignment="1" applyProtection="1">
      <alignment horizontal="left" vertical="center" wrapText="1"/>
      <protection locked="0"/>
    </xf>
    <xf numFmtId="0" fontId="3" fillId="0" borderId="0" xfId="3" applyFill="1" applyAlignment="1" applyProtection="1">
      <alignment horizontal="left" vertical="center"/>
      <protection locked="0"/>
    </xf>
    <xf numFmtId="43" fontId="3" fillId="0" borderId="0" xfId="11" applyFont="1" applyFill="1" applyAlignment="1" applyProtection="1">
      <alignment horizontal="left" vertical="center"/>
      <protection locked="0"/>
    </xf>
    <xf numFmtId="0" fontId="3" fillId="0" borderId="0" xfId="11" applyNumberFormat="1" applyFill="1" applyAlignment="1" applyProtection="1">
      <alignment horizontal="left" vertical="center"/>
      <protection locked="0"/>
    </xf>
    <xf numFmtId="43" fontId="1" fillId="0" borderId="0" xfId="12" applyFont="1" applyFill="1" applyAlignment="1" applyProtection="1">
      <alignment horizontal="left" vertical="center"/>
      <protection locked="0"/>
    </xf>
    <xf numFmtId="43" fontId="3" fillId="0" borderId="0" xfId="12" applyFill="1" applyAlignment="1" applyProtection="1">
      <alignment horizontal="left" vertical="center"/>
      <protection locked="0"/>
    </xf>
    <xf numFmtId="1" fontId="3" fillId="4" borderId="0" xfId="14" applyNumberFormat="1" applyFont="1" applyFill="1" applyAlignment="1" applyProtection="1">
      <alignment horizontal="left" vertical="center"/>
      <protection locked="0"/>
    </xf>
    <xf numFmtId="1" fontId="3" fillId="4" borderId="0" xfId="26" applyNumberFormat="1" applyFont="1" applyFill="1" applyAlignment="1" applyProtection="1">
      <alignment horizontal="left" vertical="center"/>
      <protection locked="0"/>
    </xf>
    <xf numFmtId="1" fontId="3" fillId="4" borderId="0" xfId="15" applyNumberFormat="1" applyFont="1" applyFill="1" applyAlignment="1" applyProtection="1">
      <alignment horizontal="left" vertical="center"/>
      <protection locked="0"/>
    </xf>
    <xf numFmtId="43" fontId="3" fillId="4" borderId="0" xfId="11" applyFont="1" applyFill="1" applyAlignment="1" applyProtection="1">
      <alignment horizontal="left" vertical="center"/>
      <protection locked="0"/>
    </xf>
    <xf numFmtId="164" fontId="3" fillId="4" borderId="0" xfId="15" applyNumberFormat="1" applyFont="1" applyFill="1" applyAlignment="1" applyProtection="1">
      <alignment horizontal="left" vertical="center"/>
      <protection locked="0"/>
    </xf>
    <xf numFmtId="0" fontId="30" fillId="4" borderId="0" xfId="9" applyFont="1" applyFill="1" applyAlignment="1" applyProtection="1">
      <alignment horizontal="left" vertical="center"/>
      <protection locked="0"/>
    </xf>
    <xf numFmtId="0" fontId="31" fillId="4" borderId="0" xfId="10" applyNumberFormat="1" applyFont="1" applyFill="1" applyAlignment="1" applyProtection="1">
      <alignment horizontal="left" vertical="center"/>
      <protection locked="0"/>
    </xf>
    <xf numFmtId="43" fontId="3" fillId="0" borderId="0" xfId="27" applyFill="1" applyAlignment="1" applyProtection="1">
      <alignment horizontal="left" vertical="center"/>
      <protection locked="0"/>
    </xf>
    <xf numFmtId="43" fontId="3" fillId="0" borderId="0" xfId="13" applyFill="1" applyAlignment="1" applyProtection="1">
      <alignment horizontal="left" vertical="center"/>
      <protection locked="0"/>
    </xf>
    <xf numFmtId="43" fontId="3" fillId="0" borderId="0" xfId="14" applyFill="1" applyAlignment="1" applyProtection="1">
      <alignment horizontal="left" vertical="center"/>
      <protection locked="0"/>
    </xf>
    <xf numFmtId="43" fontId="3" fillId="0" borderId="0" xfId="26" applyFont="1" applyFill="1" applyAlignment="1" applyProtection="1">
      <alignment horizontal="left" vertical="center"/>
      <protection locked="0"/>
    </xf>
    <xf numFmtId="1" fontId="3" fillId="0" borderId="0" xfId="15" applyNumberFormat="1" applyFont="1" applyFill="1" applyAlignment="1" applyProtection="1">
      <alignment horizontal="left" vertical="center"/>
      <protection locked="0"/>
    </xf>
    <xf numFmtId="164" fontId="3" fillId="0" borderId="0" xfId="15" applyNumberFormat="1" applyFont="1" applyFill="1" applyAlignment="1" applyProtection="1">
      <alignment horizontal="left" vertical="center"/>
      <protection locked="0"/>
    </xf>
    <xf numFmtId="0" fontId="3" fillId="0" borderId="0" xfId="9" applyFill="1" applyAlignment="1" applyProtection="1">
      <alignment horizontal="left" vertical="center"/>
      <protection locked="0"/>
    </xf>
    <xf numFmtId="0" fontId="31" fillId="0" borderId="0" xfId="10" applyNumberFormat="1" applyFont="1" applyFill="1" applyBorder="1" applyAlignment="1" applyProtection="1">
      <alignment horizontal="left" vertical="center"/>
      <protection locked="0"/>
    </xf>
    <xf numFmtId="164" fontId="4" fillId="0" borderId="32" xfId="15" applyNumberFormat="1" applyFont="1" applyFill="1" applyBorder="1" applyAlignment="1" applyProtection="1">
      <alignment horizontal="center" wrapText="1"/>
      <protection locked="0"/>
    </xf>
    <xf numFmtId="43" fontId="4" fillId="0" borderId="7" xfId="14" applyFont="1" applyFill="1" applyBorder="1" applyAlignment="1" applyProtection="1">
      <alignment horizontal="center" wrapText="1"/>
      <protection locked="0"/>
    </xf>
    <xf numFmtId="43" fontId="4" fillId="0" borderId="7" xfId="13" applyFont="1" applyFill="1" applyBorder="1" applyAlignment="1" applyProtection="1">
      <alignment horizontal="center" wrapText="1"/>
      <protection locked="0"/>
    </xf>
    <xf numFmtId="43" fontId="4" fillId="0" borderId="7" xfId="12" applyFont="1" applyFill="1" applyBorder="1" applyAlignment="1" applyProtection="1">
      <alignment horizontal="center" wrapText="1"/>
      <protection locked="0"/>
    </xf>
    <xf numFmtId="0" fontId="6" fillId="0" borderId="0" xfId="8" applyFont="1" applyFill="1" applyAlignment="1" applyProtection="1">
      <alignment vertical="center" wrapText="1"/>
      <protection locked="0"/>
    </xf>
    <xf numFmtId="0" fontId="3" fillId="0" borderId="0" xfId="8" applyFill="1" applyAlignment="1">
      <alignment wrapText="1"/>
    </xf>
  </cellXfs>
  <cellStyles count="41">
    <cellStyle name="Comma 10" xfId="27"/>
    <cellStyle name="Comma 13" xfId="12"/>
    <cellStyle name="Comma 3" xfId="15"/>
    <cellStyle name="Comma 6" xfId="26"/>
    <cellStyle name="Comma 7" xfId="14"/>
    <cellStyle name="Comma 8" xfId="13"/>
    <cellStyle name="Comma_Cost ATTs 2 and 5_Fort Irwin RCNLD 07_30_02" xfId="11"/>
    <cellStyle name="Currency" xfId="1" builtinId="4"/>
    <cellStyle name="Currency 11" xfId="20"/>
    <cellStyle name="Currency 12" xfId="21"/>
    <cellStyle name="Currency 13" xfId="16"/>
    <cellStyle name="Currency 3" xfId="23"/>
    <cellStyle name="Currency 7" xfId="18"/>
    <cellStyle name="Currency 8" xfId="17"/>
    <cellStyle name="Grey" xfId="28"/>
    <cellStyle name="Header1" xfId="29"/>
    <cellStyle name="Header2" xfId="30"/>
    <cellStyle name="Input [yellow]" xfId="31"/>
    <cellStyle name="Millares [0]_laroux" xfId="32"/>
    <cellStyle name="Millares_laroux" xfId="33"/>
    <cellStyle name="Moneda [0]_laroux" xfId="34"/>
    <cellStyle name="Moneda_laroux" xfId="35"/>
    <cellStyle name="Normal" xfId="0" builtinId="0"/>
    <cellStyle name="Normal - Style1" xfId="36"/>
    <cellStyle name="Normal 13" xfId="6"/>
    <cellStyle name="Normal 14" xfId="5"/>
    <cellStyle name="Normal 15" xfId="4"/>
    <cellStyle name="Normal 2" xfId="10"/>
    <cellStyle name="Normal 20" xfId="3"/>
    <cellStyle name="Normal 21" xfId="2"/>
    <cellStyle name="Normal 3" xfId="9"/>
    <cellStyle name="Normal 7" xfId="8"/>
    <cellStyle name="Normal 8" xfId="7"/>
    <cellStyle name="Œ…‹æØ‚è [0.00]_PRODUCT DETAIL Q1" xfId="37"/>
    <cellStyle name="Œ…‹æØ‚è_PRODUCT DETAIL Q1" xfId="38"/>
    <cellStyle name="Percent [2]" xfId="39"/>
    <cellStyle name="Percent 10" xfId="24"/>
    <cellStyle name="Percent 13" xfId="19"/>
    <cellStyle name="Percent 7" xfId="22"/>
    <cellStyle name="Percent 8" xfId="25"/>
    <cellStyle name="producto" xfId="4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475"/>
  <sheetViews>
    <sheetView tabSelected="1" view="pageBreakPreview" zoomScale="60" workbookViewId="0">
      <pane xSplit="1" ySplit="4" topLeftCell="B170" activePane="bottomRight" state="frozen"/>
      <selection pane="topRight" activeCell="B1" sqref="B1"/>
      <selection pane="bottomLeft" activeCell="A5" sqref="A5"/>
      <selection pane="bottomRight" activeCell="Q88" sqref="Q88"/>
    </sheetView>
  </sheetViews>
  <sheetFormatPr defaultRowHeight="12.75"/>
  <cols>
    <col min="1" max="1" width="62.7109375" bestFit="1" customWidth="1"/>
    <col min="3" max="3" width="9.85546875" bestFit="1" customWidth="1"/>
    <col min="4" max="4" width="5.140625" bestFit="1" customWidth="1"/>
    <col min="5" max="5" width="14" bestFit="1" customWidth="1"/>
    <col min="6" max="6" width="15.5703125" bestFit="1" customWidth="1"/>
    <col min="7" max="7" width="9.140625" customWidth="1"/>
    <col min="12" max="12" width="15.42578125" hidden="1" customWidth="1"/>
    <col min="13" max="13" width="12" hidden="1" customWidth="1"/>
    <col min="14" max="14" width="14" hidden="1" customWidth="1"/>
    <col min="15" max="16" width="15.140625" hidden="1" customWidth="1"/>
    <col min="17" max="17" width="18.140625" customWidth="1"/>
    <col min="21" max="21" width="15.42578125" bestFit="1" customWidth="1"/>
    <col min="22" max="22" width="14" hidden="1" customWidth="1"/>
    <col min="23" max="23" width="18.42578125" hidden="1" customWidth="1"/>
    <col min="24" max="24" width="14.85546875" hidden="1" customWidth="1"/>
    <col min="25" max="25" width="12.28515625" hidden="1" customWidth="1"/>
    <col min="26" max="26" width="19.42578125" style="1" bestFit="1" customWidth="1"/>
    <col min="30" max="30" width="75" customWidth="1"/>
  </cols>
  <sheetData>
    <row r="1" spans="1:30" ht="23.25">
      <c r="A1" s="338" t="s">
        <v>192</v>
      </c>
      <c r="B1" s="337"/>
      <c r="C1" s="336"/>
      <c r="D1" s="320"/>
      <c r="E1" s="335"/>
      <c r="F1" s="334"/>
      <c r="G1" s="333"/>
      <c r="H1" s="333"/>
      <c r="I1" s="333"/>
      <c r="J1" s="333"/>
      <c r="K1" s="333"/>
      <c r="L1" s="332"/>
      <c r="M1" s="332"/>
      <c r="N1" s="332"/>
      <c r="O1" s="332"/>
      <c r="P1" s="332"/>
      <c r="Q1" s="331"/>
      <c r="R1" s="323"/>
      <c r="S1" s="323"/>
      <c r="T1" s="323"/>
      <c r="U1" s="323"/>
      <c r="V1" s="323"/>
      <c r="W1" s="323"/>
      <c r="X1" s="323"/>
      <c r="Y1" s="323"/>
      <c r="Z1" s="322"/>
      <c r="AA1" s="321"/>
      <c r="AB1" s="320"/>
      <c r="AC1" s="319"/>
      <c r="AD1" s="318"/>
    </row>
    <row r="2" spans="1:30" ht="24" thickBot="1">
      <c r="A2" s="330" t="s">
        <v>197</v>
      </c>
      <c r="B2" s="329" t="s">
        <v>198</v>
      </c>
      <c r="C2" s="328"/>
      <c r="D2" s="327"/>
      <c r="E2" s="326"/>
      <c r="F2" s="325"/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3"/>
      <c r="S2" s="323"/>
      <c r="T2" s="323"/>
      <c r="U2" s="323"/>
      <c r="V2" s="323"/>
      <c r="W2" s="323"/>
      <c r="X2" s="323"/>
      <c r="Y2" s="323"/>
      <c r="Z2" s="322"/>
      <c r="AA2" s="321"/>
      <c r="AB2" s="320"/>
      <c r="AC2" s="319"/>
      <c r="AD2" s="318"/>
    </row>
    <row r="3" spans="1:30" ht="55.5" customHeight="1">
      <c r="A3" s="317" t="s">
        <v>191</v>
      </c>
      <c r="B3" s="316" t="s">
        <v>190</v>
      </c>
      <c r="C3" s="339" t="s">
        <v>189</v>
      </c>
      <c r="D3" s="339"/>
      <c r="E3" s="315" t="s">
        <v>188</v>
      </c>
      <c r="F3" s="314" t="s">
        <v>187</v>
      </c>
      <c r="G3" s="340" t="s">
        <v>186</v>
      </c>
      <c r="H3" s="340"/>
      <c r="I3" s="340"/>
      <c r="J3" s="340"/>
      <c r="K3" s="340"/>
      <c r="L3" s="341" t="s">
        <v>185</v>
      </c>
      <c r="M3" s="341"/>
      <c r="N3" s="341"/>
      <c r="O3" s="341"/>
      <c r="P3" s="341"/>
      <c r="Q3" s="313" t="s">
        <v>184</v>
      </c>
      <c r="R3" s="342" t="s">
        <v>183</v>
      </c>
      <c r="S3" s="342"/>
      <c r="T3" s="342"/>
      <c r="U3" s="342"/>
      <c r="V3" s="342" t="s">
        <v>182</v>
      </c>
      <c r="W3" s="342"/>
      <c r="X3" s="342"/>
      <c r="Y3" s="342"/>
      <c r="Z3" s="312" t="s">
        <v>181</v>
      </c>
      <c r="AA3" s="311" t="s">
        <v>180</v>
      </c>
      <c r="AB3" s="310" t="s">
        <v>179</v>
      </c>
      <c r="AC3" s="309" t="s">
        <v>178</v>
      </c>
      <c r="AD3" s="309" t="s">
        <v>177</v>
      </c>
    </row>
    <row r="4" spans="1:30" ht="109.5">
      <c r="A4" s="308"/>
      <c r="B4" s="307"/>
      <c r="C4" s="306"/>
      <c r="D4" s="305"/>
      <c r="E4" s="304"/>
      <c r="F4" s="303"/>
      <c r="G4" s="302" t="s">
        <v>176</v>
      </c>
      <c r="H4" s="302" t="s">
        <v>175</v>
      </c>
      <c r="I4" s="302" t="s">
        <v>174</v>
      </c>
      <c r="J4" s="302" t="s">
        <v>173</v>
      </c>
      <c r="K4" s="302" t="s">
        <v>172</v>
      </c>
      <c r="L4" s="301" t="s">
        <v>176</v>
      </c>
      <c r="M4" s="301" t="s">
        <v>175</v>
      </c>
      <c r="N4" s="301" t="s">
        <v>174</v>
      </c>
      <c r="O4" s="301" t="s">
        <v>173</v>
      </c>
      <c r="P4" s="301" t="s">
        <v>172</v>
      </c>
      <c r="Q4" s="300"/>
      <c r="R4" s="299" t="s">
        <v>170</v>
      </c>
      <c r="S4" s="299" t="s">
        <v>169</v>
      </c>
      <c r="T4" s="299" t="s">
        <v>171</v>
      </c>
      <c r="U4" s="299" t="s">
        <v>167</v>
      </c>
      <c r="V4" s="298" t="s">
        <v>170</v>
      </c>
      <c r="W4" s="298" t="s">
        <v>169</v>
      </c>
      <c r="X4" s="298" t="s">
        <v>168</v>
      </c>
      <c r="Y4" s="298" t="s">
        <v>167</v>
      </c>
      <c r="Z4" s="297"/>
      <c r="AA4" s="296"/>
      <c r="AB4" s="295" t="s">
        <v>166</v>
      </c>
      <c r="AC4" s="294"/>
      <c r="AD4" s="257"/>
    </row>
    <row r="5" spans="1:30" ht="20.25">
      <c r="A5" s="293" t="s">
        <v>165</v>
      </c>
      <c r="B5" s="292"/>
      <c r="C5" s="291"/>
      <c r="D5" s="290"/>
      <c r="E5" s="289"/>
      <c r="F5" s="288"/>
      <c r="G5" s="286"/>
      <c r="H5" s="286"/>
      <c r="I5" s="286"/>
      <c r="J5" s="287"/>
      <c r="K5" s="286"/>
      <c r="L5" s="285"/>
      <c r="M5" s="285"/>
      <c r="N5" s="285"/>
      <c r="O5" s="285"/>
      <c r="P5" s="285"/>
      <c r="Q5" s="284"/>
      <c r="R5" s="283"/>
      <c r="S5" s="283"/>
      <c r="T5" s="283"/>
      <c r="U5" s="282"/>
      <c r="V5" s="281"/>
      <c r="W5" s="281"/>
      <c r="X5" s="281"/>
      <c r="Y5" s="281"/>
      <c r="Z5" s="280"/>
      <c r="AA5" s="279"/>
      <c r="AB5" s="278"/>
      <c r="AC5" s="277"/>
      <c r="AD5" s="277"/>
    </row>
    <row r="6" spans="1:30" ht="22.5" customHeight="1">
      <c r="A6" s="276" t="s">
        <v>164</v>
      </c>
      <c r="B6" s="275"/>
      <c r="C6" s="274"/>
      <c r="D6" s="273"/>
      <c r="E6" s="272"/>
      <c r="F6" s="271"/>
      <c r="G6" s="269"/>
      <c r="H6" s="269"/>
      <c r="I6" s="269"/>
      <c r="J6" s="270"/>
      <c r="K6" s="269"/>
      <c r="L6" s="268"/>
      <c r="M6" s="268"/>
      <c r="N6" s="268"/>
      <c r="O6" s="268"/>
      <c r="P6" s="268"/>
      <c r="Q6" s="267"/>
      <c r="R6" s="266"/>
      <c r="S6" s="266"/>
      <c r="T6" s="266"/>
      <c r="U6" s="265"/>
      <c r="V6" s="264"/>
      <c r="W6" s="264"/>
      <c r="X6" s="264"/>
      <c r="Y6" s="264"/>
      <c r="Z6" s="263"/>
      <c r="AA6" s="262"/>
      <c r="AB6" s="261"/>
      <c r="AC6" s="260"/>
      <c r="AD6" s="260"/>
    </row>
    <row r="7" spans="1:30" ht="30">
      <c r="A7" s="220" t="s">
        <v>163</v>
      </c>
      <c r="B7" s="191"/>
      <c r="C7" s="237">
        <v>200</v>
      </c>
      <c r="D7" s="207" t="s">
        <v>3</v>
      </c>
      <c r="E7" s="230">
        <v>50</v>
      </c>
      <c r="F7" s="259">
        <f>E7*C7</f>
        <v>10000</v>
      </c>
      <c r="G7" s="186">
        <v>0.05</v>
      </c>
      <c r="H7" s="186">
        <v>0.02</v>
      </c>
      <c r="I7" s="186">
        <v>0.05</v>
      </c>
      <c r="J7" s="187">
        <v>0.122</v>
      </c>
      <c r="K7" s="186">
        <v>0.1</v>
      </c>
      <c r="L7" s="171">
        <f>F7*G7</f>
        <v>500</v>
      </c>
      <c r="M7" s="171">
        <f>(F7+L7)*H7</f>
        <v>210</v>
      </c>
      <c r="N7" s="171">
        <f>(F7+L7+M7)*I7</f>
        <v>535.5</v>
      </c>
      <c r="O7" s="171">
        <f>(F7+L7+M7+N7)*J7</f>
        <v>1371.951</v>
      </c>
      <c r="P7" s="171">
        <f>(F7+L7+M7+N7+O7)*K7</f>
        <v>1261.7451000000001</v>
      </c>
      <c r="Q7" s="170">
        <f>F7+SUM(L7:P7)</f>
        <v>13879.196100000001</v>
      </c>
      <c r="R7" s="185">
        <v>0.05</v>
      </c>
      <c r="S7" s="185">
        <v>0.05</v>
      </c>
      <c r="T7" s="185">
        <v>0.05</v>
      </c>
      <c r="U7" s="184">
        <v>0.1</v>
      </c>
      <c r="V7" s="167">
        <f>Q7*R7</f>
        <v>693.95980500000007</v>
      </c>
      <c r="W7" s="167">
        <f>Q7*S7</f>
        <v>693.95980500000007</v>
      </c>
      <c r="X7" s="167">
        <f>Q7*T7</f>
        <v>693.95980500000007</v>
      </c>
      <c r="Y7" s="167">
        <f>U7*(V7+W7)</f>
        <v>138.79196100000001</v>
      </c>
      <c r="Z7" s="183">
        <f>Q7+SUM(V7:Y7)</f>
        <v>16099.867476000001</v>
      </c>
      <c r="AA7" s="182">
        <v>75</v>
      </c>
      <c r="AB7" s="181"/>
      <c r="AC7" s="180">
        <v>75</v>
      </c>
      <c r="AD7" s="248"/>
    </row>
    <row r="8" spans="1:30" ht="45">
      <c r="A8" s="220" t="s">
        <v>162</v>
      </c>
      <c r="B8" s="191"/>
      <c r="C8" s="237">
        <v>0</v>
      </c>
      <c r="D8" s="207" t="s">
        <v>3</v>
      </c>
      <c r="E8" s="230">
        <v>25</v>
      </c>
      <c r="F8" s="259">
        <f>E8*C8</f>
        <v>0</v>
      </c>
      <c r="G8" s="186">
        <v>0.05</v>
      </c>
      <c r="H8" s="186">
        <v>0.02</v>
      </c>
      <c r="I8" s="186">
        <v>0.05</v>
      </c>
      <c r="J8" s="187">
        <v>0.122</v>
      </c>
      <c r="K8" s="186">
        <v>0.1</v>
      </c>
      <c r="L8" s="171">
        <f>F8*G8</f>
        <v>0</v>
      </c>
      <c r="M8" s="171">
        <f>(F8+L8)*H8</f>
        <v>0</v>
      </c>
      <c r="N8" s="171">
        <f>(F8+L8+M8)*I8</f>
        <v>0</v>
      </c>
      <c r="O8" s="171">
        <f>(F8+L8+M8+N8)*J8</f>
        <v>0</v>
      </c>
      <c r="P8" s="171">
        <f>(F8+L8+M8+N8+O8)*K8</f>
        <v>0</v>
      </c>
      <c r="Q8" s="170">
        <f>F8+SUM(L8:P8)</f>
        <v>0</v>
      </c>
      <c r="R8" s="185">
        <v>0.05</v>
      </c>
      <c r="S8" s="185">
        <v>0.05</v>
      </c>
      <c r="T8" s="185">
        <v>0.05</v>
      </c>
      <c r="U8" s="184">
        <v>0.1</v>
      </c>
      <c r="V8" s="167">
        <f>Q8*R8</f>
        <v>0</v>
      </c>
      <c r="W8" s="167">
        <f>Q8*S8</f>
        <v>0</v>
      </c>
      <c r="X8" s="167">
        <f>Q8*T8</f>
        <v>0</v>
      </c>
      <c r="Y8" s="167">
        <f>U8*(V8+W8)</f>
        <v>0</v>
      </c>
      <c r="Z8" s="183">
        <f>Q8+SUM(V8:Y8)</f>
        <v>0</v>
      </c>
      <c r="AA8" s="182">
        <v>75</v>
      </c>
      <c r="AB8" s="181"/>
      <c r="AC8" s="180">
        <v>75</v>
      </c>
      <c r="AD8" s="248"/>
    </row>
    <row r="9" spans="1:30" ht="30">
      <c r="A9" s="220" t="s">
        <v>161</v>
      </c>
      <c r="B9" s="191"/>
      <c r="C9" s="237">
        <v>200</v>
      </c>
      <c r="D9" s="207" t="s">
        <v>3</v>
      </c>
      <c r="E9" s="230">
        <v>75</v>
      </c>
      <c r="F9" s="259">
        <f>E9*C9</f>
        <v>15000</v>
      </c>
      <c r="G9" s="186">
        <v>0.05</v>
      </c>
      <c r="H9" s="186">
        <v>0.02</v>
      </c>
      <c r="I9" s="186">
        <v>0.05</v>
      </c>
      <c r="J9" s="187">
        <v>0.122</v>
      </c>
      <c r="K9" s="186">
        <v>0.1</v>
      </c>
      <c r="L9" s="171">
        <f>F9*G9</f>
        <v>750</v>
      </c>
      <c r="M9" s="171">
        <f>(F9+L9)*H9</f>
        <v>315</v>
      </c>
      <c r="N9" s="171">
        <f>(F9+L9+M9)*I9</f>
        <v>803.25</v>
      </c>
      <c r="O9" s="171">
        <f>(F9+L9+M9+N9)*J9</f>
        <v>2057.9265</v>
      </c>
      <c r="P9" s="171">
        <f>(F9+L9+M9+N9+O9)*K9</f>
        <v>1892.6176500000001</v>
      </c>
      <c r="Q9" s="170">
        <f>F9+SUM(L9:P9)</f>
        <v>20818.794150000002</v>
      </c>
      <c r="R9" s="185">
        <v>0.05</v>
      </c>
      <c r="S9" s="185">
        <v>0.05</v>
      </c>
      <c r="T9" s="185">
        <v>0.05</v>
      </c>
      <c r="U9" s="184">
        <v>0.1</v>
      </c>
      <c r="V9" s="167">
        <f>Q9*R9</f>
        <v>1040.9397075000002</v>
      </c>
      <c r="W9" s="167">
        <f>Q9*S9</f>
        <v>1040.9397075000002</v>
      </c>
      <c r="X9" s="167">
        <f>Q9*T9</f>
        <v>1040.9397075000002</v>
      </c>
      <c r="Y9" s="167">
        <f>U9*(V9+W9)</f>
        <v>208.18794150000005</v>
      </c>
      <c r="Z9" s="183">
        <f>Q9+SUM(V9:Y9)</f>
        <v>24149.801214000003</v>
      </c>
      <c r="AA9" s="182">
        <v>75</v>
      </c>
      <c r="AB9" s="181"/>
      <c r="AC9" s="180">
        <v>75</v>
      </c>
      <c r="AD9" s="248"/>
    </row>
    <row r="10" spans="1:30" ht="18">
      <c r="A10" s="229" t="s">
        <v>160</v>
      </c>
      <c r="B10" s="255"/>
      <c r="C10" s="255"/>
      <c r="D10" s="210"/>
      <c r="E10" s="254"/>
      <c r="F10" s="258"/>
      <c r="G10" s="200"/>
      <c r="H10" s="200"/>
      <c r="I10" s="200"/>
      <c r="J10" s="201"/>
      <c r="K10" s="200"/>
      <c r="L10" s="200"/>
      <c r="M10" s="200"/>
      <c r="N10" s="200"/>
      <c r="O10" s="200"/>
      <c r="P10" s="200"/>
      <c r="Q10" s="200"/>
      <c r="R10" s="199"/>
      <c r="S10" s="199"/>
      <c r="T10" s="199"/>
      <c r="U10" s="197"/>
      <c r="V10" s="197"/>
      <c r="W10" s="197"/>
      <c r="X10" s="197"/>
      <c r="Y10" s="197"/>
      <c r="Z10" s="198"/>
      <c r="AA10" s="197"/>
      <c r="AB10" s="197"/>
      <c r="AC10" s="195"/>
      <c r="AD10" s="257"/>
    </row>
    <row r="11" spans="1:30" ht="30.75">
      <c r="A11" s="236" t="s">
        <v>159</v>
      </c>
      <c r="B11" s="191"/>
      <c r="C11" s="237">
        <v>0</v>
      </c>
      <c r="D11" s="207" t="s">
        <v>3</v>
      </c>
      <c r="E11" s="230">
        <v>175</v>
      </c>
      <c r="F11" s="174">
        <f>E11*C11</f>
        <v>0</v>
      </c>
      <c r="G11" s="186">
        <v>0.05</v>
      </c>
      <c r="H11" s="186">
        <v>0.02</v>
      </c>
      <c r="I11" s="186">
        <v>0.05</v>
      </c>
      <c r="J11" s="187">
        <v>0.122</v>
      </c>
      <c r="K11" s="186">
        <v>0.1</v>
      </c>
      <c r="L11" s="171">
        <f>F11*G11</f>
        <v>0</v>
      </c>
      <c r="M11" s="171">
        <f>(F11+L11)*H11</f>
        <v>0</v>
      </c>
      <c r="N11" s="171">
        <f>(F11+L11+M11)*I11</f>
        <v>0</v>
      </c>
      <c r="O11" s="171">
        <f>(F11+L11+M11+N11)*J11</f>
        <v>0</v>
      </c>
      <c r="P11" s="171">
        <f>(F11+L11+M11+N11+O11)*K11</f>
        <v>0</v>
      </c>
      <c r="Q11" s="170">
        <f>F11+SUM(L11:P11)</f>
        <v>0</v>
      </c>
      <c r="R11" s="185">
        <v>0.05</v>
      </c>
      <c r="S11" s="185">
        <v>0.05</v>
      </c>
      <c r="T11" s="185">
        <v>0.05</v>
      </c>
      <c r="U11" s="184">
        <v>0.1</v>
      </c>
      <c r="V11" s="167">
        <f>Q11*R11</f>
        <v>0</v>
      </c>
      <c r="W11" s="167">
        <f>Q11*S11</f>
        <v>0</v>
      </c>
      <c r="X11" s="167">
        <f>Q11*T11</f>
        <v>0</v>
      </c>
      <c r="Y11" s="167">
        <f>U11*(V11+W11)</f>
        <v>0</v>
      </c>
      <c r="Z11" s="183">
        <f>Q11+SUM(V11:Y11)</f>
        <v>0</v>
      </c>
      <c r="AA11" s="182">
        <v>75</v>
      </c>
      <c r="AB11" s="181"/>
      <c r="AC11" s="180">
        <v>75</v>
      </c>
      <c r="AD11" s="248"/>
    </row>
    <row r="12" spans="1:30" ht="15.75">
      <c r="A12" s="236" t="s">
        <v>158</v>
      </c>
      <c r="B12" s="191"/>
      <c r="C12" s="237">
        <v>0</v>
      </c>
      <c r="D12" s="207" t="s">
        <v>3</v>
      </c>
      <c r="E12" s="230">
        <v>75</v>
      </c>
      <c r="F12" s="174">
        <f>E12*C12</f>
        <v>0</v>
      </c>
      <c r="G12" s="186">
        <v>0.05</v>
      </c>
      <c r="H12" s="186">
        <v>0.02</v>
      </c>
      <c r="I12" s="186">
        <v>0.05</v>
      </c>
      <c r="J12" s="187">
        <v>0.122</v>
      </c>
      <c r="K12" s="186">
        <v>0.1</v>
      </c>
      <c r="L12" s="171">
        <f>F12*G12</f>
        <v>0</v>
      </c>
      <c r="M12" s="171">
        <f>(F12+L12)*H12</f>
        <v>0</v>
      </c>
      <c r="N12" s="171">
        <f>(F12+L12+M12)*I12</f>
        <v>0</v>
      </c>
      <c r="O12" s="171">
        <f>(F12+L12+M12+N12)*J12</f>
        <v>0</v>
      </c>
      <c r="P12" s="171">
        <f>(F12+L12+M12+N12+O12)*K12</f>
        <v>0</v>
      </c>
      <c r="Q12" s="170">
        <f>F12+SUM(L12:P12)</f>
        <v>0</v>
      </c>
      <c r="R12" s="185">
        <v>0.05</v>
      </c>
      <c r="S12" s="185">
        <v>0.05</v>
      </c>
      <c r="T12" s="185">
        <v>0.05</v>
      </c>
      <c r="U12" s="184">
        <v>0.1</v>
      </c>
      <c r="V12" s="167">
        <f>Q12*R12</f>
        <v>0</v>
      </c>
      <c r="W12" s="167">
        <f>Q12*S12</f>
        <v>0</v>
      </c>
      <c r="X12" s="167">
        <f>Q12*T12</f>
        <v>0</v>
      </c>
      <c r="Y12" s="167">
        <f>U12*(V12+W12)</f>
        <v>0</v>
      </c>
      <c r="Z12" s="183">
        <f>Q12+SUM(V12:Y12)</f>
        <v>0</v>
      </c>
      <c r="AA12" s="182">
        <v>75</v>
      </c>
      <c r="AB12" s="181"/>
      <c r="AC12" s="180">
        <v>75</v>
      </c>
      <c r="AD12" s="248"/>
    </row>
    <row r="13" spans="1:30" ht="108">
      <c r="A13" s="229" t="s">
        <v>157</v>
      </c>
      <c r="B13" s="256"/>
      <c r="C13" s="255"/>
      <c r="D13" s="210"/>
      <c r="E13" s="254"/>
      <c r="F13" s="200"/>
      <c r="G13" s="200"/>
      <c r="H13" s="200"/>
      <c r="I13" s="200"/>
      <c r="J13" s="201"/>
      <c r="K13" s="200"/>
      <c r="L13" s="200"/>
      <c r="M13" s="200"/>
      <c r="N13" s="200"/>
      <c r="O13" s="200"/>
      <c r="P13" s="200"/>
      <c r="Q13" s="200"/>
      <c r="R13" s="199"/>
      <c r="S13" s="199"/>
      <c r="T13" s="199"/>
      <c r="U13" s="197"/>
      <c r="V13" s="197"/>
      <c r="W13" s="197"/>
      <c r="X13" s="197"/>
      <c r="Y13" s="197"/>
      <c r="Z13" s="198"/>
      <c r="AA13" s="197"/>
      <c r="AB13" s="196"/>
      <c r="AC13" s="195"/>
      <c r="AD13" s="245"/>
    </row>
    <row r="14" spans="1:30" ht="75">
      <c r="A14" s="217" t="s">
        <v>156</v>
      </c>
      <c r="B14" s="253"/>
      <c r="C14" s="252"/>
      <c r="D14" s="214"/>
      <c r="E14" s="251"/>
      <c r="F14" s="186"/>
      <c r="G14" s="186"/>
      <c r="H14" s="186"/>
      <c r="I14" s="250"/>
      <c r="J14" s="186"/>
      <c r="K14" s="186"/>
      <c r="L14" s="186"/>
      <c r="M14" s="186"/>
      <c r="N14" s="186"/>
      <c r="O14" s="186"/>
      <c r="P14" s="186"/>
      <c r="Q14" s="186"/>
      <c r="R14" s="185"/>
      <c r="S14" s="185"/>
      <c r="T14" s="185"/>
      <c r="U14" s="184"/>
      <c r="V14" s="184"/>
      <c r="W14" s="184"/>
      <c r="X14" s="184"/>
      <c r="Y14" s="184"/>
      <c r="Z14" s="212"/>
      <c r="AA14" s="184"/>
      <c r="AB14" s="181"/>
      <c r="AC14" s="180"/>
      <c r="AD14" s="211"/>
    </row>
    <row r="15" spans="1:30" ht="15.75">
      <c r="A15" s="236" t="s">
        <v>155</v>
      </c>
      <c r="B15" s="191"/>
      <c r="C15" s="237">
        <v>0</v>
      </c>
      <c r="D15" s="207" t="s">
        <v>3</v>
      </c>
      <c r="E15" s="249">
        <v>161</v>
      </c>
      <c r="F15" s="174">
        <f t="shared" ref="F15:F28" si="0">E15*C15</f>
        <v>0</v>
      </c>
      <c r="G15" s="186">
        <v>0.05</v>
      </c>
      <c r="H15" s="186">
        <v>0.02</v>
      </c>
      <c r="I15" s="186">
        <v>0.05</v>
      </c>
      <c r="J15" s="187">
        <v>0.122</v>
      </c>
      <c r="K15" s="186">
        <v>0.1</v>
      </c>
      <c r="L15" s="171">
        <f t="shared" ref="L15:L28" si="1">F15*G15</f>
        <v>0</v>
      </c>
      <c r="M15" s="171">
        <f t="shared" ref="M15:M28" si="2">(F15+L15)*H15</f>
        <v>0</v>
      </c>
      <c r="N15" s="171">
        <f t="shared" ref="N15:N28" si="3">(F15+L15+M15)*I15</f>
        <v>0</v>
      </c>
      <c r="O15" s="171">
        <f t="shared" ref="O15:O28" si="4">(F15+L15+M15+N15)*J15</f>
        <v>0</v>
      </c>
      <c r="P15" s="171">
        <f t="shared" ref="P15:P28" si="5">(F15+L15+M15+N15+O15)*K15</f>
        <v>0</v>
      </c>
      <c r="Q15" s="170">
        <f t="shared" ref="Q15:Q28" si="6">F15+SUM(L15:P15)</f>
        <v>0</v>
      </c>
      <c r="R15" s="185">
        <v>0.05</v>
      </c>
      <c r="S15" s="185">
        <v>0.05</v>
      </c>
      <c r="T15" s="185">
        <v>0.05</v>
      </c>
      <c r="U15" s="184">
        <v>0.1</v>
      </c>
      <c r="V15" s="167">
        <f t="shared" ref="V15:V28" si="7">Q15*R15</f>
        <v>0</v>
      </c>
      <c r="W15" s="167">
        <f t="shared" ref="W15:W28" si="8">Q15*S15</f>
        <v>0</v>
      </c>
      <c r="X15" s="167">
        <f t="shared" ref="X15:X28" si="9">Q15*T15</f>
        <v>0</v>
      </c>
      <c r="Y15" s="167">
        <f t="shared" ref="Y15:Y28" si="10">U15*(V15+W15)</f>
        <v>0</v>
      </c>
      <c r="Z15" s="183">
        <f t="shared" ref="Z15:Z28" si="11">Q15+SUM(V15:Y15)</f>
        <v>0</v>
      </c>
      <c r="AA15" s="182">
        <v>60</v>
      </c>
      <c r="AB15" s="181"/>
      <c r="AC15" s="180">
        <v>60</v>
      </c>
      <c r="AD15" s="248"/>
    </row>
    <row r="16" spans="1:30" ht="15.75">
      <c r="A16" s="236" t="s">
        <v>154</v>
      </c>
      <c r="B16" s="191"/>
      <c r="C16" s="237">
        <v>0</v>
      </c>
      <c r="D16" s="207" t="s">
        <v>3</v>
      </c>
      <c r="E16" s="249">
        <v>175</v>
      </c>
      <c r="F16" s="174">
        <f t="shared" si="0"/>
        <v>0</v>
      </c>
      <c r="G16" s="186">
        <v>0.05</v>
      </c>
      <c r="H16" s="186">
        <v>0.02</v>
      </c>
      <c r="I16" s="186">
        <v>0.05</v>
      </c>
      <c r="J16" s="187">
        <v>0.122</v>
      </c>
      <c r="K16" s="186">
        <v>0.1</v>
      </c>
      <c r="L16" s="171">
        <f t="shared" si="1"/>
        <v>0</v>
      </c>
      <c r="M16" s="171">
        <f t="shared" si="2"/>
        <v>0</v>
      </c>
      <c r="N16" s="171">
        <f t="shared" si="3"/>
        <v>0</v>
      </c>
      <c r="O16" s="171">
        <f t="shared" si="4"/>
        <v>0</v>
      </c>
      <c r="P16" s="171">
        <f t="shared" si="5"/>
        <v>0</v>
      </c>
      <c r="Q16" s="170">
        <f t="shared" si="6"/>
        <v>0</v>
      </c>
      <c r="R16" s="185">
        <v>0.05</v>
      </c>
      <c r="S16" s="185">
        <v>0.05</v>
      </c>
      <c r="T16" s="185">
        <v>0.05</v>
      </c>
      <c r="U16" s="184">
        <v>0.1</v>
      </c>
      <c r="V16" s="167">
        <f t="shared" si="7"/>
        <v>0</v>
      </c>
      <c r="W16" s="167">
        <f t="shared" si="8"/>
        <v>0</v>
      </c>
      <c r="X16" s="167">
        <f t="shared" si="9"/>
        <v>0</v>
      </c>
      <c r="Y16" s="167">
        <f t="shared" si="10"/>
        <v>0</v>
      </c>
      <c r="Z16" s="183">
        <f t="shared" si="11"/>
        <v>0</v>
      </c>
      <c r="AA16" s="182">
        <v>60</v>
      </c>
      <c r="AB16" s="181"/>
      <c r="AC16" s="180">
        <v>60</v>
      </c>
      <c r="AD16" s="248"/>
    </row>
    <row r="17" spans="1:30" ht="15.75">
      <c r="A17" s="236" t="s">
        <v>153</v>
      </c>
      <c r="B17" s="191"/>
      <c r="C17" s="237">
        <v>0</v>
      </c>
      <c r="D17" s="207" t="s">
        <v>3</v>
      </c>
      <c r="E17" s="249">
        <v>191</v>
      </c>
      <c r="F17" s="174">
        <f t="shared" si="0"/>
        <v>0</v>
      </c>
      <c r="G17" s="186">
        <v>0.05</v>
      </c>
      <c r="H17" s="186">
        <v>0.02</v>
      </c>
      <c r="I17" s="186">
        <v>0.05</v>
      </c>
      <c r="J17" s="187">
        <v>0.122</v>
      </c>
      <c r="K17" s="186">
        <v>0.1</v>
      </c>
      <c r="L17" s="171">
        <f t="shared" si="1"/>
        <v>0</v>
      </c>
      <c r="M17" s="171">
        <f t="shared" si="2"/>
        <v>0</v>
      </c>
      <c r="N17" s="171">
        <f t="shared" si="3"/>
        <v>0</v>
      </c>
      <c r="O17" s="171">
        <f t="shared" si="4"/>
        <v>0</v>
      </c>
      <c r="P17" s="171">
        <f t="shared" si="5"/>
        <v>0</v>
      </c>
      <c r="Q17" s="170">
        <f t="shared" si="6"/>
        <v>0</v>
      </c>
      <c r="R17" s="185">
        <v>0.05</v>
      </c>
      <c r="S17" s="185">
        <v>0.05</v>
      </c>
      <c r="T17" s="185">
        <v>0.05</v>
      </c>
      <c r="U17" s="184">
        <v>0.1</v>
      </c>
      <c r="V17" s="167">
        <f t="shared" si="7"/>
        <v>0</v>
      </c>
      <c r="W17" s="167">
        <f t="shared" si="8"/>
        <v>0</v>
      </c>
      <c r="X17" s="167">
        <f t="shared" si="9"/>
        <v>0</v>
      </c>
      <c r="Y17" s="167">
        <f t="shared" si="10"/>
        <v>0</v>
      </c>
      <c r="Z17" s="183">
        <f t="shared" si="11"/>
        <v>0</v>
      </c>
      <c r="AA17" s="182">
        <v>60</v>
      </c>
      <c r="AB17" s="181"/>
      <c r="AC17" s="180">
        <v>60</v>
      </c>
      <c r="AD17" s="248"/>
    </row>
    <row r="18" spans="1:30" ht="15.75">
      <c r="A18" s="236" t="s">
        <v>152</v>
      </c>
      <c r="B18" s="191"/>
      <c r="C18" s="237">
        <v>0</v>
      </c>
      <c r="D18" s="207" t="s">
        <v>3</v>
      </c>
      <c r="E18" s="249">
        <v>233</v>
      </c>
      <c r="F18" s="174">
        <f t="shared" si="0"/>
        <v>0</v>
      </c>
      <c r="G18" s="186">
        <v>0.05</v>
      </c>
      <c r="H18" s="186">
        <v>0.02</v>
      </c>
      <c r="I18" s="186">
        <v>0.05</v>
      </c>
      <c r="J18" s="187">
        <v>0.122</v>
      </c>
      <c r="K18" s="186">
        <v>0.1</v>
      </c>
      <c r="L18" s="171">
        <f t="shared" si="1"/>
        <v>0</v>
      </c>
      <c r="M18" s="171">
        <f t="shared" si="2"/>
        <v>0</v>
      </c>
      <c r="N18" s="171">
        <f t="shared" si="3"/>
        <v>0</v>
      </c>
      <c r="O18" s="171">
        <f t="shared" si="4"/>
        <v>0</v>
      </c>
      <c r="P18" s="171">
        <f t="shared" si="5"/>
        <v>0</v>
      </c>
      <c r="Q18" s="170">
        <f t="shared" si="6"/>
        <v>0</v>
      </c>
      <c r="R18" s="185">
        <v>0.05</v>
      </c>
      <c r="S18" s="185">
        <v>0.05</v>
      </c>
      <c r="T18" s="185">
        <v>0.05</v>
      </c>
      <c r="U18" s="184">
        <v>0.1</v>
      </c>
      <c r="V18" s="167">
        <f t="shared" si="7"/>
        <v>0</v>
      </c>
      <c r="W18" s="167">
        <f t="shared" si="8"/>
        <v>0</v>
      </c>
      <c r="X18" s="167">
        <f t="shared" si="9"/>
        <v>0</v>
      </c>
      <c r="Y18" s="167">
        <f t="shared" si="10"/>
        <v>0</v>
      </c>
      <c r="Z18" s="183">
        <f t="shared" si="11"/>
        <v>0</v>
      </c>
      <c r="AA18" s="182">
        <v>60</v>
      </c>
      <c r="AB18" s="181"/>
      <c r="AC18" s="180">
        <v>60</v>
      </c>
      <c r="AD18" s="248"/>
    </row>
    <row r="19" spans="1:30" ht="15.75">
      <c r="A19" s="236" t="s">
        <v>151</v>
      </c>
      <c r="B19" s="191"/>
      <c r="C19" s="237">
        <v>200</v>
      </c>
      <c r="D19" s="207" t="s">
        <v>3</v>
      </c>
      <c r="E19" s="249">
        <v>292</v>
      </c>
      <c r="F19" s="174">
        <f t="shared" si="0"/>
        <v>58400</v>
      </c>
      <c r="G19" s="186">
        <v>0.05</v>
      </c>
      <c r="H19" s="186">
        <v>0.02</v>
      </c>
      <c r="I19" s="186">
        <v>0.05</v>
      </c>
      <c r="J19" s="187">
        <v>0.122</v>
      </c>
      <c r="K19" s="186">
        <v>0.1</v>
      </c>
      <c r="L19" s="171">
        <f t="shared" si="1"/>
        <v>2920</v>
      </c>
      <c r="M19" s="171">
        <f t="shared" si="2"/>
        <v>1226.4000000000001</v>
      </c>
      <c r="N19" s="171">
        <f t="shared" si="3"/>
        <v>3127.32</v>
      </c>
      <c r="O19" s="171">
        <f t="shared" si="4"/>
        <v>8012.1938399999999</v>
      </c>
      <c r="P19" s="171">
        <f t="shared" si="5"/>
        <v>7368.5913839999994</v>
      </c>
      <c r="Q19" s="170">
        <f t="shared" si="6"/>
        <v>81054.505223999993</v>
      </c>
      <c r="R19" s="185">
        <v>0.05</v>
      </c>
      <c r="S19" s="185">
        <v>0.05</v>
      </c>
      <c r="T19" s="185">
        <v>0.05</v>
      </c>
      <c r="U19" s="184">
        <v>0.1</v>
      </c>
      <c r="V19" s="167">
        <f t="shared" si="7"/>
        <v>4052.7252611999997</v>
      </c>
      <c r="W19" s="167">
        <f t="shared" si="8"/>
        <v>4052.7252611999997</v>
      </c>
      <c r="X19" s="167">
        <f t="shared" si="9"/>
        <v>4052.7252611999997</v>
      </c>
      <c r="Y19" s="167">
        <f t="shared" si="10"/>
        <v>810.54505224000002</v>
      </c>
      <c r="Z19" s="183">
        <f t="shared" si="11"/>
        <v>94023.226059839988</v>
      </c>
      <c r="AA19" s="182">
        <v>60</v>
      </c>
      <c r="AB19" s="181"/>
      <c r="AC19" s="180">
        <v>60</v>
      </c>
      <c r="AD19" s="248"/>
    </row>
    <row r="20" spans="1:30" ht="15.75">
      <c r="A20" s="236" t="s">
        <v>150</v>
      </c>
      <c r="B20" s="191"/>
      <c r="C20" s="237">
        <v>0</v>
      </c>
      <c r="D20" s="207" t="s">
        <v>3</v>
      </c>
      <c r="E20" s="249">
        <v>320</v>
      </c>
      <c r="F20" s="174">
        <f t="shared" si="0"/>
        <v>0</v>
      </c>
      <c r="G20" s="186">
        <v>0.05</v>
      </c>
      <c r="H20" s="186">
        <v>0.02</v>
      </c>
      <c r="I20" s="186">
        <v>0.05</v>
      </c>
      <c r="J20" s="187">
        <v>0.122</v>
      </c>
      <c r="K20" s="186">
        <v>0.1</v>
      </c>
      <c r="L20" s="171">
        <f t="shared" si="1"/>
        <v>0</v>
      </c>
      <c r="M20" s="171">
        <f t="shared" si="2"/>
        <v>0</v>
      </c>
      <c r="N20" s="171">
        <f t="shared" si="3"/>
        <v>0</v>
      </c>
      <c r="O20" s="171">
        <f t="shared" si="4"/>
        <v>0</v>
      </c>
      <c r="P20" s="171">
        <f t="shared" si="5"/>
        <v>0</v>
      </c>
      <c r="Q20" s="170">
        <f t="shared" si="6"/>
        <v>0</v>
      </c>
      <c r="R20" s="185">
        <v>0.05</v>
      </c>
      <c r="S20" s="185">
        <v>0.05</v>
      </c>
      <c r="T20" s="185">
        <v>0.05</v>
      </c>
      <c r="U20" s="184">
        <v>0.1</v>
      </c>
      <c r="V20" s="167">
        <f t="shared" si="7"/>
        <v>0</v>
      </c>
      <c r="W20" s="167">
        <f t="shared" si="8"/>
        <v>0</v>
      </c>
      <c r="X20" s="167">
        <f t="shared" si="9"/>
        <v>0</v>
      </c>
      <c r="Y20" s="167">
        <f t="shared" si="10"/>
        <v>0</v>
      </c>
      <c r="Z20" s="183">
        <f t="shared" si="11"/>
        <v>0</v>
      </c>
      <c r="AA20" s="182">
        <v>60</v>
      </c>
      <c r="AB20" s="181"/>
      <c r="AC20" s="180">
        <v>60</v>
      </c>
      <c r="AD20" s="248"/>
    </row>
    <row r="21" spans="1:30" ht="15.75">
      <c r="A21" s="236" t="s">
        <v>149</v>
      </c>
      <c r="B21" s="191"/>
      <c r="C21" s="237">
        <v>0</v>
      </c>
      <c r="D21" s="207" t="s">
        <v>3</v>
      </c>
      <c r="E21" s="249">
        <v>374</v>
      </c>
      <c r="F21" s="174">
        <f t="shared" si="0"/>
        <v>0</v>
      </c>
      <c r="G21" s="186">
        <v>0.05</v>
      </c>
      <c r="H21" s="186">
        <v>0.02</v>
      </c>
      <c r="I21" s="186">
        <v>0.05</v>
      </c>
      <c r="J21" s="187">
        <v>0.122</v>
      </c>
      <c r="K21" s="186">
        <v>0.1</v>
      </c>
      <c r="L21" s="171">
        <f t="shared" si="1"/>
        <v>0</v>
      </c>
      <c r="M21" s="171">
        <f t="shared" si="2"/>
        <v>0</v>
      </c>
      <c r="N21" s="171">
        <f t="shared" si="3"/>
        <v>0</v>
      </c>
      <c r="O21" s="171">
        <f t="shared" si="4"/>
        <v>0</v>
      </c>
      <c r="P21" s="171">
        <f t="shared" si="5"/>
        <v>0</v>
      </c>
      <c r="Q21" s="170">
        <f t="shared" si="6"/>
        <v>0</v>
      </c>
      <c r="R21" s="185">
        <v>0.05</v>
      </c>
      <c r="S21" s="185">
        <v>0.05</v>
      </c>
      <c r="T21" s="185">
        <v>0.05</v>
      </c>
      <c r="U21" s="184">
        <v>0.1</v>
      </c>
      <c r="V21" s="167">
        <f t="shared" si="7"/>
        <v>0</v>
      </c>
      <c r="W21" s="167">
        <f t="shared" si="8"/>
        <v>0</v>
      </c>
      <c r="X21" s="167">
        <f t="shared" si="9"/>
        <v>0</v>
      </c>
      <c r="Y21" s="167">
        <f t="shared" si="10"/>
        <v>0</v>
      </c>
      <c r="Z21" s="183">
        <f t="shared" si="11"/>
        <v>0</v>
      </c>
      <c r="AA21" s="182">
        <v>60</v>
      </c>
      <c r="AB21" s="181"/>
      <c r="AC21" s="180">
        <v>60</v>
      </c>
      <c r="AD21" s="248"/>
    </row>
    <row r="22" spans="1:30" ht="15.75">
      <c r="A22" s="236" t="s">
        <v>148</v>
      </c>
      <c r="B22" s="191"/>
      <c r="C22" s="237">
        <v>0</v>
      </c>
      <c r="D22" s="207" t="s">
        <v>3</v>
      </c>
      <c r="E22" s="249">
        <v>447</v>
      </c>
      <c r="F22" s="174">
        <f t="shared" si="0"/>
        <v>0</v>
      </c>
      <c r="G22" s="186">
        <v>0.05</v>
      </c>
      <c r="H22" s="186">
        <v>0.02</v>
      </c>
      <c r="I22" s="186">
        <v>0.05</v>
      </c>
      <c r="J22" s="187">
        <v>0.122</v>
      </c>
      <c r="K22" s="186">
        <v>0.1</v>
      </c>
      <c r="L22" s="171">
        <f t="shared" si="1"/>
        <v>0</v>
      </c>
      <c r="M22" s="171">
        <f t="shared" si="2"/>
        <v>0</v>
      </c>
      <c r="N22" s="171">
        <f t="shared" si="3"/>
        <v>0</v>
      </c>
      <c r="O22" s="171">
        <f t="shared" si="4"/>
        <v>0</v>
      </c>
      <c r="P22" s="171">
        <f t="shared" si="5"/>
        <v>0</v>
      </c>
      <c r="Q22" s="170">
        <f t="shared" si="6"/>
        <v>0</v>
      </c>
      <c r="R22" s="185">
        <v>0.05</v>
      </c>
      <c r="S22" s="185">
        <v>0.05</v>
      </c>
      <c r="T22" s="185">
        <v>0.05</v>
      </c>
      <c r="U22" s="184">
        <v>0.1</v>
      </c>
      <c r="V22" s="167">
        <f t="shared" si="7"/>
        <v>0</v>
      </c>
      <c r="W22" s="167">
        <f t="shared" si="8"/>
        <v>0</v>
      </c>
      <c r="X22" s="167">
        <f t="shared" si="9"/>
        <v>0</v>
      </c>
      <c r="Y22" s="167">
        <f t="shared" si="10"/>
        <v>0</v>
      </c>
      <c r="Z22" s="183">
        <f t="shared" si="11"/>
        <v>0</v>
      </c>
      <c r="AA22" s="182">
        <v>60</v>
      </c>
      <c r="AB22" s="181"/>
      <c r="AC22" s="180">
        <v>60</v>
      </c>
      <c r="AD22" s="248"/>
    </row>
    <row r="23" spans="1:30" ht="15.75">
      <c r="A23" s="236" t="s">
        <v>147</v>
      </c>
      <c r="B23" s="191"/>
      <c r="C23" s="237">
        <v>0</v>
      </c>
      <c r="D23" s="207" t="s">
        <v>3</v>
      </c>
      <c r="E23" s="249">
        <v>505</v>
      </c>
      <c r="F23" s="174">
        <f t="shared" si="0"/>
        <v>0</v>
      </c>
      <c r="G23" s="186">
        <v>0.05</v>
      </c>
      <c r="H23" s="186">
        <v>0.02</v>
      </c>
      <c r="I23" s="186">
        <v>0.05</v>
      </c>
      <c r="J23" s="187">
        <v>0.122</v>
      </c>
      <c r="K23" s="186">
        <v>0.1</v>
      </c>
      <c r="L23" s="171">
        <f t="shared" si="1"/>
        <v>0</v>
      </c>
      <c r="M23" s="171">
        <f t="shared" si="2"/>
        <v>0</v>
      </c>
      <c r="N23" s="171">
        <f t="shared" si="3"/>
        <v>0</v>
      </c>
      <c r="O23" s="171">
        <f t="shared" si="4"/>
        <v>0</v>
      </c>
      <c r="P23" s="171">
        <f t="shared" si="5"/>
        <v>0</v>
      </c>
      <c r="Q23" s="170">
        <f t="shared" si="6"/>
        <v>0</v>
      </c>
      <c r="R23" s="185">
        <v>0.05</v>
      </c>
      <c r="S23" s="185">
        <v>0.05</v>
      </c>
      <c r="T23" s="185">
        <v>0.05</v>
      </c>
      <c r="U23" s="184">
        <v>0.1</v>
      </c>
      <c r="V23" s="167">
        <f t="shared" si="7"/>
        <v>0</v>
      </c>
      <c r="W23" s="167">
        <f t="shared" si="8"/>
        <v>0</v>
      </c>
      <c r="X23" s="167">
        <f t="shared" si="9"/>
        <v>0</v>
      </c>
      <c r="Y23" s="167">
        <f t="shared" si="10"/>
        <v>0</v>
      </c>
      <c r="Z23" s="183">
        <f t="shared" si="11"/>
        <v>0</v>
      </c>
      <c r="AA23" s="182">
        <v>60</v>
      </c>
      <c r="AB23" s="181"/>
      <c r="AC23" s="180">
        <v>60</v>
      </c>
      <c r="AD23" s="248"/>
    </row>
    <row r="24" spans="1:30" ht="15.75">
      <c r="A24" s="236" t="s">
        <v>146</v>
      </c>
      <c r="B24" s="191"/>
      <c r="C24" s="237">
        <v>0</v>
      </c>
      <c r="D24" s="207" t="s">
        <v>3</v>
      </c>
      <c r="E24" s="249">
        <v>547</v>
      </c>
      <c r="F24" s="174">
        <f t="shared" si="0"/>
        <v>0</v>
      </c>
      <c r="G24" s="186">
        <v>0.05</v>
      </c>
      <c r="H24" s="186">
        <v>0.02</v>
      </c>
      <c r="I24" s="186">
        <v>0.05</v>
      </c>
      <c r="J24" s="187">
        <v>0.122</v>
      </c>
      <c r="K24" s="186">
        <v>0.1</v>
      </c>
      <c r="L24" s="171">
        <f t="shared" si="1"/>
        <v>0</v>
      </c>
      <c r="M24" s="171">
        <f t="shared" si="2"/>
        <v>0</v>
      </c>
      <c r="N24" s="171">
        <f t="shared" si="3"/>
        <v>0</v>
      </c>
      <c r="O24" s="171">
        <f t="shared" si="4"/>
        <v>0</v>
      </c>
      <c r="P24" s="171">
        <f t="shared" si="5"/>
        <v>0</v>
      </c>
      <c r="Q24" s="170">
        <f t="shared" si="6"/>
        <v>0</v>
      </c>
      <c r="R24" s="185">
        <v>0.05</v>
      </c>
      <c r="S24" s="185">
        <v>0.05</v>
      </c>
      <c r="T24" s="185">
        <v>0.05</v>
      </c>
      <c r="U24" s="184">
        <v>0.1</v>
      </c>
      <c r="V24" s="167">
        <f t="shared" si="7"/>
        <v>0</v>
      </c>
      <c r="W24" s="167">
        <f t="shared" si="8"/>
        <v>0</v>
      </c>
      <c r="X24" s="167">
        <f t="shared" si="9"/>
        <v>0</v>
      </c>
      <c r="Y24" s="167">
        <f t="shared" si="10"/>
        <v>0</v>
      </c>
      <c r="Z24" s="183">
        <f t="shared" si="11"/>
        <v>0</v>
      </c>
      <c r="AA24" s="182">
        <v>60</v>
      </c>
      <c r="AB24" s="181"/>
      <c r="AC24" s="180">
        <v>60</v>
      </c>
      <c r="AD24" s="248"/>
    </row>
    <row r="25" spans="1:30" ht="15.75">
      <c r="A25" s="236" t="s">
        <v>145</v>
      </c>
      <c r="B25" s="191"/>
      <c r="C25" s="237">
        <v>0</v>
      </c>
      <c r="D25" s="207" t="s">
        <v>3</v>
      </c>
      <c r="E25" s="249">
        <v>588</v>
      </c>
      <c r="F25" s="174">
        <f t="shared" si="0"/>
        <v>0</v>
      </c>
      <c r="G25" s="186">
        <v>0.05</v>
      </c>
      <c r="H25" s="186">
        <v>0.02</v>
      </c>
      <c r="I25" s="186">
        <v>0.05</v>
      </c>
      <c r="J25" s="187">
        <v>0.122</v>
      </c>
      <c r="K25" s="186">
        <v>0.1</v>
      </c>
      <c r="L25" s="171">
        <f t="shared" si="1"/>
        <v>0</v>
      </c>
      <c r="M25" s="171">
        <f t="shared" si="2"/>
        <v>0</v>
      </c>
      <c r="N25" s="171">
        <f t="shared" si="3"/>
        <v>0</v>
      </c>
      <c r="O25" s="171">
        <f t="shared" si="4"/>
        <v>0</v>
      </c>
      <c r="P25" s="171">
        <f t="shared" si="5"/>
        <v>0</v>
      </c>
      <c r="Q25" s="170">
        <f t="shared" si="6"/>
        <v>0</v>
      </c>
      <c r="R25" s="185">
        <v>0.05</v>
      </c>
      <c r="S25" s="185">
        <v>0.05</v>
      </c>
      <c r="T25" s="185">
        <v>0.05</v>
      </c>
      <c r="U25" s="184">
        <v>0.1</v>
      </c>
      <c r="V25" s="167">
        <f t="shared" si="7"/>
        <v>0</v>
      </c>
      <c r="W25" s="167">
        <f t="shared" si="8"/>
        <v>0</v>
      </c>
      <c r="X25" s="167">
        <f t="shared" si="9"/>
        <v>0</v>
      </c>
      <c r="Y25" s="167">
        <f t="shared" si="10"/>
        <v>0</v>
      </c>
      <c r="Z25" s="183">
        <f t="shared" si="11"/>
        <v>0</v>
      </c>
      <c r="AA25" s="182">
        <v>60</v>
      </c>
      <c r="AB25" s="181"/>
      <c r="AC25" s="180">
        <v>60</v>
      </c>
      <c r="AD25" s="248"/>
    </row>
    <row r="26" spans="1:30" ht="15.75">
      <c r="A26" s="236" t="s">
        <v>144</v>
      </c>
      <c r="B26" s="191"/>
      <c r="C26" s="237">
        <v>0</v>
      </c>
      <c r="D26" s="207" t="s">
        <v>3</v>
      </c>
      <c r="E26" s="249">
        <v>691</v>
      </c>
      <c r="F26" s="174">
        <f t="shared" si="0"/>
        <v>0</v>
      </c>
      <c r="G26" s="186">
        <v>0.05</v>
      </c>
      <c r="H26" s="186">
        <v>0.02</v>
      </c>
      <c r="I26" s="186">
        <v>0.05</v>
      </c>
      <c r="J26" s="187">
        <v>0.122</v>
      </c>
      <c r="K26" s="186">
        <v>0.1</v>
      </c>
      <c r="L26" s="171">
        <f t="shared" si="1"/>
        <v>0</v>
      </c>
      <c r="M26" s="171">
        <f t="shared" si="2"/>
        <v>0</v>
      </c>
      <c r="N26" s="171">
        <f t="shared" si="3"/>
        <v>0</v>
      </c>
      <c r="O26" s="171">
        <f t="shared" si="4"/>
        <v>0</v>
      </c>
      <c r="P26" s="171">
        <f t="shared" si="5"/>
        <v>0</v>
      </c>
      <c r="Q26" s="170">
        <f t="shared" si="6"/>
        <v>0</v>
      </c>
      <c r="R26" s="185">
        <v>0.05</v>
      </c>
      <c r="S26" s="185">
        <v>0.05</v>
      </c>
      <c r="T26" s="185">
        <v>0.05</v>
      </c>
      <c r="U26" s="184">
        <v>0.1</v>
      </c>
      <c r="V26" s="167">
        <f t="shared" si="7"/>
        <v>0</v>
      </c>
      <c r="W26" s="167">
        <f t="shared" si="8"/>
        <v>0</v>
      </c>
      <c r="X26" s="167">
        <f t="shared" si="9"/>
        <v>0</v>
      </c>
      <c r="Y26" s="167">
        <f t="shared" si="10"/>
        <v>0</v>
      </c>
      <c r="Z26" s="183">
        <f t="shared" si="11"/>
        <v>0</v>
      </c>
      <c r="AA26" s="182">
        <v>60</v>
      </c>
      <c r="AB26" s="181"/>
      <c r="AC26" s="180">
        <v>60</v>
      </c>
      <c r="AD26" s="248"/>
    </row>
    <row r="27" spans="1:30" ht="15.75">
      <c r="A27" s="236" t="s">
        <v>143</v>
      </c>
      <c r="B27" s="191"/>
      <c r="C27" s="237">
        <v>0</v>
      </c>
      <c r="D27" s="207" t="s">
        <v>3</v>
      </c>
      <c r="E27" s="249">
        <v>785</v>
      </c>
      <c r="F27" s="174">
        <f t="shared" si="0"/>
        <v>0</v>
      </c>
      <c r="G27" s="186">
        <v>0.05</v>
      </c>
      <c r="H27" s="186">
        <v>0.02</v>
      </c>
      <c r="I27" s="186">
        <v>0.05</v>
      </c>
      <c r="J27" s="187">
        <v>0.122</v>
      </c>
      <c r="K27" s="186">
        <v>0.1</v>
      </c>
      <c r="L27" s="171">
        <f t="shared" si="1"/>
        <v>0</v>
      </c>
      <c r="M27" s="171">
        <f t="shared" si="2"/>
        <v>0</v>
      </c>
      <c r="N27" s="171">
        <f t="shared" si="3"/>
        <v>0</v>
      </c>
      <c r="O27" s="171">
        <f t="shared" si="4"/>
        <v>0</v>
      </c>
      <c r="P27" s="171">
        <f t="shared" si="5"/>
        <v>0</v>
      </c>
      <c r="Q27" s="170">
        <f t="shared" si="6"/>
        <v>0</v>
      </c>
      <c r="R27" s="185">
        <v>0.05</v>
      </c>
      <c r="S27" s="185">
        <v>0.05</v>
      </c>
      <c r="T27" s="185">
        <v>0.05</v>
      </c>
      <c r="U27" s="184">
        <v>0.1</v>
      </c>
      <c r="V27" s="167">
        <f t="shared" si="7"/>
        <v>0</v>
      </c>
      <c r="W27" s="167">
        <f t="shared" si="8"/>
        <v>0</v>
      </c>
      <c r="X27" s="167">
        <f t="shared" si="9"/>
        <v>0</v>
      </c>
      <c r="Y27" s="167">
        <f t="shared" si="10"/>
        <v>0</v>
      </c>
      <c r="Z27" s="183">
        <f t="shared" si="11"/>
        <v>0</v>
      </c>
      <c r="AA27" s="182">
        <v>60</v>
      </c>
      <c r="AB27" s="181"/>
      <c r="AC27" s="180">
        <v>60</v>
      </c>
      <c r="AD27" s="248"/>
    </row>
    <row r="28" spans="1:30" ht="15.75">
      <c r="A28" s="236" t="s">
        <v>142</v>
      </c>
      <c r="B28" s="191"/>
      <c r="C28" s="237">
        <v>0</v>
      </c>
      <c r="D28" s="207" t="s">
        <v>3</v>
      </c>
      <c r="E28" s="249">
        <v>891</v>
      </c>
      <c r="F28" s="174">
        <f t="shared" si="0"/>
        <v>0</v>
      </c>
      <c r="G28" s="186">
        <v>0.05</v>
      </c>
      <c r="H28" s="186">
        <v>0.02</v>
      </c>
      <c r="I28" s="186">
        <v>0.05</v>
      </c>
      <c r="J28" s="187">
        <v>0.122</v>
      </c>
      <c r="K28" s="186">
        <v>0.1</v>
      </c>
      <c r="L28" s="171">
        <f t="shared" si="1"/>
        <v>0</v>
      </c>
      <c r="M28" s="171">
        <f t="shared" si="2"/>
        <v>0</v>
      </c>
      <c r="N28" s="171">
        <f t="shared" si="3"/>
        <v>0</v>
      </c>
      <c r="O28" s="171">
        <f t="shared" si="4"/>
        <v>0</v>
      </c>
      <c r="P28" s="171">
        <f t="shared" si="5"/>
        <v>0</v>
      </c>
      <c r="Q28" s="170">
        <f t="shared" si="6"/>
        <v>0</v>
      </c>
      <c r="R28" s="185">
        <v>0.05</v>
      </c>
      <c r="S28" s="185">
        <v>0.05</v>
      </c>
      <c r="T28" s="185">
        <v>0.05</v>
      </c>
      <c r="U28" s="184">
        <v>0.1</v>
      </c>
      <c r="V28" s="167">
        <f t="shared" si="7"/>
        <v>0</v>
      </c>
      <c r="W28" s="167">
        <f t="shared" si="8"/>
        <v>0</v>
      </c>
      <c r="X28" s="167">
        <f t="shared" si="9"/>
        <v>0</v>
      </c>
      <c r="Y28" s="167">
        <f t="shared" si="10"/>
        <v>0</v>
      </c>
      <c r="Z28" s="183">
        <f t="shared" si="11"/>
        <v>0</v>
      </c>
      <c r="AA28" s="182">
        <v>60</v>
      </c>
      <c r="AB28" s="181"/>
      <c r="AC28" s="180">
        <v>60</v>
      </c>
      <c r="AD28" s="248"/>
    </row>
    <row r="29" spans="1:30" ht="108">
      <c r="A29" s="229" t="s">
        <v>141</v>
      </c>
      <c r="B29" s="205"/>
      <c r="C29" s="204"/>
      <c r="D29" s="203"/>
      <c r="E29" s="242"/>
      <c r="F29" s="200"/>
      <c r="G29" s="200"/>
      <c r="H29" s="200"/>
      <c r="I29" s="200"/>
      <c r="J29" s="201"/>
      <c r="K29" s="200"/>
      <c r="L29" s="200"/>
      <c r="M29" s="200"/>
      <c r="N29" s="200"/>
      <c r="O29" s="200"/>
      <c r="P29" s="200"/>
      <c r="Q29" s="200"/>
      <c r="R29" s="199"/>
      <c r="S29" s="199"/>
      <c r="T29" s="199"/>
      <c r="U29" s="197"/>
      <c r="V29" s="197"/>
      <c r="W29" s="197"/>
      <c r="X29" s="197"/>
      <c r="Y29" s="197"/>
      <c r="Z29" s="198"/>
      <c r="AA29" s="197"/>
      <c r="AB29" s="196"/>
      <c r="AC29" s="195"/>
      <c r="AD29" s="245"/>
    </row>
    <row r="30" spans="1:30" ht="75">
      <c r="A30" s="217" t="s">
        <v>140</v>
      </c>
      <c r="B30" s="216"/>
      <c r="C30" s="215"/>
      <c r="D30" s="214"/>
      <c r="E30" s="244"/>
      <c r="F30" s="186"/>
      <c r="G30" s="186"/>
      <c r="H30" s="186"/>
      <c r="I30" s="186"/>
      <c r="J30" s="187"/>
      <c r="K30" s="186"/>
      <c r="L30" s="186"/>
      <c r="M30" s="186"/>
      <c r="N30" s="186"/>
      <c r="O30" s="186"/>
      <c r="P30" s="186"/>
      <c r="Q30" s="186"/>
      <c r="R30" s="185"/>
      <c r="S30" s="185"/>
      <c r="T30" s="185"/>
      <c r="U30" s="184"/>
      <c r="V30" s="184"/>
      <c r="W30" s="184"/>
      <c r="X30" s="184"/>
      <c r="Y30" s="184"/>
      <c r="Z30" s="212"/>
      <c r="AA30" s="184"/>
      <c r="AB30" s="181"/>
      <c r="AC30" s="180"/>
      <c r="AD30" s="247"/>
    </row>
    <row r="31" spans="1:30" ht="15.75">
      <c r="A31" s="236" t="s">
        <v>139</v>
      </c>
      <c r="B31" s="191"/>
      <c r="C31" s="190">
        <v>0</v>
      </c>
      <c r="D31" s="207" t="s">
        <v>3</v>
      </c>
      <c r="E31" s="230">
        <v>190</v>
      </c>
      <c r="F31" s="174">
        <f t="shared" ref="F31:F41" si="12">E31*C31</f>
        <v>0</v>
      </c>
      <c r="G31" s="186">
        <v>0.05</v>
      </c>
      <c r="H31" s="186">
        <v>0.02</v>
      </c>
      <c r="I31" s="186">
        <v>0.05</v>
      </c>
      <c r="J31" s="187">
        <v>0.122</v>
      </c>
      <c r="K31" s="186">
        <v>0.1</v>
      </c>
      <c r="L31" s="171">
        <f t="shared" ref="L31:L41" si="13">F31*G31</f>
        <v>0</v>
      </c>
      <c r="M31" s="171">
        <f t="shared" ref="M31:M41" si="14">(F31+L31)*H31</f>
        <v>0</v>
      </c>
      <c r="N31" s="171">
        <f t="shared" ref="N31:N41" si="15">(F31+L31+M31)*I31</f>
        <v>0</v>
      </c>
      <c r="O31" s="171">
        <f t="shared" ref="O31:O41" si="16">(F31+L31+M31+N31)*J31</f>
        <v>0</v>
      </c>
      <c r="P31" s="171">
        <f t="shared" ref="P31:P41" si="17">(F31+L31+M31+N31+O31)*K31</f>
        <v>0</v>
      </c>
      <c r="Q31" s="170">
        <f t="shared" ref="Q31:Q41" si="18">F31+SUM(L31:P31)</f>
        <v>0</v>
      </c>
      <c r="R31" s="185">
        <v>0.05</v>
      </c>
      <c r="S31" s="185">
        <v>0.05</v>
      </c>
      <c r="T31" s="185">
        <v>0.05</v>
      </c>
      <c r="U31" s="184">
        <v>0.1</v>
      </c>
      <c r="V31" s="167">
        <f t="shared" ref="V31:V41" si="19">Q31*R31</f>
        <v>0</v>
      </c>
      <c r="W31" s="167">
        <f t="shared" ref="W31:W41" si="20">Q31*S31</f>
        <v>0</v>
      </c>
      <c r="X31" s="167">
        <f t="shared" ref="X31:X41" si="21">Q31*T31</f>
        <v>0</v>
      </c>
      <c r="Y31" s="167">
        <f t="shared" ref="Y31:Y41" si="22">U31*(V31+W31)</f>
        <v>0</v>
      </c>
      <c r="Z31" s="183">
        <f t="shared" ref="Z31:Z41" si="23">Q31+SUM(V31:Y31)</f>
        <v>0</v>
      </c>
      <c r="AA31" s="182">
        <v>40</v>
      </c>
      <c r="AB31" s="181"/>
      <c r="AC31" s="180">
        <v>40</v>
      </c>
      <c r="AD31" s="243"/>
    </row>
    <row r="32" spans="1:30" ht="15.75">
      <c r="A32" s="236" t="s">
        <v>138</v>
      </c>
      <c r="B32" s="191"/>
      <c r="C32" s="190">
        <v>0</v>
      </c>
      <c r="D32" s="207" t="s">
        <v>3</v>
      </c>
      <c r="E32" s="230">
        <v>187</v>
      </c>
      <c r="F32" s="174">
        <f t="shared" si="12"/>
        <v>0</v>
      </c>
      <c r="G32" s="186">
        <v>0.05</v>
      </c>
      <c r="H32" s="186">
        <v>0.02</v>
      </c>
      <c r="I32" s="186">
        <v>0.05</v>
      </c>
      <c r="J32" s="187">
        <v>0.122</v>
      </c>
      <c r="K32" s="186">
        <v>0.1</v>
      </c>
      <c r="L32" s="171">
        <f t="shared" si="13"/>
        <v>0</v>
      </c>
      <c r="M32" s="171">
        <f t="shared" si="14"/>
        <v>0</v>
      </c>
      <c r="N32" s="171">
        <f t="shared" si="15"/>
        <v>0</v>
      </c>
      <c r="O32" s="171">
        <f t="shared" si="16"/>
        <v>0</v>
      </c>
      <c r="P32" s="171">
        <f t="shared" si="17"/>
        <v>0</v>
      </c>
      <c r="Q32" s="170">
        <f t="shared" si="18"/>
        <v>0</v>
      </c>
      <c r="R32" s="185">
        <v>0.05</v>
      </c>
      <c r="S32" s="185">
        <v>0.05</v>
      </c>
      <c r="T32" s="185">
        <v>0.05</v>
      </c>
      <c r="U32" s="184">
        <v>0.1</v>
      </c>
      <c r="V32" s="167">
        <f t="shared" si="19"/>
        <v>0</v>
      </c>
      <c r="W32" s="167">
        <f t="shared" si="20"/>
        <v>0</v>
      </c>
      <c r="X32" s="167">
        <f t="shared" si="21"/>
        <v>0</v>
      </c>
      <c r="Y32" s="167">
        <f t="shared" si="22"/>
        <v>0</v>
      </c>
      <c r="Z32" s="183">
        <f t="shared" si="23"/>
        <v>0</v>
      </c>
      <c r="AA32" s="182">
        <v>40</v>
      </c>
      <c r="AB32" s="181"/>
      <c r="AC32" s="180">
        <v>40</v>
      </c>
      <c r="AD32" s="243"/>
    </row>
    <row r="33" spans="1:30" ht="15.75">
      <c r="A33" s="236" t="s">
        <v>137</v>
      </c>
      <c r="B33" s="191"/>
      <c r="C33" s="190">
        <v>0</v>
      </c>
      <c r="D33" s="207" t="s">
        <v>3</v>
      </c>
      <c r="E33" s="230">
        <v>198</v>
      </c>
      <c r="F33" s="174">
        <f t="shared" si="12"/>
        <v>0</v>
      </c>
      <c r="G33" s="186">
        <v>0.05</v>
      </c>
      <c r="H33" s="186">
        <v>0.02</v>
      </c>
      <c r="I33" s="186">
        <v>0.05</v>
      </c>
      <c r="J33" s="187">
        <v>0.122</v>
      </c>
      <c r="K33" s="186">
        <v>0.1</v>
      </c>
      <c r="L33" s="171">
        <f t="shared" si="13"/>
        <v>0</v>
      </c>
      <c r="M33" s="171">
        <f t="shared" si="14"/>
        <v>0</v>
      </c>
      <c r="N33" s="171">
        <f t="shared" si="15"/>
        <v>0</v>
      </c>
      <c r="O33" s="171">
        <f t="shared" si="16"/>
        <v>0</v>
      </c>
      <c r="P33" s="171">
        <f t="shared" si="17"/>
        <v>0</v>
      </c>
      <c r="Q33" s="170">
        <f t="shared" si="18"/>
        <v>0</v>
      </c>
      <c r="R33" s="185">
        <v>0.05</v>
      </c>
      <c r="S33" s="185">
        <v>0.05</v>
      </c>
      <c r="T33" s="185">
        <v>0.05</v>
      </c>
      <c r="U33" s="184">
        <v>0.1</v>
      </c>
      <c r="V33" s="167">
        <f t="shared" si="19"/>
        <v>0</v>
      </c>
      <c r="W33" s="167">
        <f t="shared" si="20"/>
        <v>0</v>
      </c>
      <c r="X33" s="167">
        <f t="shared" si="21"/>
        <v>0</v>
      </c>
      <c r="Y33" s="167">
        <f t="shared" si="22"/>
        <v>0</v>
      </c>
      <c r="Z33" s="183">
        <f t="shared" si="23"/>
        <v>0</v>
      </c>
      <c r="AA33" s="182">
        <v>40</v>
      </c>
      <c r="AB33" s="181"/>
      <c r="AC33" s="180">
        <v>40</v>
      </c>
      <c r="AD33" s="243"/>
    </row>
    <row r="34" spans="1:30" ht="15.75">
      <c r="A34" s="236" t="s">
        <v>136</v>
      </c>
      <c r="B34" s="191"/>
      <c r="C34" s="237">
        <v>200</v>
      </c>
      <c r="D34" s="207" t="s">
        <v>3</v>
      </c>
      <c r="E34" s="230">
        <v>205</v>
      </c>
      <c r="F34" s="174">
        <f t="shared" si="12"/>
        <v>41000</v>
      </c>
      <c r="G34" s="186">
        <v>0.05</v>
      </c>
      <c r="H34" s="186">
        <v>0.02</v>
      </c>
      <c r="I34" s="186">
        <v>0.05</v>
      </c>
      <c r="J34" s="187">
        <v>0.122</v>
      </c>
      <c r="K34" s="186">
        <v>0.1</v>
      </c>
      <c r="L34" s="171">
        <f t="shared" si="13"/>
        <v>2050</v>
      </c>
      <c r="M34" s="171">
        <f t="shared" si="14"/>
        <v>861</v>
      </c>
      <c r="N34" s="171">
        <f t="shared" si="15"/>
        <v>2195.5500000000002</v>
      </c>
      <c r="O34" s="171">
        <f t="shared" si="16"/>
        <v>5624.9991</v>
      </c>
      <c r="P34" s="171">
        <f t="shared" si="17"/>
        <v>5173.1549100000011</v>
      </c>
      <c r="Q34" s="170">
        <f t="shared" si="18"/>
        <v>56904.704010000001</v>
      </c>
      <c r="R34" s="185">
        <v>0.05</v>
      </c>
      <c r="S34" s="185">
        <v>0.05</v>
      </c>
      <c r="T34" s="185">
        <v>0.05</v>
      </c>
      <c r="U34" s="184">
        <v>0.1</v>
      </c>
      <c r="V34" s="167">
        <f t="shared" si="19"/>
        <v>2845.2352005000002</v>
      </c>
      <c r="W34" s="167">
        <f t="shared" si="20"/>
        <v>2845.2352005000002</v>
      </c>
      <c r="X34" s="167">
        <f t="shared" si="21"/>
        <v>2845.2352005000002</v>
      </c>
      <c r="Y34" s="167">
        <f t="shared" si="22"/>
        <v>569.04704010000012</v>
      </c>
      <c r="Z34" s="183">
        <f t="shared" si="23"/>
        <v>66009.456651600005</v>
      </c>
      <c r="AA34" s="182">
        <v>40</v>
      </c>
      <c r="AB34" s="181"/>
      <c r="AC34" s="180">
        <v>40</v>
      </c>
      <c r="AD34" s="243"/>
    </row>
    <row r="35" spans="1:30" ht="15.75">
      <c r="A35" s="236" t="s">
        <v>135</v>
      </c>
      <c r="B35" s="191"/>
      <c r="C35" s="237">
        <v>0</v>
      </c>
      <c r="D35" s="207" t="s">
        <v>3</v>
      </c>
      <c r="E35" s="230">
        <v>217</v>
      </c>
      <c r="F35" s="174">
        <f t="shared" si="12"/>
        <v>0</v>
      </c>
      <c r="G35" s="186">
        <v>0.05</v>
      </c>
      <c r="H35" s="186">
        <v>0.02</v>
      </c>
      <c r="I35" s="186">
        <v>0.05</v>
      </c>
      <c r="J35" s="187">
        <v>0.122</v>
      </c>
      <c r="K35" s="186">
        <v>0.1</v>
      </c>
      <c r="L35" s="171">
        <f t="shared" si="13"/>
        <v>0</v>
      </c>
      <c r="M35" s="171">
        <f t="shared" si="14"/>
        <v>0</v>
      </c>
      <c r="N35" s="171">
        <f t="shared" si="15"/>
        <v>0</v>
      </c>
      <c r="O35" s="171">
        <f t="shared" si="16"/>
        <v>0</v>
      </c>
      <c r="P35" s="171">
        <f t="shared" si="17"/>
        <v>0</v>
      </c>
      <c r="Q35" s="170">
        <f t="shared" si="18"/>
        <v>0</v>
      </c>
      <c r="R35" s="185">
        <v>0.05</v>
      </c>
      <c r="S35" s="185">
        <v>0.05</v>
      </c>
      <c r="T35" s="185">
        <v>0.05</v>
      </c>
      <c r="U35" s="184">
        <v>0.1</v>
      </c>
      <c r="V35" s="167">
        <f t="shared" si="19"/>
        <v>0</v>
      </c>
      <c r="W35" s="167">
        <f t="shared" si="20"/>
        <v>0</v>
      </c>
      <c r="X35" s="167">
        <f t="shared" si="21"/>
        <v>0</v>
      </c>
      <c r="Y35" s="167">
        <f t="shared" si="22"/>
        <v>0</v>
      </c>
      <c r="Z35" s="183">
        <f t="shared" si="23"/>
        <v>0</v>
      </c>
      <c r="AA35" s="182">
        <v>40</v>
      </c>
      <c r="AB35" s="181"/>
      <c r="AC35" s="180">
        <v>40</v>
      </c>
      <c r="AD35" s="243"/>
    </row>
    <row r="36" spans="1:30" ht="15.75">
      <c r="A36" s="236" t="s">
        <v>134</v>
      </c>
      <c r="B36" s="191"/>
      <c r="C36" s="237">
        <v>0</v>
      </c>
      <c r="D36" s="207" t="s">
        <v>3</v>
      </c>
      <c r="E36" s="230">
        <v>230</v>
      </c>
      <c r="F36" s="174">
        <f t="shared" si="12"/>
        <v>0</v>
      </c>
      <c r="G36" s="186">
        <v>0.05</v>
      </c>
      <c r="H36" s="186">
        <v>0.02</v>
      </c>
      <c r="I36" s="186">
        <v>0.05</v>
      </c>
      <c r="J36" s="187">
        <v>0.122</v>
      </c>
      <c r="K36" s="186">
        <v>0.1</v>
      </c>
      <c r="L36" s="171">
        <f t="shared" si="13"/>
        <v>0</v>
      </c>
      <c r="M36" s="171">
        <f t="shared" si="14"/>
        <v>0</v>
      </c>
      <c r="N36" s="171">
        <f t="shared" si="15"/>
        <v>0</v>
      </c>
      <c r="O36" s="171">
        <f t="shared" si="16"/>
        <v>0</v>
      </c>
      <c r="P36" s="171">
        <f t="shared" si="17"/>
        <v>0</v>
      </c>
      <c r="Q36" s="170">
        <f t="shared" si="18"/>
        <v>0</v>
      </c>
      <c r="R36" s="185">
        <v>0.05</v>
      </c>
      <c r="S36" s="185">
        <v>0.05</v>
      </c>
      <c r="T36" s="185">
        <v>0.05</v>
      </c>
      <c r="U36" s="184">
        <v>0.1</v>
      </c>
      <c r="V36" s="167">
        <f t="shared" si="19"/>
        <v>0</v>
      </c>
      <c r="W36" s="167">
        <f t="shared" si="20"/>
        <v>0</v>
      </c>
      <c r="X36" s="167">
        <f t="shared" si="21"/>
        <v>0</v>
      </c>
      <c r="Y36" s="167">
        <f t="shared" si="22"/>
        <v>0</v>
      </c>
      <c r="Z36" s="183">
        <f t="shared" si="23"/>
        <v>0</v>
      </c>
      <c r="AA36" s="182">
        <v>40</v>
      </c>
      <c r="AB36" s="181"/>
      <c r="AC36" s="180">
        <v>40</v>
      </c>
      <c r="AD36" s="243"/>
    </row>
    <row r="37" spans="1:30" ht="15.75">
      <c r="A37" s="236" t="s">
        <v>133</v>
      </c>
      <c r="B37" s="191"/>
      <c r="C37" s="237">
        <v>0</v>
      </c>
      <c r="D37" s="207" t="s">
        <v>3</v>
      </c>
      <c r="E37" s="230">
        <v>250</v>
      </c>
      <c r="F37" s="174">
        <f t="shared" si="12"/>
        <v>0</v>
      </c>
      <c r="G37" s="186">
        <v>0.05</v>
      </c>
      <c r="H37" s="186">
        <v>0.02</v>
      </c>
      <c r="I37" s="186">
        <v>0.05</v>
      </c>
      <c r="J37" s="187">
        <v>0.122</v>
      </c>
      <c r="K37" s="186">
        <v>0.1</v>
      </c>
      <c r="L37" s="171">
        <f t="shared" si="13"/>
        <v>0</v>
      </c>
      <c r="M37" s="171">
        <f t="shared" si="14"/>
        <v>0</v>
      </c>
      <c r="N37" s="171">
        <f t="shared" si="15"/>
        <v>0</v>
      </c>
      <c r="O37" s="171">
        <f t="shared" si="16"/>
        <v>0</v>
      </c>
      <c r="P37" s="171">
        <f t="shared" si="17"/>
        <v>0</v>
      </c>
      <c r="Q37" s="170">
        <f t="shared" si="18"/>
        <v>0</v>
      </c>
      <c r="R37" s="185">
        <v>0.05</v>
      </c>
      <c r="S37" s="185">
        <v>0.05</v>
      </c>
      <c r="T37" s="185">
        <v>0.05</v>
      </c>
      <c r="U37" s="184">
        <v>0.1</v>
      </c>
      <c r="V37" s="167">
        <f t="shared" si="19"/>
        <v>0</v>
      </c>
      <c r="W37" s="167">
        <f t="shared" si="20"/>
        <v>0</v>
      </c>
      <c r="X37" s="167">
        <f t="shared" si="21"/>
        <v>0</v>
      </c>
      <c r="Y37" s="167">
        <f t="shared" si="22"/>
        <v>0</v>
      </c>
      <c r="Z37" s="183">
        <f t="shared" si="23"/>
        <v>0</v>
      </c>
      <c r="AA37" s="182">
        <v>40</v>
      </c>
      <c r="AB37" s="181"/>
      <c r="AC37" s="180">
        <v>40</v>
      </c>
      <c r="AD37" s="243"/>
    </row>
    <row r="38" spans="1:30" ht="15.75">
      <c r="A38" s="236" t="s">
        <v>132</v>
      </c>
      <c r="B38" s="191"/>
      <c r="C38" s="237">
        <v>0</v>
      </c>
      <c r="D38" s="207" t="s">
        <v>3</v>
      </c>
      <c r="E38" s="230">
        <v>364</v>
      </c>
      <c r="F38" s="174">
        <f t="shared" si="12"/>
        <v>0</v>
      </c>
      <c r="G38" s="186">
        <v>0.05</v>
      </c>
      <c r="H38" s="186">
        <v>0.02</v>
      </c>
      <c r="I38" s="186">
        <v>0.05</v>
      </c>
      <c r="J38" s="187">
        <v>0.122</v>
      </c>
      <c r="K38" s="186">
        <v>0.1</v>
      </c>
      <c r="L38" s="171">
        <f t="shared" si="13"/>
        <v>0</v>
      </c>
      <c r="M38" s="171">
        <f t="shared" si="14"/>
        <v>0</v>
      </c>
      <c r="N38" s="171">
        <f t="shared" si="15"/>
        <v>0</v>
      </c>
      <c r="O38" s="171">
        <f t="shared" si="16"/>
        <v>0</v>
      </c>
      <c r="P38" s="171">
        <f t="shared" si="17"/>
        <v>0</v>
      </c>
      <c r="Q38" s="170">
        <f t="shared" si="18"/>
        <v>0</v>
      </c>
      <c r="R38" s="185">
        <v>0.05</v>
      </c>
      <c r="S38" s="185">
        <v>0.05</v>
      </c>
      <c r="T38" s="185">
        <v>0.05</v>
      </c>
      <c r="U38" s="184">
        <v>0.1</v>
      </c>
      <c r="V38" s="167">
        <f t="shared" si="19"/>
        <v>0</v>
      </c>
      <c r="W38" s="167">
        <f t="shared" si="20"/>
        <v>0</v>
      </c>
      <c r="X38" s="167">
        <f t="shared" si="21"/>
        <v>0</v>
      </c>
      <c r="Y38" s="167">
        <f t="shared" si="22"/>
        <v>0</v>
      </c>
      <c r="Z38" s="183">
        <f t="shared" si="23"/>
        <v>0</v>
      </c>
      <c r="AA38" s="182">
        <v>40</v>
      </c>
      <c r="AB38" s="181"/>
      <c r="AC38" s="180">
        <v>40</v>
      </c>
      <c r="AD38" s="243"/>
    </row>
    <row r="39" spans="1:30" ht="15.75">
      <c r="A39" s="236" t="s">
        <v>131</v>
      </c>
      <c r="B39" s="191"/>
      <c r="C39" s="237">
        <v>0</v>
      </c>
      <c r="D39" s="207" t="s">
        <v>3</v>
      </c>
      <c r="E39" s="230">
        <v>350</v>
      </c>
      <c r="F39" s="174">
        <f t="shared" si="12"/>
        <v>0</v>
      </c>
      <c r="G39" s="186">
        <v>0.05</v>
      </c>
      <c r="H39" s="186">
        <v>0.02</v>
      </c>
      <c r="I39" s="186">
        <v>0.05</v>
      </c>
      <c r="J39" s="187">
        <v>0.122</v>
      </c>
      <c r="K39" s="186">
        <v>0.1</v>
      </c>
      <c r="L39" s="171">
        <f t="shared" si="13"/>
        <v>0</v>
      </c>
      <c r="M39" s="171">
        <f t="shared" si="14"/>
        <v>0</v>
      </c>
      <c r="N39" s="171">
        <f t="shared" si="15"/>
        <v>0</v>
      </c>
      <c r="O39" s="171">
        <f t="shared" si="16"/>
        <v>0</v>
      </c>
      <c r="P39" s="171">
        <f t="shared" si="17"/>
        <v>0</v>
      </c>
      <c r="Q39" s="170">
        <f t="shared" si="18"/>
        <v>0</v>
      </c>
      <c r="R39" s="185">
        <v>0.05</v>
      </c>
      <c r="S39" s="185">
        <v>0.05</v>
      </c>
      <c r="T39" s="185">
        <v>0.05</v>
      </c>
      <c r="U39" s="184">
        <v>0.1</v>
      </c>
      <c r="V39" s="167">
        <f t="shared" si="19"/>
        <v>0</v>
      </c>
      <c r="W39" s="167">
        <f t="shared" si="20"/>
        <v>0</v>
      </c>
      <c r="X39" s="167">
        <f t="shared" si="21"/>
        <v>0</v>
      </c>
      <c r="Y39" s="167">
        <f t="shared" si="22"/>
        <v>0</v>
      </c>
      <c r="Z39" s="183">
        <f t="shared" si="23"/>
        <v>0</v>
      </c>
      <c r="AA39" s="182">
        <v>40</v>
      </c>
      <c r="AB39" s="181"/>
      <c r="AC39" s="180">
        <v>40</v>
      </c>
      <c r="AD39" s="243"/>
    </row>
    <row r="40" spans="1:30" ht="15.75">
      <c r="A40" s="236" t="s">
        <v>130</v>
      </c>
      <c r="B40" s="191"/>
      <c r="C40" s="190">
        <v>0</v>
      </c>
      <c r="D40" s="207" t="s">
        <v>3</v>
      </c>
      <c r="E40" s="230">
        <v>401</v>
      </c>
      <c r="F40" s="174">
        <f t="shared" si="12"/>
        <v>0</v>
      </c>
      <c r="G40" s="186">
        <v>0.05</v>
      </c>
      <c r="H40" s="186">
        <v>0.02</v>
      </c>
      <c r="I40" s="186">
        <v>0.05</v>
      </c>
      <c r="J40" s="187">
        <v>0.122</v>
      </c>
      <c r="K40" s="186">
        <v>0.1</v>
      </c>
      <c r="L40" s="171">
        <f t="shared" si="13"/>
        <v>0</v>
      </c>
      <c r="M40" s="171">
        <f t="shared" si="14"/>
        <v>0</v>
      </c>
      <c r="N40" s="171">
        <f t="shared" si="15"/>
        <v>0</v>
      </c>
      <c r="O40" s="171">
        <f t="shared" si="16"/>
        <v>0</v>
      </c>
      <c r="P40" s="171">
        <f t="shared" si="17"/>
        <v>0</v>
      </c>
      <c r="Q40" s="170">
        <f t="shared" si="18"/>
        <v>0</v>
      </c>
      <c r="R40" s="185">
        <v>0.05</v>
      </c>
      <c r="S40" s="185">
        <v>0.05</v>
      </c>
      <c r="T40" s="185">
        <v>0.05</v>
      </c>
      <c r="U40" s="184">
        <v>0.1</v>
      </c>
      <c r="V40" s="167">
        <f t="shared" si="19"/>
        <v>0</v>
      </c>
      <c r="W40" s="167">
        <f t="shared" si="20"/>
        <v>0</v>
      </c>
      <c r="X40" s="167">
        <f t="shared" si="21"/>
        <v>0</v>
      </c>
      <c r="Y40" s="167">
        <f t="shared" si="22"/>
        <v>0</v>
      </c>
      <c r="Z40" s="183">
        <f t="shared" si="23"/>
        <v>0</v>
      </c>
      <c r="AA40" s="182">
        <v>40</v>
      </c>
      <c r="AB40" s="181"/>
      <c r="AC40" s="180">
        <v>40</v>
      </c>
      <c r="AD40" s="243"/>
    </row>
    <row r="41" spans="1:30" ht="15.75">
      <c r="A41" s="236" t="s">
        <v>129</v>
      </c>
      <c r="B41" s="191"/>
      <c r="C41" s="190">
        <v>0</v>
      </c>
      <c r="D41" s="207" t="s">
        <v>3</v>
      </c>
      <c r="E41" s="230">
        <v>423</v>
      </c>
      <c r="F41" s="174">
        <f t="shared" si="12"/>
        <v>0</v>
      </c>
      <c r="G41" s="186">
        <v>0.05</v>
      </c>
      <c r="H41" s="186">
        <v>0.02</v>
      </c>
      <c r="I41" s="186">
        <v>0.05</v>
      </c>
      <c r="J41" s="187">
        <v>0.122</v>
      </c>
      <c r="K41" s="186">
        <v>0.1</v>
      </c>
      <c r="L41" s="171">
        <f t="shared" si="13"/>
        <v>0</v>
      </c>
      <c r="M41" s="171">
        <f t="shared" si="14"/>
        <v>0</v>
      </c>
      <c r="N41" s="171">
        <f t="shared" si="15"/>
        <v>0</v>
      </c>
      <c r="O41" s="171">
        <f t="shared" si="16"/>
        <v>0</v>
      </c>
      <c r="P41" s="171">
        <f t="shared" si="17"/>
        <v>0</v>
      </c>
      <c r="Q41" s="170">
        <f t="shared" si="18"/>
        <v>0</v>
      </c>
      <c r="R41" s="185">
        <v>0.05</v>
      </c>
      <c r="S41" s="185">
        <v>0.05</v>
      </c>
      <c r="T41" s="185">
        <v>0.05</v>
      </c>
      <c r="U41" s="184">
        <v>0.1</v>
      </c>
      <c r="V41" s="167">
        <f t="shared" si="19"/>
        <v>0</v>
      </c>
      <c r="W41" s="167">
        <f t="shared" si="20"/>
        <v>0</v>
      </c>
      <c r="X41" s="167">
        <f t="shared" si="21"/>
        <v>0</v>
      </c>
      <c r="Y41" s="167">
        <f t="shared" si="22"/>
        <v>0</v>
      </c>
      <c r="Z41" s="183">
        <f t="shared" si="23"/>
        <v>0</v>
      </c>
      <c r="AA41" s="182">
        <v>40</v>
      </c>
      <c r="AB41" s="181"/>
      <c r="AC41" s="180">
        <v>40</v>
      </c>
      <c r="AD41" s="243"/>
    </row>
    <row r="42" spans="1:30" ht="90">
      <c r="A42" s="246" t="s">
        <v>128</v>
      </c>
      <c r="B42" s="205"/>
      <c r="C42" s="204"/>
      <c r="D42" s="203"/>
      <c r="E42" s="242"/>
      <c r="F42" s="200"/>
      <c r="G42" s="200"/>
      <c r="H42" s="200"/>
      <c r="I42" s="200"/>
      <c r="J42" s="201"/>
      <c r="K42" s="200"/>
      <c r="L42" s="200"/>
      <c r="M42" s="200"/>
      <c r="N42" s="200"/>
      <c r="O42" s="200"/>
      <c r="P42" s="200"/>
      <c r="Q42" s="200"/>
      <c r="R42" s="199"/>
      <c r="S42" s="199"/>
      <c r="T42" s="199"/>
      <c r="U42" s="197"/>
      <c r="V42" s="197"/>
      <c r="W42" s="197"/>
      <c r="X42" s="197"/>
      <c r="Y42" s="197"/>
      <c r="Z42" s="198"/>
      <c r="AA42" s="218"/>
      <c r="AB42" s="196"/>
      <c r="AC42" s="195"/>
      <c r="AD42" s="245"/>
    </row>
    <row r="43" spans="1:30" ht="45">
      <c r="A43" s="217" t="s">
        <v>127</v>
      </c>
      <c r="B43" s="216"/>
      <c r="C43" s="215"/>
      <c r="D43" s="240"/>
      <c r="E43" s="239"/>
      <c r="F43" s="186"/>
      <c r="G43" s="186"/>
      <c r="H43" s="186"/>
      <c r="I43" s="186"/>
      <c r="J43" s="187"/>
      <c r="K43" s="186"/>
      <c r="L43" s="186"/>
      <c r="M43" s="186"/>
      <c r="N43" s="186"/>
      <c r="O43" s="186"/>
      <c r="P43" s="186"/>
      <c r="Q43" s="186"/>
      <c r="R43" s="185"/>
      <c r="S43" s="185"/>
      <c r="T43" s="185"/>
      <c r="U43" s="184"/>
      <c r="V43" s="184"/>
      <c r="W43" s="184"/>
      <c r="X43" s="184"/>
      <c r="Y43" s="184"/>
      <c r="Z43" s="212"/>
      <c r="AA43" s="182"/>
      <c r="AB43" s="181"/>
      <c r="AC43" s="180"/>
      <c r="AD43" s="211"/>
    </row>
    <row r="44" spans="1:30" ht="15.75">
      <c r="A44" s="220" t="s">
        <v>126</v>
      </c>
      <c r="B44" s="191"/>
      <c r="C44" s="237">
        <v>0</v>
      </c>
      <c r="D44" s="207" t="s">
        <v>3</v>
      </c>
      <c r="E44" s="230">
        <v>54</v>
      </c>
      <c r="F44" s="174">
        <f>E44*C44</f>
        <v>0</v>
      </c>
      <c r="G44" s="186">
        <v>0.05</v>
      </c>
      <c r="H44" s="186">
        <v>0.02</v>
      </c>
      <c r="I44" s="186">
        <v>0.05</v>
      </c>
      <c r="J44" s="187">
        <v>0.122</v>
      </c>
      <c r="K44" s="186">
        <v>0.1</v>
      </c>
      <c r="L44" s="171">
        <f>F44*G44</f>
        <v>0</v>
      </c>
      <c r="M44" s="171">
        <f>(F44+L44)*H44</f>
        <v>0</v>
      </c>
      <c r="N44" s="171">
        <f>(F44+L44+M44)*I44</f>
        <v>0</v>
      </c>
      <c r="O44" s="171">
        <f>(F44+L44+M44+N44)*J44</f>
        <v>0</v>
      </c>
      <c r="P44" s="171">
        <f>(F44+L44+M44+N44+O44)*K44</f>
        <v>0</v>
      </c>
      <c r="Q44" s="170">
        <f>F44+SUM(L44:P44)</f>
        <v>0</v>
      </c>
      <c r="R44" s="185">
        <v>0.05</v>
      </c>
      <c r="S44" s="185">
        <v>0.05</v>
      </c>
      <c r="T44" s="185">
        <v>0.05</v>
      </c>
      <c r="U44" s="184">
        <v>0.1</v>
      </c>
      <c r="V44" s="167">
        <f>Q44*R44</f>
        <v>0</v>
      </c>
      <c r="W44" s="167">
        <f>Q44*S44</f>
        <v>0</v>
      </c>
      <c r="X44" s="167">
        <f>Q44*T44</f>
        <v>0</v>
      </c>
      <c r="Y44" s="167">
        <f>U44*(V44+W44)</f>
        <v>0</v>
      </c>
      <c r="Z44" s="183">
        <f>Q44+SUM(V44:Y44)</f>
        <v>0</v>
      </c>
      <c r="AA44" s="182">
        <v>70</v>
      </c>
      <c r="AB44" s="181"/>
      <c r="AC44" s="180">
        <v>70</v>
      </c>
      <c r="AD44" s="243"/>
    </row>
    <row r="45" spans="1:30" ht="15.75">
      <c r="A45" s="220" t="s">
        <v>125</v>
      </c>
      <c r="B45" s="191"/>
      <c r="C45" s="237">
        <v>0</v>
      </c>
      <c r="D45" s="207" t="s">
        <v>3</v>
      </c>
      <c r="E45" s="230">
        <v>63</v>
      </c>
      <c r="F45" s="174">
        <f>E45*C45</f>
        <v>0</v>
      </c>
      <c r="G45" s="186">
        <v>0.05</v>
      </c>
      <c r="H45" s="186">
        <v>0.02</v>
      </c>
      <c r="I45" s="186">
        <v>0.05</v>
      </c>
      <c r="J45" s="187">
        <v>0.122</v>
      </c>
      <c r="K45" s="186">
        <v>0.1</v>
      </c>
      <c r="L45" s="171">
        <f>F45*G45</f>
        <v>0</v>
      </c>
      <c r="M45" s="171">
        <f>(F45+L45)*H45</f>
        <v>0</v>
      </c>
      <c r="N45" s="171">
        <f>(F45+L45+M45)*I45</f>
        <v>0</v>
      </c>
      <c r="O45" s="171">
        <f>(F45+L45+M45+N45)*J45</f>
        <v>0</v>
      </c>
      <c r="P45" s="171">
        <f>(F45+L45+M45+N45+O45)*K45</f>
        <v>0</v>
      </c>
      <c r="Q45" s="170">
        <f>F45+SUM(L45:P45)</f>
        <v>0</v>
      </c>
      <c r="R45" s="185">
        <v>0.05</v>
      </c>
      <c r="S45" s="185">
        <v>0.05</v>
      </c>
      <c r="T45" s="185">
        <v>0.05</v>
      </c>
      <c r="U45" s="184">
        <v>0.1</v>
      </c>
      <c r="V45" s="167">
        <f>Q45*R45</f>
        <v>0</v>
      </c>
      <c r="W45" s="167">
        <f>Q45*S45</f>
        <v>0</v>
      </c>
      <c r="X45" s="167">
        <f>Q45*T45</f>
        <v>0</v>
      </c>
      <c r="Y45" s="167">
        <f>U45*(V45+W45)</f>
        <v>0</v>
      </c>
      <c r="Z45" s="183">
        <f>Q45+SUM(V45:Y45)</f>
        <v>0</v>
      </c>
      <c r="AA45" s="182">
        <v>70</v>
      </c>
      <c r="AB45" s="181"/>
      <c r="AC45" s="180">
        <v>70</v>
      </c>
      <c r="AD45" s="243"/>
    </row>
    <row r="46" spans="1:30" ht="15.75">
      <c r="A46" s="220" t="s">
        <v>124</v>
      </c>
      <c r="B46" s="191"/>
      <c r="C46" s="190">
        <v>0</v>
      </c>
      <c r="D46" s="207" t="s">
        <v>3</v>
      </c>
      <c r="E46" s="230">
        <v>75</v>
      </c>
      <c r="F46" s="174">
        <f>E46*C46</f>
        <v>0</v>
      </c>
      <c r="G46" s="186">
        <v>0.05</v>
      </c>
      <c r="H46" s="186">
        <v>0.02</v>
      </c>
      <c r="I46" s="186">
        <v>0.05</v>
      </c>
      <c r="J46" s="187">
        <v>0.122</v>
      </c>
      <c r="K46" s="186">
        <v>0.1</v>
      </c>
      <c r="L46" s="171">
        <f>F46*G46</f>
        <v>0</v>
      </c>
      <c r="M46" s="171">
        <f>(F46+L46)*H46</f>
        <v>0</v>
      </c>
      <c r="N46" s="171">
        <f>(F46+L46+M46)*I46</f>
        <v>0</v>
      </c>
      <c r="O46" s="171">
        <f>(F46+L46+M46+N46)*J46</f>
        <v>0</v>
      </c>
      <c r="P46" s="171">
        <f>(F46+L46+M46+N46+O46)*K46</f>
        <v>0</v>
      </c>
      <c r="Q46" s="170">
        <f>F46+SUM(L46:P46)</f>
        <v>0</v>
      </c>
      <c r="R46" s="185">
        <v>0.05</v>
      </c>
      <c r="S46" s="185">
        <v>0.05</v>
      </c>
      <c r="T46" s="185">
        <v>0.05</v>
      </c>
      <c r="U46" s="184">
        <v>0.1</v>
      </c>
      <c r="V46" s="167">
        <f>Q46*R46</f>
        <v>0</v>
      </c>
      <c r="W46" s="167">
        <f>Q46*S46</f>
        <v>0</v>
      </c>
      <c r="X46" s="167">
        <f>Q46*T46</f>
        <v>0</v>
      </c>
      <c r="Y46" s="167">
        <f>U46*(V46+W46)</f>
        <v>0</v>
      </c>
      <c r="Z46" s="183">
        <f>Q46+SUM(V46:Y46)</f>
        <v>0</v>
      </c>
      <c r="AA46" s="182">
        <v>70</v>
      </c>
      <c r="AB46" s="181"/>
      <c r="AC46" s="180">
        <v>70</v>
      </c>
      <c r="AD46" s="243"/>
    </row>
    <row r="47" spans="1:30" ht="15.75">
      <c r="A47" s="220" t="s">
        <v>123</v>
      </c>
      <c r="B47" s="191"/>
      <c r="C47" s="190">
        <v>200</v>
      </c>
      <c r="D47" s="207" t="s">
        <v>3</v>
      </c>
      <c r="E47" s="230">
        <v>94</v>
      </c>
      <c r="F47" s="174">
        <f>E47*C47</f>
        <v>18800</v>
      </c>
      <c r="G47" s="186">
        <v>0.05</v>
      </c>
      <c r="H47" s="186">
        <v>0.02</v>
      </c>
      <c r="I47" s="186">
        <v>0.05</v>
      </c>
      <c r="J47" s="187">
        <v>0.122</v>
      </c>
      <c r="K47" s="186">
        <v>0.1</v>
      </c>
      <c r="L47" s="171">
        <f>F47*G47</f>
        <v>940</v>
      </c>
      <c r="M47" s="171">
        <f>(F47+L47)*H47</f>
        <v>394.8</v>
      </c>
      <c r="N47" s="171">
        <f>(F47+L47+M47)*I47</f>
        <v>1006.74</v>
      </c>
      <c r="O47" s="171">
        <f>(F47+L47+M47+N47)*J47</f>
        <v>2579.2678799999999</v>
      </c>
      <c r="P47" s="171">
        <f>(F47+L47+M47+N47+O47)*K47</f>
        <v>2372.0807880000002</v>
      </c>
      <c r="Q47" s="170">
        <f>F47+SUM(L47:P47)</f>
        <v>26092.888668</v>
      </c>
      <c r="R47" s="185">
        <v>0.05</v>
      </c>
      <c r="S47" s="185">
        <v>0.05</v>
      </c>
      <c r="T47" s="185">
        <v>0.05</v>
      </c>
      <c r="U47" s="184">
        <v>0.1</v>
      </c>
      <c r="V47" s="167">
        <f>Q47*R47</f>
        <v>1304.6444334</v>
      </c>
      <c r="W47" s="167">
        <f>Q47*S47</f>
        <v>1304.6444334</v>
      </c>
      <c r="X47" s="167">
        <f>Q47*T47</f>
        <v>1304.6444334</v>
      </c>
      <c r="Y47" s="167">
        <f>U47*(V47+W47)</f>
        <v>260.92888668000001</v>
      </c>
      <c r="Z47" s="183">
        <f>Q47+SUM(V47:Y47)</f>
        <v>30267.75085488</v>
      </c>
      <c r="AA47" s="182">
        <v>70</v>
      </c>
      <c r="AB47" s="181"/>
      <c r="AC47" s="180">
        <v>70</v>
      </c>
      <c r="AD47" s="243"/>
    </row>
    <row r="48" spans="1:30" ht="75">
      <c r="A48" s="217" t="s">
        <v>35</v>
      </c>
      <c r="B48" s="216"/>
      <c r="C48" s="215"/>
      <c r="D48" s="214"/>
      <c r="E48" s="244"/>
      <c r="F48" s="186"/>
      <c r="G48" s="186"/>
      <c r="H48" s="186"/>
      <c r="I48" s="186"/>
      <c r="J48" s="187"/>
      <c r="K48" s="186"/>
      <c r="L48" s="186"/>
      <c r="M48" s="186"/>
      <c r="N48" s="186"/>
      <c r="O48" s="186"/>
      <c r="P48" s="186"/>
      <c r="Q48" s="186"/>
      <c r="R48" s="185"/>
      <c r="S48" s="185"/>
      <c r="T48" s="185"/>
      <c r="U48" s="184"/>
      <c r="V48" s="184"/>
      <c r="W48" s="184"/>
      <c r="X48" s="184"/>
      <c r="Y48" s="184"/>
      <c r="Z48" s="212"/>
      <c r="AA48" s="182"/>
      <c r="AB48" s="181"/>
      <c r="AC48" s="180"/>
      <c r="AD48" s="211"/>
    </row>
    <row r="49" spans="1:30" ht="15.75">
      <c r="A49" s="220" t="s">
        <v>122</v>
      </c>
      <c r="B49" s="191"/>
      <c r="C49" s="190">
        <v>0</v>
      </c>
      <c r="D49" s="207" t="s">
        <v>3</v>
      </c>
      <c r="E49" s="230">
        <v>207</v>
      </c>
      <c r="F49" s="174">
        <f t="shared" ref="F49:F57" si="24">E49*C49</f>
        <v>0</v>
      </c>
      <c r="G49" s="186">
        <v>0.05</v>
      </c>
      <c r="H49" s="186">
        <v>0.02</v>
      </c>
      <c r="I49" s="186">
        <v>0.05</v>
      </c>
      <c r="J49" s="187">
        <v>0.122</v>
      </c>
      <c r="K49" s="186">
        <v>0.1</v>
      </c>
      <c r="L49" s="171">
        <f t="shared" ref="L49:L57" si="25">F49*G49</f>
        <v>0</v>
      </c>
      <c r="M49" s="171">
        <f t="shared" ref="M49:M57" si="26">(F49+L49)*H49</f>
        <v>0</v>
      </c>
      <c r="N49" s="171">
        <f t="shared" ref="N49:N57" si="27">(F49+L49+M49)*I49</f>
        <v>0</v>
      </c>
      <c r="O49" s="171">
        <f t="shared" ref="O49:O57" si="28">(F49+L49+M49+N49)*J49</f>
        <v>0</v>
      </c>
      <c r="P49" s="171">
        <f t="shared" ref="P49:P57" si="29">(F49+L49+M49+N49+O49)*K49</f>
        <v>0</v>
      </c>
      <c r="Q49" s="170">
        <f t="shared" ref="Q49:Q57" si="30">F49+SUM(L49:P49)</f>
        <v>0</v>
      </c>
      <c r="R49" s="185">
        <v>0.05</v>
      </c>
      <c r="S49" s="185">
        <v>0.05</v>
      </c>
      <c r="T49" s="185">
        <v>0.05</v>
      </c>
      <c r="U49" s="184">
        <v>0.1</v>
      </c>
      <c r="V49" s="167">
        <f t="shared" ref="V49:V57" si="31">Q49*R49</f>
        <v>0</v>
      </c>
      <c r="W49" s="167">
        <f t="shared" ref="W49:W57" si="32">Q49*S49</f>
        <v>0</v>
      </c>
      <c r="X49" s="167">
        <f t="shared" ref="X49:X57" si="33">Q49*T49</f>
        <v>0</v>
      </c>
      <c r="Y49" s="167">
        <f t="shared" ref="Y49:Y57" si="34">U49*(V49+W49)</f>
        <v>0</v>
      </c>
      <c r="Z49" s="183">
        <f t="shared" ref="Z49:Z57" si="35">Q49+SUM(V49:Y49)</f>
        <v>0</v>
      </c>
      <c r="AA49" s="182">
        <v>70</v>
      </c>
      <c r="AB49" s="181"/>
      <c r="AC49" s="180">
        <v>70</v>
      </c>
      <c r="AD49" s="243"/>
    </row>
    <row r="50" spans="1:30" ht="15.75">
      <c r="A50" s="220" t="s">
        <v>121</v>
      </c>
      <c r="B50" s="191"/>
      <c r="C50" s="190">
        <v>0</v>
      </c>
      <c r="D50" s="207" t="s">
        <v>3</v>
      </c>
      <c r="E50" s="230">
        <v>221</v>
      </c>
      <c r="F50" s="174">
        <f t="shared" si="24"/>
        <v>0</v>
      </c>
      <c r="G50" s="186">
        <v>0.05</v>
      </c>
      <c r="H50" s="186">
        <v>0.02</v>
      </c>
      <c r="I50" s="186">
        <v>0.05</v>
      </c>
      <c r="J50" s="187">
        <v>0.122</v>
      </c>
      <c r="K50" s="186">
        <v>0.1</v>
      </c>
      <c r="L50" s="171">
        <f t="shared" si="25"/>
        <v>0</v>
      </c>
      <c r="M50" s="171">
        <f t="shared" si="26"/>
        <v>0</v>
      </c>
      <c r="N50" s="171">
        <f t="shared" si="27"/>
        <v>0</v>
      </c>
      <c r="O50" s="171">
        <f t="shared" si="28"/>
        <v>0</v>
      </c>
      <c r="P50" s="171">
        <f t="shared" si="29"/>
        <v>0</v>
      </c>
      <c r="Q50" s="170">
        <f t="shared" si="30"/>
        <v>0</v>
      </c>
      <c r="R50" s="185">
        <v>0.05</v>
      </c>
      <c r="S50" s="185">
        <v>0.05</v>
      </c>
      <c r="T50" s="185">
        <v>0.05</v>
      </c>
      <c r="U50" s="184">
        <v>0.1</v>
      </c>
      <c r="V50" s="167">
        <f t="shared" si="31"/>
        <v>0</v>
      </c>
      <c r="W50" s="167">
        <f t="shared" si="32"/>
        <v>0</v>
      </c>
      <c r="X50" s="167">
        <f t="shared" si="33"/>
        <v>0</v>
      </c>
      <c r="Y50" s="167">
        <f t="shared" si="34"/>
        <v>0</v>
      </c>
      <c r="Z50" s="183">
        <f t="shared" si="35"/>
        <v>0</v>
      </c>
      <c r="AA50" s="182">
        <v>70</v>
      </c>
      <c r="AB50" s="181"/>
      <c r="AC50" s="180">
        <v>70</v>
      </c>
      <c r="AD50" s="243"/>
    </row>
    <row r="51" spans="1:30" ht="15.75">
      <c r="A51" s="220" t="s">
        <v>120</v>
      </c>
      <c r="B51" s="191"/>
      <c r="C51" s="190">
        <v>0</v>
      </c>
      <c r="D51" s="207" t="s">
        <v>3</v>
      </c>
      <c r="E51" s="230">
        <v>254</v>
      </c>
      <c r="F51" s="174">
        <f t="shared" si="24"/>
        <v>0</v>
      </c>
      <c r="G51" s="186">
        <v>0.05</v>
      </c>
      <c r="H51" s="186">
        <v>0.02</v>
      </c>
      <c r="I51" s="186">
        <v>0.05</v>
      </c>
      <c r="J51" s="187">
        <v>0.122</v>
      </c>
      <c r="K51" s="186">
        <v>0.1</v>
      </c>
      <c r="L51" s="171">
        <f t="shared" si="25"/>
        <v>0</v>
      </c>
      <c r="M51" s="171">
        <f t="shared" si="26"/>
        <v>0</v>
      </c>
      <c r="N51" s="171">
        <f t="shared" si="27"/>
        <v>0</v>
      </c>
      <c r="O51" s="171">
        <f t="shared" si="28"/>
        <v>0</v>
      </c>
      <c r="P51" s="171">
        <f t="shared" si="29"/>
        <v>0</v>
      </c>
      <c r="Q51" s="170">
        <f t="shared" si="30"/>
        <v>0</v>
      </c>
      <c r="R51" s="185">
        <v>0.05</v>
      </c>
      <c r="S51" s="185">
        <v>0.05</v>
      </c>
      <c r="T51" s="185">
        <v>0.05</v>
      </c>
      <c r="U51" s="184">
        <v>0.1</v>
      </c>
      <c r="V51" s="167">
        <f t="shared" si="31"/>
        <v>0</v>
      </c>
      <c r="W51" s="167">
        <f t="shared" si="32"/>
        <v>0</v>
      </c>
      <c r="X51" s="167">
        <f t="shared" si="33"/>
        <v>0</v>
      </c>
      <c r="Y51" s="167">
        <f t="shared" si="34"/>
        <v>0</v>
      </c>
      <c r="Z51" s="183">
        <f t="shared" si="35"/>
        <v>0</v>
      </c>
      <c r="AA51" s="182">
        <v>70</v>
      </c>
      <c r="AB51" s="181"/>
      <c r="AC51" s="180">
        <v>70</v>
      </c>
      <c r="AD51" s="243"/>
    </row>
    <row r="52" spans="1:30" ht="15.75">
      <c r="A52" s="220" t="s">
        <v>119</v>
      </c>
      <c r="B52" s="191"/>
      <c r="C52" s="190">
        <v>0</v>
      </c>
      <c r="D52" s="207" t="s">
        <v>3</v>
      </c>
      <c r="E52" s="230">
        <v>263</v>
      </c>
      <c r="F52" s="174">
        <f t="shared" si="24"/>
        <v>0</v>
      </c>
      <c r="G52" s="186">
        <v>0.05</v>
      </c>
      <c r="H52" s="186">
        <v>0.02</v>
      </c>
      <c r="I52" s="186">
        <v>0.05</v>
      </c>
      <c r="J52" s="187">
        <v>0.122</v>
      </c>
      <c r="K52" s="186">
        <v>0.1</v>
      </c>
      <c r="L52" s="171">
        <f t="shared" si="25"/>
        <v>0</v>
      </c>
      <c r="M52" s="171">
        <f t="shared" si="26"/>
        <v>0</v>
      </c>
      <c r="N52" s="171">
        <f t="shared" si="27"/>
        <v>0</v>
      </c>
      <c r="O52" s="171">
        <f t="shared" si="28"/>
        <v>0</v>
      </c>
      <c r="P52" s="171">
        <f t="shared" si="29"/>
        <v>0</v>
      </c>
      <c r="Q52" s="170">
        <f t="shared" si="30"/>
        <v>0</v>
      </c>
      <c r="R52" s="185">
        <v>0.05</v>
      </c>
      <c r="S52" s="185">
        <v>0.05</v>
      </c>
      <c r="T52" s="185">
        <v>0.05</v>
      </c>
      <c r="U52" s="184">
        <v>0.1</v>
      </c>
      <c r="V52" s="167">
        <f t="shared" si="31"/>
        <v>0</v>
      </c>
      <c r="W52" s="167">
        <f t="shared" si="32"/>
        <v>0</v>
      </c>
      <c r="X52" s="167">
        <f t="shared" si="33"/>
        <v>0</v>
      </c>
      <c r="Y52" s="167">
        <f t="shared" si="34"/>
        <v>0</v>
      </c>
      <c r="Z52" s="183">
        <f t="shared" si="35"/>
        <v>0</v>
      </c>
      <c r="AA52" s="182">
        <v>70</v>
      </c>
      <c r="AB52" s="181"/>
      <c r="AC52" s="180">
        <v>70</v>
      </c>
      <c r="AD52" s="243"/>
    </row>
    <row r="53" spans="1:30" ht="15.75">
      <c r="A53" s="220" t="s">
        <v>118</v>
      </c>
      <c r="B53" s="191"/>
      <c r="C53" s="190">
        <v>0</v>
      </c>
      <c r="D53" s="207" t="s">
        <v>3</v>
      </c>
      <c r="E53" s="230">
        <v>291</v>
      </c>
      <c r="F53" s="174">
        <f t="shared" si="24"/>
        <v>0</v>
      </c>
      <c r="G53" s="186">
        <v>0.05</v>
      </c>
      <c r="H53" s="186">
        <v>0.02</v>
      </c>
      <c r="I53" s="186">
        <v>0.05</v>
      </c>
      <c r="J53" s="187">
        <v>0.122</v>
      </c>
      <c r="K53" s="186">
        <v>0.1</v>
      </c>
      <c r="L53" s="171">
        <f t="shared" si="25"/>
        <v>0</v>
      </c>
      <c r="M53" s="171">
        <f t="shared" si="26"/>
        <v>0</v>
      </c>
      <c r="N53" s="171">
        <f t="shared" si="27"/>
        <v>0</v>
      </c>
      <c r="O53" s="171">
        <f t="shared" si="28"/>
        <v>0</v>
      </c>
      <c r="P53" s="171">
        <f t="shared" si="29"/>
        <v>0</v>
      </c>
      <c r="Q53" s="170">
        <f t="shared" si="30"/>
        <v>0</v>
      </c>
      <c r="R53" s="185">
        <v>0.05</v>
      </c>
      <c r="S53" s="185">
        <v>0.05</v>
      </c>
      <c r="T53" s="185">
        <v>0.05</v>
      </c>
      <c r="U53" s="184">
        <v>0.1</v>
      </c>
      <c r="V53" s="167">
        <f t="shared" si="31"/>
        <v>0</v>
      </c>
      <c r="W53" s="167">
        <f t="shared" si="32"/>
        <v>0</v>
      </c>
      <c r="X53" s="167">
        <f t="shared" si="33"/>
        <v>0</v>
      </c>
      <c r="Y53" s="167">
        <f t="shared" si="34"/>
        <v>0</v>
      </c>
      <c r="Z53" s="183">
        <f t="shared" si="35"/>
        <v>0</v>
      </c>
      <c r="AA53" s="182">
        <v>70</v>
      </c>
      <c r="AB53" s="181"/>
      <c r="AC53" s="180">
        <v>70</v>
      </c>
      <c r="AD53" s="243"/>
    </row>
    <row r="54" spans="1:30" ht="15.75">
      <c r="A54" s="220" t="s">
        <v>117</v>
      </c>
      <c r="B54" s="191"/>
      <c r="C54" s="190">
        <v>0</v>
      </c>
      <c r="D54" s="207" t="s">
        <v>3</v>
      </c>
      <c r="E54" s="230">
        <v>316</v>
      </c>
      <c r="F54" s="174">
        <f t="shared" si="24"/>
        <v>0</v>
      </c>
      <c r="G54" s="186">
        <v>0.05</v>
      </c>
      <c r="H54" s="186">
        <v>0.02</v>
      </c>
      <c r="I54" s="186">
        <v>0.05</v>
      </c>
      <c r="J54" s="187">
        <v>0.122</v>
      </c>
      <c r="K54" s="186">
        <v>0.1</v>
      </c>
      <c r="L54" s="171">
        <f t="shared" si="25"/>
        <v>0</v>
      </c>
      <c r="M54" s="171">
        <f t="shared" si="26"/>
        <v>0</v>
      </c>
      <c r="N54" s="171">
        <f t="shared" si="27"/>
        <v>0</v>
      </c>
      <c r="O54" s="171">
        <f t="shared" si="28"/>
        <v>0</v>
      </c>
      <c r="P54" s="171">
        <f t="shared" si="29"/>
        <v>0</v>
      </c>
      <c r="Q54" s="170">
        <f t="shared" si="30"/>
        <v>0</v>
      </c>
      <c r="R54" s="185">
        <v>0.05</v>
      </c>
      <c r="S54" s="185">
        <v>0.05</v>
      </c>
      <c r="T54" s="185">
        <v>0.05</v>
      </c>
      <c r="U54" s="184">
        <v>0.1</v>
      </c>
      <c r="V54" s="167">
        <f t="shared" si="31"/>
        <v>0</v>
      </c>
      <c r="W54" s="167">
        <f t="shared" si="32"/>
        <v>0</v>
      </c>
      <c r="X54" s="167">
        <f t="shared" si="33"/>
        <v>0</v>
      </c>
      <c r="Y54" s="167">
        <f t="shared" si="34"/>
        <v>0</v>
      </c>
      <c r="Z54" s="183">
        <f t="shared" si="35"/>
        <v>0</v>
      </c>
      <c r="AA54" s="182">
        <v>70</v>
      </c>
      <c r="AB54" s="181"/>
      <c r="AC54" s="180">
        <v>70</v>
      </c>
      <c r="AD54" s="243"/>
    </row>
    <row r="55" spans="1:30" ht="15.75">
      <c r="A55" s="220" t="s">
        <v>116</v>
      </c>
      <c r="B55" s="191"/>
      <c r="C55" s="190">
        <v>0</v>
      </c>
      <c r="D55" s="207" t="s">
        <v>3</v>
      </c>
      <c r="E55" s="230">
        <v>345</v>
      </c>
      <c r="F55" s="174">
        <f t="shared" si="24"/>
        <v>0</v>
      </c>
      <c r="G55" s="186">
        <v>0.05</v>
      </c>
      <c r="H55" s="186">
        <v>0.02</v>
      </c>
      <c r="I55" s="186">
        <v>0.05</v>
      </c>
      <c r="J55" s="187">
        <v>0.122</v>
      </c>
      <c r="K55" s="186">
        <v>0.1</v>
      </c>
      <c r="L55" s="171">
        <f t="shared" si="25"/>
        <v>0</v>
      </c>
      <c r="M55" s="171">
        <f t="shared" si="26"/>
        <v>0</v>
      </c>
      <c r="N55" s="171">
        <f t="shared" si="27"/>
        <v>0</v>
      </c>
      <c r="O55" s="171">
        <f t="shared" si="28"/>
        <v>0</v>
      </c>
      <c r="P55" s="171">
        <f t="shared" si="29"/>
        <v>0</v>
      </c>
      <c r="Q55" s="170">
        <f t="shared" si="30"/>
        <v>0</v>
      </c>
      <c r="R55" s="185">
        <v>0.05</v>
      </c>
      <c r="S55" s="185">
        <v>0.05</v>
      </c>
      <c r="T55" s="185">
        <v>0.05</v>
      </c>
      <c r="U55" s="184">
        <v>0.1</v>
      </c>
      <c r="V55" s="167">
        <f t="shared" si="31"/>
        <v>0</v>
      </c>
      <c r="W55" s="167">
        <f t="shared" si="32"/>
        <v>0</v>
      </c>
      <c r="X55" s="167">
        <f t="shared" si="33"/>
        <v>0</v>
      </c>
      <c r="Y55" s="167">
        <f t="shared" si="34"/>
        <v>0</v>
      </c>
      <c r="Z55" s="183">
        <f t="shared" si="35"/>
        <v>0</v>
      </c>
      <c r="AA55" s="182">
        <v>70</v>
      </c>
      <c r="AB55" s="181"/>
      <c r="AC55" s="180">
        <v>70</v>
      </c>
      <c r="AD55" s="243"/>
    </row>
    <row r="56" spans="1:30" ht="15.75">
      <c r="A56" s="220" t="s">
        <v>115</v>
      </c>
      <c r="B56" s="191"/>
      <c r="C56" s="190">
        <v>0</v>
      </c>
      <c r="D56" s="207" t="s">
        <v>3</v>
      </c>
      <c r="E56" s="230">
        <v>387</v>
      </c>
      <c r="F56" s="174">
        <f t="shared" si="24"/>
        <v>0</v>
      </c>
      <c r="G56" s="186">
        <v>0.05</v>
      </c>
      <c r="H56" s="186">
        <v>0.02</v>
      </c>
      <c r="I56" s="186">
        <v>0.05</v>
      </c>
      <c r="J56" s="187">
        <v>0.122</v>
      </c>
      <c r="K56" s="186">
        <v>0.1</v>
      </c>
      <c r="L56" s="171">
        <f t="shared" si="25"/>
        <v>0</v>
      </c>
      <c r="M56" s="171">
        <f t="shared" si="26"/>
        <v>0</v>
      </c>
      <c r="N56" s="171">
        <f t="shared" si="27"/>
        <v>0</v>
      </c>
      <c r="O56" s="171">
        <f t="shared" si="28"/>
        <v>0</v>
      </c>
      <c r="P56" s="171">
        <f t="shared" si="29"/>
        <v>0</v>
      </c>
      <c r="Q56" s="170">
        <f t="shared" si="30"/>
        <v>0</v>
      </c>
      <c r="R56" s="185">
        <v>0.05</v>
      </c>
      <c r="S56" s="185">
        <v>0.05</v>
      </c>
      <c r="T56" s="185">
        <v>0.05</v>
      </c>
      <c r="U56" s="184">
        <v>0.1</v>
      </c>
      <c r="V56" s="167">
        <f t="shared" si="31"/>
        <v>0</v>
      </c>
      <c r="W56" s="167">
        <f t="shared" si="32"/>
        <v>0</v>
      </c>
      <c r="X56" s="167">
        <f t="shared" si="33"/>
        <v>0</v>
      </c>
      <c r="Y56" s="167">
        <f t="shared" si="34"/>
        <v>0</v>
      </c>
      <c r="Z56" s="183">
        <f t="shared" si="35"/>
        <v>0</v>
      </c>
      <c r="AA56" s="182">
        <v>70</v>
      </c>
      <c r="AB56" s="181"/>
      <c r="AC56" s="180">
        <v>70</v>
      </c>
      <c r="AD56" s="243"/>
    </row>
    <row r="57" spans="1:30" ht="15.75">
      <c r="A57" s="220" t="s">
        <v>114</v>
      </c>
      <c r="B57" s="191"/>
      <c r="C57" s="190">
        <v>0</v>
      </c>
      <c r="D57" s="207" t="s">
        <v>3</v>
      </c>
      <c r="E57" s="230">
        <v>422</v>
      </c>
      <c r="F57" s="174">
        <f t="shared" si="24"/>
        <v>0</v>
      </c>
      <c r="G57" s="186">
        <v>0.05</v>
      </c>
      <c r="H57" s="186">
        <v>0.02</v>
      </c>
      <c r="I57" s="186">
        <v>0.05</v>
      </c>
      <c r="J57" s="187">
        <v>0.122</v>
      </c>
      <c r="K57" s="186">
        <v>0.1</v>
      </c>
      <c r="L57" s="171">
        <f t="shared" si="25"/>
        <v>0</v>
      </c>
      <c r="M57" s="171">
        <f t="shared" si="26"/>
        <v>0</v>
      </c>
      <c r="N57" s="171">
        <f t="shared" si="27"/>
        <v>0</v>
      </c>
      <c r="O57" s="171">
        <f t="shared" si="28"/>
        <v>0</v>
      </c>
      <c r="P57" s="171">
        <f t="shared" si="29"/>
        <v>0</v>
      </c>
      <c r="Q57" s="170">
        <f t="shared" si="30"/>
        <v>0</v>
      </c>
      <c r="R57" s="185">
        <v>0.05</v>
      </c>
      <c r="S57" s="185">
        <v>0.05</v>
      </c>
      <c r="T57" s="185">
        <v>0.05</v>
      </c>
      <c r="U57" s="184">
        <v>0.1</v>
      </c>
      <c r="V57" s="167">
        <f t="shared" si="31"/>
        <v>0</v>
      </c>
      <c r="W57" s="167">
        <f t="shared" si="32"/>
        <v>0</v>
      </c>
      <c r="X57" s="167">
        <f t="shared" si="33"/>
        <v>0</v>
      </c>
      <c r="Y57" s="167">
        <f t="shared" si="34"/>
        <v>0</v>
      </c>
      <c r="Z57" s="183">
        <f t="shared" si="35"/>
        <v>0</v>
      </c>
      <c r="AA57" s="182">
        <v>70</v>
      </c>
      <c r="AB57" s="181"/>
      <c r="AC57" s="180">
        <v>70</v>
      </c>
      <c r="AD57" s="243"/>
    </row>
    <row r="58" spans="1:30" ht="90">
      <c r="A58" s="219" t="s">
        <v>113</v>
      </c>
      <c r="B58" s="205"/>
      <c r="C58" s="204"/>
      <c r="D58" s="203"/>
      <c r="E58" s="242"/>
      <c r="F58" s="200"/>
      <c r="G58" s="200"/>
      <c r="H58" s="200"/>
      <c r="I58" s="200"/>
      <c r="J58" s="201"/>
      <c r="K58" s="200"/>
      <c r="L58" s="200"/>
      <c r="M58" s="200"/>
      <c r="N58" s="200"/>
      <c r="O58" s="200"/>
      <c r="P58" s="200"/>
      <c r="Q58" s="200"/>
      <c r="R58" s="199"/>
      <c r="S58" s="199"/>
      <c r="T58" s="199"/>
      <c r="U58" s="197"/>
      <c r="V58" s="197"/>
      <c r="W58" s="197"/>
      <c r="X58" s="197"/>
      <c r="Y58" s="197"/>
      <c r="Z58" s="198"/>
      <c r="AA58" s="197"/>
      <c r="AB58" s="197"/>
      <c r="AC58" s="195"/>
      <c r="AD58" s="194"/>
    </row>
    <row r="59" spans="1:30" ht="75">
      <c r="A59" s="217" t="s">
        <v>35</v>
      </c>
      <c r="B59" s="216"/>
      <c r="C59" s="241"/>
      <c r="D59" s="240"/>
      <c r="E59" s="239"/>
      <c r="F59" s="186"/>
      <c r="G59" s="186"/>
      <c r="H59" s="186"/>
      <c r="I59" s="186"/>
      <c r="J59" s="187"/>
      <c r="K59" s="186"/>
      <c r="L59" s="186"/>
      <c r="M59" s="186"/>
      <c r="N59" s="186"/>
      <c r="O59" s="186"/>
      <c r="P59" s="186"/>
      <c r="Q59" s="186"/>
      <c r="R59" s="185"/>
      <c r="S59" s="185"/>
      <c r="T59" s="185"/>
      <c r="U59" s="184"/>
      <c r="V59" s="184"/>
      <c r="W59" s="184"/>
      <c r="X59" s="184"/>
      <c r="Y59" s="184"/>
      <c r="Z59" s="212"/>
      <c r="AA59" s="184"/>
      <c r="AB59" s="184"/>
      <c r="AC59" s="180"/>
      <c r="AD59" s="211"/>
    </row>
    <row r="60" spans="1:30" ht="18">
      <c r="A60" s="206" t="s">
        <v>34</v>
      </c>
      <c r="B60" s="238"/>
      <c r="C60" s="232"/>
      <c r="D60" s="232"/>
      <c r="E60" s="231"/>
      <c r="F60" s="200"/>
      <c r="G60" s="200"/>
      <c r="H60" s="200"/>
      <c r="I60" s="200"/>
      <c r="J60" s="201"/>
      <c r="K60" s="200"/>
      <c r="L60" s="200"/>
      <c r="M60" s="200"/>
      <c r="N60" s="200"/>
      <c r="O60" s="200"/>
      <c r="P60" s="200"/>
      <c r="Q60" s="200"/>
      <c r="R60" s="199"/>
      <c r="S60" s="199"/>
      <c r="T60" s="199"/>
      <c r="U60" s="197"/>
      <c r="V60" s="197"/>
      <c r="W60" s="197"/>
      <c r="X60" s="197"/>
      <c r="Y60" s="197"/>
      <c r="Z60" s="198"/>
      <c r="AA60" s="197"/>
      <c r="AB60" s="197"/>
      <c r="AC60" s="195"/>
      <c r="AD60" s="194"/>
    </row>
    <row r="61" spans="1:30" ht="15.75">
      <c r="A61" s="208" t="s">
        <v>112</v>
      </c>
      <c r="B61" s="191"/>
      <c r="C61" s="190">
        <v>0</v>
      </c>
      <c r="D61" s="207" t="s">
        <v>3</v>
      </c>
      <c r="E61" s="230">
        <v>196</v>
      </c>
      <c r="F61" s="174">
        <f t="shared" ref="F61:F71" si="36">E61*C61</f>
        <v>0</v>
      </c>
      <c r="G61" s="186">
        <v>0.05</v>
      </c>
      <c r="H61" s="186">
        <v>0.02</v>
      </c>
      <c r="I61" s="186">
        <v>0.05</v>
      </c>
      <c r="J61" s="187">
        <v>0.122</v>
      </c>
      <c r="K61" s="186">
        <v>0.1</v>
      </c>
      <c r="L61" s="171">
        <f t="shared" ref="L61:L71" si="37">F61*G61</f>
        <v>0</v>
      </c>
      <c r="M61" s="171">
        <f t="shared" ref="M61:M71" si="38">(F61+L61)*H61</f>
        <v>0</v>
      </c>
      <c r="N61" s="171">
        <f t="shared" ref="N61:N71" si="39">(F61+L61+M61)*I61</f>
        <v>0</v>
      </c>
      <c r="O61" s="171">
        <f t="shared" ref="O61:O71" si="40">(F61+L61+M61+N61)*J61</f>
        <v>0</v>
      </c>
      <c r="P61" s="171">
        <f t="shared" ref="P61:P71" si="41">(F61+L61+M61+N61+O61)*K61</f>
        <v>0</v>
      </c>
      <c r="Q61" s="170">
        <f t="shared" ref="Q61:Q71" si="42">F61+SUM(L61:P61)</f>
        <v>0</v>
      </c>
      <c r="R61" s="185">
        <v>0.05</v>
      </c>
      <c r="S61" s="185">
        <v>0.05</v>
      </c>
      <c r="T61" s="185">
        <v>0.05</v>
      </c>
      <c r="U61" s="184">
        <v>0.1</v>
      </c>
      <c r="V61" s="167">
        <f t="shared" ref="V61:V71" si="43">Q61*R61</f>
        <v>0</v>
      </c>
      <c r="W61" s="167">
        <f t="shared" ref="W61:W71" si="44">Q61*S61</f>
        <v>0</v>
      </c>
      <c r="X61" s="167">
        <f t="shared" ref="X61:X71" si="45">Q61*T61</f>
        <v>0</v>
      </c>
      <c r="Y61" s="167">
        <f t="shared" ref="Y61:Y71" si="46">U61*(V61+W61)</f>
        <v>0</v>
      </c>
      <c r="Z61" s="183">
        <f t="shared" ref="Z61:Z71" si="47">Q61+SUM(V61:Y61)</f>
        <v>0</v>
      </c>
      <c r="AA61" s="182">
        <v>70</v>
      </c>
      <c r="AB61" s="181"/>
      <c r="AC61" s="180">
        <v>70</v>
      </c>
      <c r="AD61" s="193"/>
    </row>
    <row r="62" spans="1:30" ht="15.75">
      <c r="A62" s="208" t="s">
        <v>111</v>
      </c>
      <c r="B62" s="191"/>
      <c r="C62" s="190">
        <v>0</v>
      </c>
      <c r="D62" s="207" t="s">
        <v>3</v>
      </c>
      <c r="E62" s="230">
        <v>207</v>
      </c>
      <c r="F62" s="174">
        <f t="shared" si="36"/>
        <v>0</v>
      </c>
      <c r="G62" s="186">
        <v>0.05</v>
      </c>
      <c r="H62" s="186">
        <v>0.02</v>
      </c>
      <c r="I62" s="186">
        <v>0.05</v>
      </c>
      <c r="J62" s="187">
        <v>0.122</v>
      </c>
      <c r="K62" s="186">
        <v>0.1</v>
      </c>
      <c r="L62" s="171">
        <f t="shared" si="37"/>
        <v>0</v>
      </c>
      <c r="M62" s="171">
        <f t="shared" si="38"/>
        <v>0</v>
      </c>
      <c r="N62" s="171">
        <f t="shared" si="39"/>
        <v>0</v>
      </c>
      <c r="O62" s="171">
        <f t="shared" si="40"/>
        <v>0</v>
      </c>
      <c r="P62" s="171">
        <f t="shared" si="41"/>
        <v>0</v>
      </c>
      <c r="Q62" s="170">
        <f t="shared" si="42"/>
        <v>0</v>
      </c>
      <c r="R62" s="185">
        <v>0.05</v>
      </c>
      <c r="S62" s="185">
        <v>0.05</v>
      </c>
      <c r="T62" s="185">
        <v>0.05</v>
      </c>
      <c r="U62" s="184">
        <v>0.1</v>
      </c>
      <c r="V62" s="167">
        <f t="shared" si="43"/>
        <v>0</v>
      </c>
      <c r="W62" s="167">
        <f t="shared" si="44"/>
        <v>0</v>
      </c>
      <c r="X62" s="167">
        <f t="shared" si="45"/>
        <v>0</v>
      </c>
      <c r="Y62" s="167">
        <f t="shared" si="46"/>
        <v>0</v>
      </c>
      <c r="Z62" s="183">
        <f t="shared" si="47"/>
        <v>0</v>
      </c>
      <c r="AA62" s="182">
        <v>70</v>
      </c>
      <c r="AB62" s="181"/>
      <c r="AC62" s="180">
        <v>70</v>
      </c>
      <c r="AD62" s="193"/>
    </row>
    <row r="63" spans="1:30" ht="15.75">
      <c r="A63" s="208" t="s">
        <v>110</v>
      </c>
      <c r="B63" s="191"/>
      <c r="C63" s="190">
        <v>200</v>
      </c>
      <c r="D63" s="207" t="s">
        <v>3</v>
      </c>
      <c r="E63" s="230">
        <v>221</v>
      </c>
      <c r="F63" s="174">
        <f t="shared" si="36"/>
        <v>44200</v>
      </c>
      <c r="G63" s="186">
        <v>0.05</v>
      </c>
      <c r="H63" s="186">
        <v>0.02</v>
      </c>
      <c r="I63" s="186">
        <v>0.05</v>
      </c>
      <c r="J63" s="187">
        <v>0.122</v>
      </c>
      <c r="K63" s="186">
        <v>0.1</v>
      </c>
      <c r="L63" s="171">
        <f t="shared" si="37"/>
        <v>2210</v>
      </c>
      <c r="M63" s="171">
        <f t="shared" si="38"/>
        <v>928.2</v>
      </c>
      <c r="N63" s="171">
        <f t="shared" si="39"/>
        <v>2366.91</v>
      </c>
      <c r="O63" s="171">
        <f t="shared" si="40"/>
        <v>6064.0234199999995</v>
      </c>
      <c r="P63" s="171">
        <f t="shared" si="41"/>
        <v>5576.9133419999998</v>
      </c>
      <c r="Q63" s="170">
        <f t="shared" si="42"/>
        <v>61346.046761999998</v>
      </c>
      <c r="R63" s="185">
        <v>0.05</v>
      </c>
      <c r="S63" s="185">
        <v>0.05</v>
      </c>
      <c r="T63" s="185">
        <v>0.05</v>
      </c>
      <c r="U63" s="184">
        <v>0.1</v>
      </c>
      <c r="V63" s="167">
        <f t="shared" si="43"/>
        <v>3067.3023381000003</v>
      </c>
      <c r="W63" s="167">
        <f t="shared" si="44"/>
        <v>3067.3023381000003</v>
      </c>
      <c r="X63" s="167">
        <f t="shared" si="45"/>
        <v>3067.3023381000003</v>
      </c>
      <c r="Y63" s="167">
        <f t="shared" si="46"/>
        <v>613.46046762000003</v>
      </c>
      <c r="Z63" s="183">
        <f t="shared" si="47"/>
        <v>71161.414243919993</v>
      </c>
      <c r="AA63" s="182">
        <v>70</v>
      </c>
      <c r="AB63" s="181"/>
      <c r="AC63" s="180">
        <v>70</v>
      </c>
      <c r="AD63" s="193"/>
    </row>
    <row r="64" spans="1:30" ht="15.75">
      <c r="A64" s="208" t="s">
        <v>109</v>
      </c>
      <c r="B64" s="191"/>
      <c r="C64" s="190">
        <v>0</v>
      </c>
      <c r="D64" s="207" t="s">
        <v>3</v>
      </c>
      <c r="E64" s="230">
        <v>254</v>
      </c>
      <c r="F64" s="174">
        <f t="shared" si="36"/>
        <v>0</v>
      </c>
      <c r="G64" s="186">
        <v>0.05</v>
      </c>
      <c r="H64" s="186">
        <v>0.02</v>
      </c>
      <c r="I64" s="186">
        <v>0.05</v>
      </c>
      <c r="J64" s="187">
        <v>0.122</v>
      </c>
      <c r="K64" s="186">
        <v>0.1</v>
      </c>
      <c r="L64" s="171">
        <f t="shared" si="37"/>
        <v>0</v>
      </c>
      <c r="M64" s="171">
        <f t="shared" si="38"/>
        <v>0</v>
      </c>
      <c r="N64" s="171">
        <f t="shared" si="39"/>
        <v>0</v>
      </c>
      <c r="O64" s="171">
        <f t="shared" si="40"/>
        <v>0</v>
      </c>
      <c r="P64" s="171">
        <f t="shared" si="41"/>
        <v>0</v>
      </c>
      <c r="Q64" s="170">
        <f t="shared" si="42"/>
        <v>0</v>
      </c>
      <c r="R64" s="185">
        <v>0.05</v>
      </c>
      <c r="S64" s="185">
        <v>0.05</v>
      </c>
      <c r="T64" s="185">
        <v>0.05</v>
      </c>
      <c r="U64" s="184">
        <v>0.1</v>
      </c>
      <c r="V64" s="167">
        <f t="shared" si="43"/>
        <v>0</v>
      </c>
      <c r="W64" s="167">
        <f t="shared" si="44"/>
        <v>0</v>
      </c>
      <c r="X64" s="167">
        <f t="shared" si="45"/>
        <v>0</v>
      </c>
      <c r="Y64" s="167">
        <f t="shared" si="46"/>
        <v>0</v>
      </c>
      <c r="Z64" s="183">
        <f t="shared" si="47"/>
        <v>0</v>
      </c>
      <c r="AA64" s="182">
        <v>70</v>
      </c>
      <c r="AB64" s="181"/>
      <c r="AC64" s="180">
        <v>70</v>
      </c>
      <c r="AD64" s="193"/>
    </row>
    <row r="65" spans="1:30" ht="15.75">
      <c r="A65" s="208" t="s">
        <v>108</v>
      </c>
      <c r="B65" s="191"/>
      <c r="C65" s="190">
        <v>0</v>
      </c>
      <c r="D65" s="207" t="s">
        <v>3</v>
      </c>
      <c r="E65" s="230">
        <v>263</v>
      </c>
      <c r="F65" s="174">
        <f t="shared" si="36"/>
        <v>0</v>
      </c>
      <c r="G65" s="186">
        <v>0.05</v>
      </c>
      <c r="H65" s="186">
        <v>0.02</v>
      </c>
      <c r="I65" s="186">
        <v>0.05</v>
      </c>
      <c r="J65" s="187">
        <v>0.122</v>
      </c>
      <c r="K65" s="186">
        <v>0.1</v>
      </c>
      <c r="L65" s="171">
        <f t="shared" si="37"/>
        <v>0</v>
      </c>
      <c r="M65" s="171">
        <f t="shared" si="38"/>
        <v>0</v>
      </c>
      <c r="N65" s="171">
        <f t="shared" si="39"/>
        <v>0</v>
      </c>
      <c r="O65" s="171">
        <f t="shared" si="40"/>
        <v>0</v>
      </c>
      <c r="P65" s="171">
        <f t="shared" si="41"/>
        <v>0</v>
      </c>
      <c r="Q65" s="170">
        <f t="shared" si="42"/>
        <v>0</v>
      </c>
      <c r="R65" s="185">
        <v>0.05</v>
      </c>
      <c r="S65" s="185">
        <v>0.05</v>
      </c>
      <c r="T65" s="185">
        <v>0.05</v>
      </c>
      <c r="U65" s="184">
        <v>0.1</v>
      </c>
      <c r="V65" s="167">
        <f t="shared" si="43"/>
        <v>0</v>
      </c>
      <c r="W65" s="167">
        <f t="shared" si="44"/>
        <v>0</v>
      </c>
      <c r="X65" s="167">
        <f t="shared" si="45"/>
        <v>0</v>
      </c>
      <c r="Y65" s="167">
        <f t="shared" si="46"/>
        <v>0</v>
      </c>
      <c r="Z65" s="183">
        <f t="shared" si="47"/>
        <v>0</v>
      </c>
      <c r="AA65" s="182">
        <v>70</v>
      </c>
      <c r="AB65" s="181"/>
      <c r="AC65" s="180">
        <v>70</v>
      </c>
      <c r="AD65" s="193"/>
    </row>
    <row r="66" spans="1:30" ht="15.75">
      <c r="A66" s="208" t="s">
        <v>107</v>
      </c>
      <c r="B66" s="191"/>
      <c r="C66" s="190">
        <v>0</v>
      </c>
      <c r="D66" s="207" t="s">
        <v>3</v>
      </c>
      <c r="E66" s="230">
        <v>291</v>
      </c>
      <c r="F66" s="174">
        <f t="shared" si="36"/>
        <v>0</v>
      </c>
      <c r="G66" s="186">
        <v>0.05</v>
      </c>
      <c r="H66" s="186">
        <v>0.02</v>
      </c>
      <c r="I66" s="186">
        <v>0.05</v>
      </c>
      <c r="J66" s="187">
        <v>0.122</v>
      </c>
      <c r="K66" s="186">
        <v>0.1</v>
      </c>
      <c r="L66" s="171">
        <f t="shared" si="37"/>
        <v>0</v>
      </c>
      <c r="M66" s="171">
        <f t="shared" si="38"/>
        <v>0</v>
      </c>
      <c r="N66" s="171">
        <f t="shared" si="39"/>
        <v>0</v>
      </c>
      <c r="O66" s="171">
        <f t="shared" si="40"/>
        <v>0</v>
      </c>
      <c r="P66" s="171">
        <f t="shared" si="41"/>
        <v>0</v>
      </c>
      <c r="Q66" s="170">
        <f t="shared" si="42"/>
        <v>0</v>
      </c>
      <c r="R66" s="185">
        <v>0.05</v>
      </c>
      <c r="S66" s="185">
        <v>0.05</v>
      </c>
      <c r="T66" s="185">
        <v>0.05</v>
      </c>
      <c r="U66" s="184">
        <v>0.1</v>
      </c>
      <c r="V66" s="167">
        <f t="shared" si="43"/>
        <v>0</v>
      </c>
      <c r="W66" s="167">
        <f t="shared" si="44"/>
        <v>0</v>
      </c>
      <c r="X66" s="167">
        <f t="shared" si="45"/>
        <v>0</v>
      </c>
      <c r="Y66" s="167">
        <f t="shared" si="46"/>
        <v>0</v>
      </c>
      <c r="Z66" s="183">
        <f t="shared" si="47"/>
        <v>0</v>
      </c>
      <c r="AA66" s="182">
        <v>70</v>
      </c>
      <c r="AB66" s="181"/>
      <c r="AC66" s="180">
        <v>70</v>
      </c>
      <c r="AD66" s="193"/>
    </row>
    <row r="67" spans="1:30" ht="15.75">
      <c r="A67" s="208" t="s">
        <v>106</v>
      </c>
      <c r="B67" s="191"/>
      <c r="C67" s="190">
        <v>0</v>
      </c>
      <c r="D67" s="207" t="s">
        <v>3</v>
      </c>
      <c r="E67" s="230">
        <v>316</v>
      </c>
      <c r="F67" s="174">
        <f t="shared" si="36"/>
        <v>0</v>
      </c>
      <c r="G67" s="186">
        <v>0.05</v>
      </c>
      <c r="H67" s="186">
        <v>0.02</v>
      </c>
      <c r="I67" s="186">
        <v>0.05</v>
      </c>
      <c r="J67" s="187">
        <v>0.122</v>
      </c>
      <c r="K67" s="186">
        <v>0.1</v>
      </c>
      <c r="L67" s="171">
        <f t="shared" si="37"/>
        <v>0</v>
      </c>
      <c r="M67" s="171">
        <f t="shared" si="38"/>
        <v>0</v>
      </c>
      <c r="N67" s="171">
        <f t="shared" si="39"/>
        <v>0</v>
      </c>
      <c r="O67" s="171">
        <f t="shared" si="40"/>
        <v>0</v>
      </c>
      <c r="P67" s="171">
        <f t="shared" si="41"/>
        <v>0</v>
      </c>
      <c r="Q67" s="170">
        <f t="shared" si="42"/>
        <v>0</v>
      </c>
      <c r="R67" s="185">
        <v>0.05</v>
      </c>
      <c r="S67" s="185">
        <v>0.05</v>
      </c>
      <c r="T67" s="185">
        <v>0.05</v>
      </c>
      <c r="U67" s="184">
        <v>0.1</v>
      </c>
      <c r="V67" s="167">
        <f t="shared" si="43"/>
        <v>0</v>
      </c>
      <c r="W67" s="167">
        <f t="shared" si="44"/>
        <v>0</v>
      </c>
      <c r="X67" s="167">
        <f t="shared" si="45"/>
        <v>0</v>
      </c>
      <c r="Y67" s="167">
        <f t="shared" si="46"/>
        <v>0</v>
      </c>
      <c r="Z67" s="183">
        <f t="shared" si="47"/>
        <v>0</v>
      </c>
      <c r="AA67" s="182">
        <v>70</v>
      </c>
      <c r="AB67" s="181"/>
      <c r="AC67" s="180">
        <v>70</v>
      </c>
      <c r="AD67" s="193"/>
    </row>
    <row r="68" spans="1:30" ht="15.75">
      <c r="A68" s="208" t="s">
        <v>105</v>
      </c>
      <c r="B68" s="191"/>
      <c r="C68" s="190">
        <v>0</v>
      </c>
      <c r="D68" s="207" t="s">
        <v>3</v>
      </c>
      <c r="E68" s="230">
        <v>345</v>
      </c>
      <c r="F68" s="174">
        <f t="shared" si="36"/>
        <v>0</v>
      </c>
      <c r="G68" s="186">
        <v>0.05</v>
      </c>
      <c r="H68" s="186">
        <v>0.02</v>
      </c>
      <c r="I68" s="186">
        <v>0.05</v>
      </c>
      <c r="J68" s="187">
        <v>0.122</v>
      </c>
      <c r="K68" s="186">
        <v>0.1</v>
      </c>
      <c r="L68" s="171">
        <f t="shared" si="37"/>
        <v>0</v>
      </c>
      <c r="M68" s="171">
        <f t="shared" si="38"/>
        <v>0</v>
      </c>
      <c r="N68" s="171">
        <f t="shared" si="39"/>
        <v>0</v>
      </c>
      <c r="O68" s="171">
        <f t="shared" si="40"/>
        <v>0</v>
      </c>
      <c r="P68" s="171">
        <f t="shared" si="41"/>
        <v>0</v>
      </c>
      <c r="Q68" s="170">
        <f t="shared" si="42"/>
        <v>0</v>
      </c>
      <c r="R68" s="185">
        <v>0.05</v>
      </c>
      <c r="S68" s="185">
        <v>0.05</v>
      </c>
      <c r="T68" s="185">
        <v>0.05</v>
      </c>
      <c r="U68" s="184">
        <v>0.1</v>
      </c>
      <c r="V68" s="167">
        <f t="shared" si="43"/>
        <v>0</v>
      </c>
      <c r="W68" s="167">
        <f t="shared" si="44"/>
        <v>0</v>
      </c>
      <c r="X68" s="167">
        <f t="shared" si="45"/>
        <v>0</v>
      </c>
      <c r="Y68" s="167">
        <f t="shared" si="46"/>
        <v>0</v>
      </c>
      <c r="Z68" s="183">
        <f t="shared" si="47"/>
        <v>0</v>
      </c>
      <c r="AA68" s="182">
        <v>70</v>
      </c>
      <c r="AB68" s="181"/>
      <c r="AC68" s="180">
        <v>70</v>
      </c>
      <c r="AD68" s="193"/>
    </row>
    <row r="69" spans="1:30" ht="15.75">
      <c r="A69" s="208" t="s">
        <v>104</v>
      </c>
      <c r="B69" s="191"/>
      <c r="C69" s="190">
        <v>0</v>
      </c>
      <c r="D69" s="207" t="s">
        <v>3</v>
      </c>
      <c r="E69" s="230">
        <v>387</v>
      </c>
      <c r="F69" s="174">
        <f t="shared" si="36"/>
        <v>0</v>
      </c>
      <c r="G69" s="186">
        <v>0.05</v>
      </c>
      <c r="H69" s="186">
        <v>0.02</v>
      </c>
      <c r="I69" s="186">
        <v>0.05</v>
      </c>
      <c r="J69" s="187">
        <v>0.122</v>
      </c>
      <c r="K69" s="186">
        <v>0.1</v>
      </c>
      <c r="L69" s="171">
        <f t="shared" si="37"/>
        <v>0</v>
      </c>
      <c r="M69" s="171">
        <f t="shared" si="38"/>
        <v>0</v>
      </c>
      <c r="N69" s="171">
        <f t="shared" si="39"/>
        <v>0</v>
      </c>
      <c r="O69" s="171">
        <f t="shared" si="40"/>
        <v>0</v>
      </c>
      <c r="P69" s="171">
        <f t="shared" si="41"/>
        <v>0</v>
      </c>
      <c r="Q69" s="170">
        <f t="shared" si="42"/>
        <v>0</v>
      </c>
      <c r="R69" s="185">
        <v>0.05</v>
      </c>
      <c r="S69" s="185">
        <v>0.05</v>
      </c>
      <c r="T69" s="185">
        <v>0.05</v>
      </c>
      <c r="U69" s="184">
        <v>0.1</v>
      </c>
      <c r="V69" s="167">
        <f t="shared" si="43"/>
        <v>0</v>
      </c>
      <c r="W69" s="167">
        <f t="shared" si="44"/>
        <v>0</v>
      </c>
      <c r="X69" s="167">
        <f t="shared" si="45"/>
        <v>0</v>
      </c>
      <c r="Y69" s="167">
        <f t="shared" si="46"/>
        <v>0</v>
      </c>
      <c r="Z69" s="183">
        <f t="shared" si="47"/>
        <v>0</v>
      </c>
      <c r="AA69" s="182">
        <v>70</v>
      </c>
      <c r="AB69" s="181"/>
      <c r="AC69" s="180">
        <v>70</v>
      </c>
      <c r="AD69" s="193"/>
    </row>
    <row r="70" spans="1:30" ht="15.75">
      <c r="A70" s="208" t="s">
        <v>103</v>
      </c>
      <c r="B70" s="191"/>
      <c r="C70" s="190">
        <v>0</v>
      </c>
      <c r="D70" s="207" t="s">
        <v>3</v>
      </c>
      <c r="E70" s="230">
        <v>422</v>
      </c>
      <c r="F70" s="174">
        <f t="shared" si="36"/>
        <v>0</v>
      </c>
      <c r="G70" s="186">
        <v>0.05</v>
      </c>
      <c r="H70" s="186">
        <v>0.02</v>
      </c>
      <c r="I70" s="186">
        <v>0.05</v>
      </c>
      <c r="J70" s="187">
        <v>0.122</v>
      </c>
      <c r="K70" s="186">
        <v>0.1</v>
      </c>
      <c r="L70" s="171">
        <f t="shared" si="37"/>
        <v>0</v>
      </c>
      <c r="M70" s="171">
        <f t="shared" si="38"/>
        <v>0</v>
      </c>
      <c r="N70" s="171">
        <f t="shared" si="39"/>
        <v>0</v>
      </c>
      <c r="O70" s="171">
        <f t="shared" si="40"/>
        <v>0</v>
      </c>
      <c r="P70" s="171">
        <f t="shared" si="41"/>
        <v>0</v>
      </c>
      <c r="Q70" s="170">
        <f t="shared" si="42"/>
        <v>0</v>
      </c>
      <c r="R70" s="185">
        <v>0.05</v>
      </c>
      <c r="S70" s="185">
        <v>0.05</v>
      </c>
      <c r="T70" s="185">
        <v>0.05</v>
      </c>
      <c r="U70" s="184">
        <v>0.1</v>
      </c>
      <c r="V70" s="167">
        <f t="shared" si="43"/>
        <v>0</v>
      </c>
      <c r="W70" s="167">
        <f t="shared" si="44"/>
        <v>0</v>
      </c>
      <c r="X70" s="167">
        <f t="shared" si="45"/>
        <v>0</v>
      </c>
      <c r="Y70" s="167">
        <f t="shared" si="46"/>
        <v>0</v>
      </c>
      <c r="Z70" s="183">
        <f t="shared" si="47"/>
        <v>0</v>
      </c>
      <c r="AA70" s="182">
        <v>70</v>
      </c>
      <c r="AB70" s="181"/>
      <c r="AC70" s="180">
        <v>70</v>
      </c>
      <c r="AD70" s="193"/>
    </row>
    <row r="71" spans="1:30" ht="15.75">
      <c r="A71" s="208" t="s">
        <v>102</v>
      </c>
      <c r="B71" s="191"/>
      <c r="C71" s="190">
        <v>0</v>
      </c>
      <c r="D71" s="207" t="s">
        <v>3</v>
      </c>
      <c r="E71" s="230">
        <v>476</v>
      </c>
      <c r="F71" s="174">
        <f t="shared" si="36"/>
        <v>0</v>
      </c>
      <c r="G71" s="186">
        <v>0.05</v>
      </c>
      <c r="H71" s="186">
        <v>0.02</v>
      </c>
      <c r="I71" s="186">
        <v>0.05</v>
      </c>
      <c r="J71" s="187">
        <v>0.122</v>
      </c>
      <c r="K71" s="186">
        <v>0.1</v>
      </c>
      <c r="L71" s="171">
        <f t="shared" si="37"/>
        <v>0</v>
      </c>
      <c r="M71" s="171">
        <f t="shared" si="38"/>
        <v>0</v>
      </c>
      <c r="N71" s="171">
        <f t="shared" si="39"/>
        <v>0</v>
      </c>
      <c r="O71" s="171">
        <f t="shared" si="40"/>
        <v>0</v>
      </c>
      <c r="P71" s="171">
        <f t="shared" si="41"/>
        <v>0</v>
      </c>
      <c r="Q71" s="170">
        <f t="shared" si="42"/>
        <v>0</v>
      </c>
      <c r="R71" s="185">
        <v>0.05</v>
      </c>
      <c r="S71" s="185">
        <v>0.05</v>
      </c>
      <c r="T71" s="185">
        <v>0.05</v>
      </c>
      <c r="U71" s="184">
        <v>0.1</v>
      </c>
      <c r="V71" s="167">
        <f t="shared" si="43"/>
        <v>0</v>
      </c>
      <c r="W71" s="167">
        <f t="shared" si="44"/>
        <v>0</v>
      </c>
      <c r="X71" s="167">
        <f t="shared" si="45"/>
        <v>0</v>
      </c>
      <c r="Y71" s="167">
        <f t="shared" si="46"/>
        <v>0</v>
      </c>
      <c r="Z71" s="183">
        <f t="shared" si="47"/>
        <v>0</v>
      </c>
      <c r="AA71" s="182">
        <v>70</v>
      </c>
      <c r="AB71" s="181"/>
      <c r="AC71" s="180">
        <v>70</v>
      </c>
      <c r="AD71" s="193"/>
    </row>
    <row r="72" spans="1:30" ht="18">
      <c r="A72" s="235" t="s">
        <v>22</v>
      </c>
      <c r="B72" s="234"/>
      <c r="C72" s="233"/>
      <c r="D72" s="232"/>
      <c r="E72" s="231"/>
      <c r="F72" s="200"/>
      <c r="G72" s="200"/>
      <c r="H72" s="200"/>
      <c r="I72" s="200"/>
      <c r="J72" s="201"/>
      <c r="K72" s="200"/>
      <c r="L72" s="200"/>
      <c r="M72" s="200"/>
      <c r="N72" s="200"/>
      <c r="O72" s="200"/>
      <c r="P72" s="200"/>
      <c r="Q72" s="200"/>
      <c r="R72" s="199"/>
      <c r="S72" s="199"/>
      <c r="T72" s="199"/>
      <c r="U72" s="197"/>
      <c r="V72" s="197"/>
      <c r="W72" s="197"/>
      <c r="X72" s="197"/>
      <c r="Y72" s="197"/>
      <c r="Z72" s="198"/>
      <c r="AA72" s="197"/>
      <c r="AB72" s="197"/>
      <c r="AC72" s="197"/>
      <c r="AD72" s="194"/>
    </row>
    <row r="73" spans="1:30" ht="15.75">
      <c r="A73" s="236" t="s">
        <v>101</v>
      </c>
      <c r="B73" s="191"/>
      <c r="C73" s="190">
        <v>0</v>
      </c>
      <c r="D73" s="207" t="s">
        <v>3</v>
      </c>
      <c r="E73" s="230">
        <v>207</v>
      </c>
      <c r="F73" s="174">
        <f t="shared" ref="F73:F82" si="48">E73*C73</f>
        <v>0</v>
      </c>
      <c r="G73" s="186">
        <v>0.05</v>
      </c>
      <c r="H73" s="186">
        <v>0.02</v>
      </c>
      <c r="I73" s="186">
        <v>0.05</v>
      </c>
      <c r="J73" s="187">
        <v>0.122</v>
      </c>
      <c r="K73" s="186">
        <v>0.1</v>
      </c>
      <c r="L73" s="171">
        <f t="shared" ref="L73:L82" si="49">F73*G73</f>
        <v>0</v>
      </c>
      <c r="M73" s="171">
        <f t="shared" ref="M73:M82" si="50">(F73+L73)*H73</f>
        <v>0</v>
      </c>
      <c r="N73" s="171">
        <f t="shared" ref="N73:N82" si="51">(F73+L73+M73)*I73</f>
        <v>0</v>
      </c>
      <c r="O73" s="171">
        <f t="shared" ref="O73:O82" si="52">(F73+L73+M73+N73)*J73</f>
        <v>0</v>
      </c>
      <c r="P73" s="171">
        <f t="shared" ref="P73:P82" si="53">(F73+L73+M73+N73+O73)*K73</f>
        <v>0</v>
      </c>
      <c r="Q73" s="170">
        <f t="shared" ref="Q73:Q82" si="54">F73+SUM(L73:P73)</f>
        <v>0</v>
      </c>
      <c r="R73" s="185">
        <v>0.05</v>
      </c>
      <c r="S73" s="185">
        <v>0.05</v>
      </c>
      <c r="T73" s="185">
        <v>0.05</v>
      </c>
      <c r="U73" s="184">
        <v>0.1</v>
      </c>
      <c r="V73" s="167">
        <f t="shared" ref="V73:V82" si="55">Q73*R73</f>
        <v>0</v>
      </c>
      <c r="W73" s="167">
        <f t="shared" ref="W73:W82" si="56">Q73*S73</f>
        <v>0</v>
      </c>
      <c r="X73" s="167">
        <f t="shared" ref="X73:X82" si="57">Q73*T73</f>
        <v>0</v>
      </c>
      <c r="Y73" s="167">
        <f t="shared" ref="Y73:Y82" si="58">U73*(V73+W73)</f>
        <v>0</v>
      </c>
      <c r="Z73" s="183">
        <f t="shared" ref="Z73:Z82" si="59">Q73+SUM(V73:Y73)</f>
        <v>0</v>
      </c>
      <c r="AA73" s="182">
        <v>70</v>
      </c>
      <c r="AB73" s="181"/>
      <c r="AC73" s="180">
        <v>70</v>
      </c>
      <c r="AD73" s="193"/>
    </row>
    <row r="74" spans="1:30" ht="15.75">
      <c r="A74" s="236" t="s">
        <v>100</v>
      </c>
      <c r="B74" s="191"/>
      <c r="C74" s="190">
        <v>0</v>
      </c>
      <c r="D74" s="207" t="s">
        <v>3</v>
      </c>
      <c r="E74" s="230">
        <v>221</v>
      </c>
      <c r="F74" s="174">
        <f t="shared" si="48"/>
        <v>0</v>
      </c>
      <c r="G74" s="186">
        <v>0.05</v>
      </c>
      <c r="H74" s="186">
        <v>0.02</v>
      </c>
      <c r="I74" s="186">
        <v>0.05</v>
      </c>
      <c r="J74" s="187">
        <v>0.122</v>
      </c>
      <c r="K74" s="186">
        <v>0.1</v>
      </c>
      <c r="L74" s="171">
        <f t="shared" si="49"/>
        <v>0</v>
      </c>
      <c r="M74" s="171">
        <f t="shared" si="50"/>
        <v>0</v>
      </c>
      <c r="N74" s="171">
        <f t="shared" si="51"/>
        <v>0</v>
      </c>
      <c r="O74" s="171">
        <f t="shared" si="52"/>
        <v>0</v>
      </c>
      <c r="P74" s="171">
        <f t="shared" si="53"/>
        <v>0</v>
      </c>
      <c r="Q74" s="170">
        <f t="shared" si="54"/>
        <v>0</v>
      </c>
      <c r="R74" s="185">
        <v>0.05</v>
      </c>
      <c r="S74" s="185">
        <v>0.05</v>
      </c>
      <c r="T74" s="185">
        <v>0.05</v>
      </c>
      <c r="U74" s="184">
        <v>0.1</v>
      </c>
      <c r="V74" s="167">
        <f t="shared" si="55"/>
        <v>0</v>
      </c>
      <c r="W74" s="167">
        <f t="shared" si="56"/>
        <v>0</v>
      </c>
      <c r="X74" s="167">
        <f t="shared" si="57"/>
        <v>0</v>
      </c>
      <c r="Y74" s="167">
        <f t="shared" si="58"/>
        <v>0</v>
      </c>
      <c r="Z74" s="183">
        <f t="shared" si="59"/>
        <v>0</v>
      </c>
      <c r="AA74" s="182">
        <v>70</v>
      </c>
      <c r="AB74" s="181"/>
      <c r="AC74" s="180">
        <v>70</v>
      </c>
      <c r="AD74" s="193"/>
    </row>
    <row r="75" spans="1:30" ht="15.75">
      <c r="A75" s="236" t="s">
        <v>99</v>
      </c>
      <c r="B75" s="191"/>
      <c r="C75" s="190">
        <v>0</v>
      </c>
      <c r="D75" s="207" t="s">
        <v>3</v>
      </c>
      <c r="E75" s="230">
        <v>254</v>
      </c>
      <c r="F75" s="174">
        <f t="shared" si="48"/>
        <v>0</v>
      </c>
      <c r="G75" s="186">
        <v>0.05</v>
      </c>
      <c r="H75" s="186">
        <v>0.02</v>
      </c>
      <c r="I75" s="186">
        <v>0.05</v>
      </c>
      <c r="J75" s="187">
        <v>0.122</v>
      </c>
      <c r="K75" s="186">
        <v>0.1</v>
      </c>
      <c r="L75" s="171">
        <f t="shared" si="49"/>
        <v>0</v>
      </c>
      <c r="M75" s="171">
        <f t="shared" si="50"/>
        <v>0</v>
      </c>
      <c r="N75" s="171">
        <f t="shared" si="51"/>
        <v>0</v>
      </c>
      <c r="O75" s="171">
        <f t="shared" si="52"/>
        <v>0</v>
      </c>
      <c r="P75" s="171">
        <f t="shared" si="53"/>
        <v>0</v>
      </c>
      <c r="Q75" s="170">
        <f t="shared" si="54"/>
        <v>0</v>
      </c>
      <c r="R75" s="185">
        <v>0.05</v>
      </c>
      <c r="S75" s="185">
        <v>0.05</v>
      </c>
      <c r="T75" s="185">
        <v>0.05</v>
      </c>
      <c r="U75" s="184">
        <v>0.1</v>
      </c>
      <c r="V75" s="167">
        <f t="shared" si="55"/>
        <v>0</v>
      </c>
      <c r="W75" s="167">
        <f t="shared" si="56"/>
        <v>0</v>
      </c>
      <c r="X75" s="167">
        <f t="shared" si="57"/>
        <v>0</v>
      </c>
      <c r="Y75" s="167">
        <f t="shared" si="58"/>
        <v>0</v>
      </c>
      <c r="Z75" s="183">
        <f t="shared" si="59"/>
        <v>0</v>
      </c>
      <c r="AA75" s="182">
        <v>70</v>
      </c>
      <c r="AB75" s="181"/>
      <c r="AC75" s="180">
        <v>70</v>
      </c>
      <c r="AD75" s="193"/>
    </row>
    <row r="76" spans="1:30" ht="15.75">
      <c r="A76" s="236" t="s">
        <v>98</v>
      </c>
      <c r="B76" s="191"/>
      <c r="C76" s="190">
        <v>0</v>
      </c>
      <c r="D76" s="207" t="s">
        <v>3</v>
      </c>
      <c r="E76" s="230">
        <v>263</v>
      </c>
      <c r="F76" s="174">
        <f t="shared" si="48"/>
        <v>0</v>
      </c>
      <c r="G76" s="186">
        <v>0.05</v>
      </c>
      <c r="H76" s="186">
        <v>0.02</v>
      </c>
      <c r="I76" s="186">
        <v>0.05</v>
      </c>
      <c r="J76" s="187">
        <v>0.122</v>
      </c>
      <c r="K76" s="186">
        <v>0.1</v>
      </c>
      <c r="L76" s="171">
        <f t="shared" si="49"/>
        <v>0</v>
      </c>
      <c r="M76" s="171">
        <f t="shared" si="50"/>
        <v>0</v>
      </c>
      <c r="N76" s="171">
        <f t="shared" si="51"/>
        <v>0</v>
      </c>
      <c r="O76" s="171">
        <f t="shared" si="52"/>
        <v>0</v>
      </c>
      <c r="P76" s="171">
        <f t="shared" si="53"/>
        <v>0</v>
      </c>
      <c r="Q76" s="170">
        <f t="shared" si="54"/>
        <v>0</v>
      </c>
      <c r="R76" s="185">
        <v>0.05</v>
      </c>
      <c r="S76" s="185">
        <v>0.05</v>
      </c>
      <c r="T76" s="185">
        <v>0.05</v>
      </c>
      <c r="U76" s="184">
        <v>0.1</v>
      </c>
      <c r="V76" s="167">
        <f t="shared" si="55"/>
        <v>0</v>
      </c>
      <c r="W76" s="167">
        <f t="shared" si="56"/>
        <v>0</v>
      </c>
      <c r="X76" s="167">
        <f t="shared" si="57"/>
        <v>0</v>
      </c>
      <c r="Y76" s="167">
        <f t="shared" si="58"/>
        <v>0</v>
      </c>
      <c r="Z76" s="183">
        <f t="shared" si="59"/>
        <v>0</v>
      </c>
      <c r="AA76" s="182">
        <v>70</v>
      </c>
      <c r="AB76" s="181"/>
      <c r="AC76" s="180">
        <v>70</v>
      </c>
      <c r="AD76" s="193"/>
    </row>
    <row r="77" spans="1:30" ht="15.75">
      <c r="A77" s="236" t="s">
        <v>97</v>
      </c>
      <c r="B77" s="191"/>
      <c r="C77" s="190">
        <v>0</v>
      </c>
      <c r="D77" s="207" t="s">
        <v>3</v>
      </c>
      <c r="E77" s="230">
        <v>291</v>
      </c>
      <c r="F77" s="174">
        <f t="shared" si="48"/>
        <v>0</v>
      </c>
      <c r="G77" s="186">
        <v>0.05</v>
      </c>
      <c r="H77" s="186">
        <v>0.02</v>
      </c>
      <c r="I77" s="186">
        <v>0.05</v>
      </c>
      <c r="J77" s="187">
        <v>0.122</v>
      </c>
      <c r="K77" s="186">
        <v>0.1</v>
      </c>
      <c r="L77" s="171">
        <f t="shared" si="49"/>
        <v>0</v>
      </c>
      <c r="M77" s="171">
        <f t="shared" si="50"/>
        <v>0</v>
      </c>
      <c r="N77" s="171">
        <f t="shared" si="51"/>
        <v>0</v>
      </c>
      <c r="O77" s="171">
        <f t="shared" si="52"/>
        <v>0</v>
      </c>
      <c r="P77" s="171">
        <f t="shared" si="53"/>
        <v>0</v>
      </c>
      <c r="Q77" s="170">
        <f t="shared" si="54"/>
        <v>0</v>
      </c>
      <c r="R77" s="185">
        <v>0.05</v>
      </c>
      <c r="S77" s="185">
        <v>0.05</v>
      </c>
      <c r="T77" s="185">
        <v>0.05</v>
      </c>
      <c r="U77" s="184">
        <v>0.1</v>
      </c>
      <c r="V77" s="167">
        <f t="shared" si="55"/>
        <v>0</v>
      </c>
      <c r="W77" s="167">
        <f t="shared" si="56"/>
        <v>0</v>
      </c>
      <c r="X77" s="167">
        <f t="shared" si="57"/>
        <v>0</v>
      </c>
      <c r="Y77" s="167">
        <f t="shared" si="58"/>
        <v>0</v>
      </c>
      <c r="Z77" s="183">
        <f t="shared" si="59"/>
        <v>0</v>
      </c>
      <c r="AA77" s="182">
        <v>70</v>
      </c>
      <c r="AB77" s="181"/>
      <c r="AC77" s="180">
        <v>70</v>
      </c>
      <c r="AD77" s="193"/>
    </row>
    <row r="78" spans="1:30" ht="15.75">
      <c r="A78" s="236" t="s">
        <v>96</v>
      </c>
      <c r="B78" s="191"/>
      <c r="C78" s="237">
        <v>0</v>
      </c>
      <c r="D78" s="207" t="s">
        <v>3</v>
      </c>
      <c r="E78" s="230">
        <v>316</v>
      </c>
      <c r="F78" s="174">
        <f t="shared" si="48"/>
        <v>0</v>
      </c>
      <c r="G78" s="186">
        <v>0.05</v>
      </c>
      <c r="H78" s="186">
        <v>0.02</v>
      </c>
      <c r="I78" s="186">
        <v>0.05</v>
      </c>
      <c r="J78" s="187">
        <v>0.122</v>
      </c>
      <c r="K78" s="186">
        <v>0.1</v>
      </c>
      <c r="L78" s="171">
        <f t="shared" si="49"/>
        <v>0</v>
      </c>
      <c r="M78" s="171">
        <f t="shared" si="50"/>
        <v>0</v>
      </c>
      <c r="N78" s="171">
        <f t="shared" si="51"/>
        <v>0</v>
      </c>
      <c r="O78" s="171">
        <f t="shared" si="52"/>
        <v>0</v>
      </c>
      <c r="P78" s="171">
        <f t="shared" si="53"/>
        <v>0</v>
      </c>
      <c r="Q78" s="170">
        <f t="shared" si="54"/>
        <v>0</v>
      </c>
      <c r="R78" s="185">
        <v>0.05</v>
      </c>
      <c r="S78" s="185">
        <v>0.05</v>
      </c>
      <c r="T78" s="185">
        <v>0.05</v>
      </c>
      <c r="U78" s="184">
        <v>0.1</v>
      </c>
      <c r="V78" s="167">
        <f t="shared" si="55"/>
        <v>0</v>
      </c>
      <c r="W78" s="167">
        <f t="shared" si="56"/>
        <v>0</v>
      </c>
      <c r="X78" s="167">
        <f t="shared" si="57"/>
        <v>0</v>
      </c>
      <c r="Y78" s="167">
        <f t="shared" si="58"/>
        <v>0</v>
      </c>
      <c r="Z78" s="183">
        <f t="shared" si="59"/>
        <v>0</v>
      </c>
      <c r="AA78" s="182">
        <v>70</v>
      </c>
      <c r="AB78" s="181"/>
      <c r="AC78" s="180">
        <v>70</v>
      </c>
      <c r="AD78" s="193"/>
    </row>
    <row r="79" spans="1:30" ht="15.75">
      <c r="A79" s="236" t="s">
        <v>95</v>
      </c>
      <c r="B79" s="191"/>
      <c r="C79" s="190">
        <v>0</v>
      </c>
      <c r="D79" s="207" t="s">
        <v>3</v>
      </c>
      <c r="E79" s="230">
        <v>345</v>
      </c>
      <c r="F79" s="174">
        <f t="shared" si="48"/>
        <v>0</v>
      </c>
      <c r="G79" s="186">
        <v>0.05</v>
      </c>
      <c r="H79" s="186">
        <v>0.02</v>
      </c>
      <c r="I79" s="186">
        <v>0.05</v>
      </c>
      <c r="J79" s="187">
        <v>0.122</v>
      </c>
      <c r="K79" s="186">
        <v>0.1</v>
      </c>
      <c r="L79" s="171">
        <f t="shared" si="49"/>
        <v>0</v>
      </c>
      <c r="M79" s="171">
        <f t="shared" si="50"/>
        <v>0</v>
      </c>
      <c r="N79" s="171">
        <f t="shared" si="51"/>
        <v>0</v>
      </c>
      <c r="O79" s="171">
        <f t="shared" si="52"/>
        <v>0</v>
      </c>
      <c r="P79" s="171">
        <f t="shared" si="53"/>
        <v>0</v>
      </c>
      <c r="Q79" s="170">
        <f t="shared" si="54"/>
        <v>0</v>
      </c>
      <c r="R79" s="185">
        <v>0.05</v>
      </c>
      <c r="S79" s="185">
        <v>0.05</v>
      </c>
      <c r="T79" s="185">
        <v>0.05</v>
      </c>
      <c r="U79" s="184">
        <v>0.1</v>
      </c>
      <c r="V79" s="167">
        <f t="shared" si="55"/>
        <v>0</v>
      </c>
      <c r="W79" s="167">
        <f t="shared" si="56"/>
        <v>0</v>
      </c>
      <c r="X79" s="167">
        <f t="shared" si="57"/>
        <v>0</v>
      </c>
      <c r="Y79" s="167">
        <f t="shared" si="58"/>
        <v>0</v>
      </c>
      <c r="Z79" s="183">
        <f t="shared" si="59"/>
        <v>0</v>
      </c>
      <c r="AA79" s="182">
        <v>70</v>
      </c>
      <c r="AB79" s="181"/>
      <c r="AC79" s="180">
        <v>70</v>
      </c>
      <c r="AD79" s="193"/>
    </row>
    <row r="80" spans="1:30" ht="15.75">
      <c r="A80" s="236" t="s">
        <v>94</v>
      </c>
      <c r="B80" s="191"/>
      <c r="C80" s="190">
        <v>0</v>
      </c>
      <c r="D80" s="207" t="s">
        <v>3</v>
      </c>
      <c r="E80" s="230">
        <v>387</v>
      </c>
      <c r="F80" s="174">
        <f t="shared" si="48"/>
        <v>0</v>
      </c>
      <c r="G80" s="186">
        <v>0.05</v>
      </c>
      <c r="H80" s="186">
        <v>0.02</v>
      </c>
      <c r="I80" s="186">
        <v>0.05</v>
      </c>
      <c r="J80" s="187">
        <v>0.122</v>
      </c>
      <c r="K80" s="186">
        <v>0.1</v>
      </c>
      <c r="L80" s="171">
        <f t="shared" si="49"/>
        <v>0</v>
      </c>
      <c r="M80" s="171">
        <f t="shared" si="50"/>
        <v>0</v>
      </c>
      <c r="N80" s="171">
        <f t="shared" si="51"/>
        <v>0</v>
      </c>
      <c r="O80" s="171">
        <f t="shared" si="52"/>
        <v>0</v>
      </c>
      <c r="P80" s="171">
        <f t="shared" si="53"/>
        <v>0</v>
      </c>
      <c r="Q80" s="170">
        <f t="shared" si="54"/>
        <v>0</v>
      </c>
      <c r="R80" s="185">
        <v>0.05</v>
      </c>
      <c r="S80" s="185">
        <v>0.05</v>
      </c>
      <c r="T80" s="185">
        <v>0.05</v>
      </c>
      <c r="U80" s="184">
        <v>0.1</v>
      </c>
      <c r="V80" s="167">
        <f t="shared" si="55"/>
        <v>0</v>
      </c>
      <c r="W80" s="167">
        <f t="shared" si="56"/>
        <v>0</v>
      </c>
      <c r="X80" s="167">
        <f t="shared" si="57"/>
        <v>0</v>
      </c>
      <c r="Y80" s="167">
        <f t="shared" si="58"/>
        <v>0</v>
      </c>
      <c r="Z80" s="183">
        <f t="shared" si="59"/>
        <v>0</v>
      </c>
      <c r="AA80" s="182">
        <v>70</v>
      </c>
      <c r="AB80" s="181"/>
      <c r="AC80" s="180">
        <v>70</v>
      </c>
      <c r="AD80" s="193"/>
    </row>
    <row r="81" spans="1:30" ht="15.75">
      <c r="A81" s="236" t="s">
        <v>93</v>
      </c>
      <c r="B81" s="191"/>
      <c r="C81" s="190">
        <v>0</v>
      </c>
      <c r="D81" s="207" t="s">
        <v>3</v>
      </c>
      <c r="E81" s="230">
        <v>422</v>
      </c>
      <c r="F81" s="174">
        <f t="shared" si="48"/>
        <v>0</v>
      </c>
      <c r="G81" s="186">
        <v>0.05</v>
      </c>
      <c r="H81" s="186">
        <v>0.02</v>
      </c>
      <c r="I81" s="186">
        <v>0.05</v>
      </c>
      <c r="J81" s="187">
        <v>0.122</v>
      </c>
      <c r="K81" s="186">
        <v>0.1</v>
      </c>
      <c r="L81" s="171">
        <f t="shared" si="49"/>
        <v>0</v>
      </c>
      <c r="M81" s="171">
        <f t="shared" si="50"/>
        <v>0</v>
      </c>
      <c r="N81" s="171">
        <f t="shared" si="51"/>
        <v>0</v>
      </c>
      <c r="O81" s="171">
        <f t="shared" si="52"/>
        <v>0</v>
      </c>
      <c r="P81" s="171">
        <f t="shared" si="53"/>
        <v>0</v>
      </c>
      <c r="Q81" s="170">
        <f t="shared" si="54"/>
        <v>0</v>
      </c>
      <c r="R81" s="185">
        <v>0.05</v>
      </c>
      <c r="S81" s="185">
        <v>0.05</v>
      </c>
      <c r="T81" s="185">
        <v>0.05</v>
      </c>
      <c r="U81" s="184">
        <v>0.1</v>
      </c>
      <c r="V81" s="167">
        <f t="shared" si="55"/>
        <v>0</v>
      </c>
      <c r="W81" s="167">
        <f t="shared" si="56"/>
        <v>0</v>
      </c>
      <c r="X81" s="167">
        <f t="shared" si="57"/>
        <v>0</v>
      </c>
      <c r="Y81" s="167">
        <f t="shared" si="58"/>
        <v>0</v>
      </c>
      <c r="Z81" s="183">
        <f t="shared" si="59"/>
        <v>0</v>
      </c>
      <c r="AA81" s="182">
        <v>70</v>
      </c>
      <c r="AB81" s="181"/>
      <c r="AC81" s="180">
        <v>70</v>
      </c>
      <c r="AD81" s="193"/>
    </row>
    <row r="82" spans="1:30" ht="15.75">
      <c r="A82" s="236" t="s">
        <v>92</v>
      </c>
      <c r="B82" s="191"/>
      <c r="C82" s="190">
        <v>0</v>
      </c>
      <c r="D82" s="207" t="s">
        <v>3</v>
      </c>
      <c r="E82" s="230">
        <v>476</v>
      </c>
      <c r="F82" s="174">
        <f t="shared" si="48"/>
        <v>0</v>
      </c>
      <c r="G82" s="186">
        <v>0.05</v>
      </c>
      <c r="H82" s="186">
        <v>0.02</v>
      </c>
      <c r="I82" s="186">
        <v>0.05</v>
      </c>
      <c r="J82" s="187">
        <v>0.122</v>
      </c>
      <c r="K82" s="186">
        <v>0.1</v>
      </c>
      <c r="L82" s="171">
        <f t="shared" si="49"/>
        <v>0</v>
      </c>
      <c r="M82" s="171">
        <f t="shared" si="50"/>
        <v>0</v>
      </c>
      <c r="N82" s="171">
        <f t="shared" si="51"/>
        <v>0</v>
      </c>
      <c r="O82" s="171">
        <f t="shared" si="52"/>
        <v>0</v>
      </c>
      <c r="P82" s="171">
        <f t="shared" si="53"/>
        <v>0</v>
      </c>
      <c r="Q82" s="170">
        <f t="shared" si="54"/>
        <v>0</v>
      </c>
      <c r="R82" s="185">
        <v>0.05</v>
      </c>
      <c r="S82" s="185">
        <v>0.05</v>
      </c>
      <c r="T82" s="185">
        <v>0.05</v>
      </c>
      <c r="U82" s="184">
        <v>0.1</v>
      </c>
      <c r="V82" s="167">
        <f t="shared" si="55"/>
        <v>0</v>
      </c>
      <c r="W82" s="167">
        <f t="shared" si="56"/>
        <v>0</v>
      </c>
      <c r="X82" s="167">
        <f t="shared" si="57"/>
        <v>0</v>
      </c>
      <c r="Y82" s="167">
        <f t="shared" si="58"/>
        <v>0</v>
      </c>
      <c r="Z82" s="183">
        <f t="shared" si="59"/>
        <v>0</v>
      </c>
      <c r="AA82" s="182">
        <v>70</v>
      </c>
      <c r="AB82" s="181"/>
      <c r="AC82" s="180">
        <v>70</v>
      </c>
      <c r="AD82" s="193"/>
    </row>
    <row r="83" spans="1:30" ht="18">
      <c r="A83" s="235" t="s">
        <v>91</v>
      </c>
      <c r="B83" s="234"/>
      <c r="C83" s="233"/>
      <c r="D83" s="232"/>
      <c r="E83" s="231"/>
      <c r="F83" s="200"/>
      <c r="G83" s="200"/>
      <c r="H83" s="200"/>
      <c r="I83" s="200"/>
      <c r="J83" s="201"/>
      <c r="K83" s="200"/>
      <c r="L83" s="200"/>
      <c r="M83" s="200"/>
      <c r="N83" s="200"/>
      <c r="O83" s="200"/>
      <c r="P83" s="200"/>
      <c r="Q83" s="200"/>
      <c r="R83" s="199"/>
      <c r="S83" s="199"/>
      <c r="T83" s="199"/>
      <c r="U83" s="197"/>
      <c r="V83" s="197"/>
      <c r="W83" s="197"/>
      <c r="X83" s="197"/>
      <c r="Y83" s="197"/>
      <c r="Z83" s="198"/>
      <c r="AA83" s="197"/>
      <c r="AB83" s="196"/>
      <c r="AC83" s="195"/>
      <c r="AD83" s="194"/>
    </row>
    <row r="84" spans="1:30" ht="45">
      <c r="A84" s="192" t="s">
        <v>90</v>
      </c>
      <c r="B84" s="191"/>
      <c r="C84" s="190">
        <v>0</v>
      </c>
      <c r="D84" s="207" t="s">
        <v>3</v>
      </c>
      <c r="E84" s="230">
        <v>125</v>
      </c>
      <c r="F84" s="174">
        <f t="shared" ref="F84:F89" si="60">E84*C84</f>
        <v>0</v>
      </c>
      <c r="G84" s="186">
        <v>0.05</v>
      </c>
      <c r="H84" s="186">
        <v>0.02</v>
      </c>
      <c r="I84" s="186">
        <v>0.05</v>
      </c>
      <c r="J84" s="187">
        <v>0.122</v>
      </c>
      <c r="K84" s="186">
        <v>0.1</v>
      </c>
      <c r="L84" s="171">
        <f t="shared" ref="L84:L89" si="61">F84*G84</f>
        <v>0</v>
      </c>
      <c r="M84" s="171">
        <f t="shared" ref="M84:M89" si="62">(F84+L84)*H84</f>
        <v>0</v>
      </c>
      <c r="N84" s="171">
        <f t="shared" ref="N84:N89" si="63">(F84+L84+M84)*I84</f>
        <v>0</v>
      </c>
      <c r="O84" s="171">
        <f t="shared" ref="O84:O89" si="64">(F84+L84+M84+N84)*J84</f>
        <v>0</v>
      </c>
      <c r="P84" s="171">
        <f t="shared" ref="P84:P89" si="65">(F84+L84+M84+N84+O84)*K84</f>
        <v>0</v>
      </c>
      <c r="Q84" s="170">
        <f t="shared" ref="Q84:Q89" si="66">F84+SUM(L84:P84)</f>
        <v>0</v>
      </c>
      <c r="R84" s="185">
        <v>0.05</v>
      </c>
      <c r="S84" s="185">
        <v>0.05</v>
      </c>
      <c r="T84" s="185">
        <v>0.05</v>
      </c>
      <c r="U84" s="184">
        <v>0.1</v>
      </c>
      <c r="V84" s="167">
        <f t="shared" ref="V84:V89" si="67">Q84*R84</f>
        <v>0</v>
      </c>
      <c r="W84" s="167">
        <f t="shared" ref="W84:W89" si="68">Q84*S84</f>
        <v>0</v>
      </c>
      <c r="X84" s="167">
        <f t="shared" ref="X84:X89" si="69">Q84*T84</f>
        <v>0</v>
      </c>
      <c r="Y84" s="167">
        <f t="shared" ref="Y84:Y89" si="70">U84*(V84+W84)</f>
        <v>0</v>
      </c>
      <c r="Z84" s="183">
        <f t="shared" ref="Z84:Z89" si="71">Q84+SUM(V84:Y84)</f>
        <v>0</v>
      </c>
      <c r="AA84" s="182">
        <v>75</v>
      </c>
      <c r="AB84" s="181"/>
      <c r="AC84" s="180">
        <v>75</v>
      </c>
      <c r="AD84" s="193"/>
    </row>
    <row r="85" spans="1:30" ht="30">
      <c r="A85" s="221" t="s">
        <v>89</v>
      </c>
      <c r="B85" s="191"/>
      <c r="C85" s="190">
        <v>0</v>
      </c>
      <c r="D85" s="207" t="s">
        <v>5</v>
      </c>
      <c r="E85" s="188">
        <v>1750</v>
      </c>
      <c r="F85" s="174">
        <f t="shared" si="60"/>
        <v>0</v>
      </c>
      <c r="G85" s="186">
        <v>0.05</v>
      </c>
      <c r="H85" s="186">
        <v>0.02</v>
      </c>
      <c r="I85" s="186">
        <v>0.05</v>
      </c>
      <c r="J85" s="187">
        <v>0.122</v>
      </c>
      <c r="K85" s="186">
        <v>0.1</v>
      </c>
      <c r="L85" s="171">
        <f t="shared" si="61"/>
        <v>0</v>
      </c>
      <c r="M85" s="171">
        <f t="shared" si="62"/>
        <v>0</v>
      </c>
      <c r="N85" s="171">
        <f t="shared" si="63"/>
        <v>0</v>
      </c>
      <c r="O85" s="171">
        <f t="shared" si="64"/>
        <v>0</v>
      </c>
      <c r="P85" s="171">
        <f t="shared" si="65"/>
        <v>0</v>
      </c>
      <c r="Q85" s="170">
        <f t="shared" si="66"/>
        <v>0</v>
      </c>
      <c r="R85" s="185">
        <v>0.05</v>
      </c>
      <c r="S85" s="185">
        <v>0.05</v>
      </c>
      <c r="T85" s="185">
        <v>0.05</v>
      </c>
      <c r="U85" s="184">
        <v>0.1</v>
      </c>
      <c r="V85" s="167">
        <f t="shared" si="67"/>
        <v>0</v>
      </c>
      <c r="W85" s="167">
        <f t="shared" si="68"/>
        <v>0</v>
      </c>
      <c r="X85" s="167">
        <f t="shared" si="69"/>
        <v>0</v>
      </c>
      <c r="Y85" s="167">
        <f t="shared" si="70"/>
        <v>0</v>
      </c>
      <c r="Z85" s="183">
        <f t="shared" si="71"/>
        <v>0</v>
      </c>
      <c r="AA85" s="182">
        <v>75</v>
      </c>
      <c r="AB85" s="181"/>
      <c r="AC85" s="180">
        <v>75</v>
      </c>
      <c r="AD85" s="193"/>
    </row>
    <row r="86" spans="1:30" ht="30">
      <c r="A86" s="221" t="s">
        <v>88</v>
      </c>
      <c r="B86" s="191"/>
      <c r="C86" s="190">
        <v>0</v>
      </c>
      <c r="D86" s="207" t="s">
        <v>5</v>
      </c>
      <c r="E86" s="188">
        <v>2200</v>
      </c>
      <c r="F86" s="174">
        <f t="shared" si="60"/>
        <v>0</v>
      </c>
      <c r="G86" s="186">
        <v>0.05</v>
      </c>
      <c r="H86" s="186">
        <v>0.02</v>
      </c>
      <c r="I86" s="186">
        <v>0.05</v>
      </c>
      <c r="J86" s="187">
        <v>0.122</v>
      </c>
      <c r="K86" s="186">
        <v>0.1</v>
      </c>
      <c r="L86" s="171">
        <f t="shared" si="61"/>
        <v>0</v>
      </c>
      <c r="M86" s="171">
        <f t="shared" si="62"/>
        <v>0</v>
      </c>
      <c r="N86" s="171">
        <f t="shared" si="63"/>
        <v>0</v>
      </c>
      <c r="O86" s="171">
        <f t="shared" si="64"/>
        <v>0</v>
      </c>
      <c r="P86" s="171">
        <f t="shared" si="65"/>
        <v>0</v>
      </c>
      <c r="Q86" s="170">
        <f t="shared" si="66"/>
        <v>0</v>
      </c>
      <c r="R86" s="185">
        <v>0.05</v>
      </c>
      <c r="S86" s="185">
        <v>0.05</v>
      </c>
      <c r="T86" s="185">
        <v>0.05</v>
      </c>
      <c r="U86" s="184">
        <v>0.1</v>
      </c>
      <c r="V86" s="167">
        <f t="shared" si="67"/>
        <v>0</v>
      </c>
      <c r="W86" s="167">
        <f t="shared" si="68"/>
        <v>0</v>
      </c>
      <c r="X86" s="167">
        <f t="shared" si="69"/>
        <v>0</v>
      </c>
      <c r="Y86" s="167">
        <f t="shared" si="70"/>
        <v>0</v>
      </c>
      <c r="Z86" s="183">
        <f t="shared" si="71"/>
        <v>0</v>
      </c>
      <c r="AA86" s="182">
        <v>75</v>
      </c>
      <c r="AB86" s="181"/>
      <c r="AC86" s="180">
        <v>75</v>
      </c>
      <c r="AD86" s="193"/>
    </row>
    <row r="87" spans="1:30" ht="30">
      <c r="A87" s="221" t="s">
        <v>87</v>
      </c>
      <c r="B87" s="191"/>
      <c r="C87" s="190">
        <v>0</v>
      </c>
      <c r="D87" s="207" t="s">
        <v>5</v>
      </c>
      <c r="E87" s="188">
        <v>1800</v>
      </c>
      <c r="F87" s="174">
        <f t="shared" si="60"/>
        <v>0</v>
      </c>
      <c r="G87" s="186">
        <v>0.05</v>
      </c>
      <c r="H87" s="186">
        <v>0.02</v>
      </c>
      <c r="I87" s="186">
        <v>0.05</v>
      </c>
      <c r="J87" s="187">
        <v>0.122</v>
      </c>
      <c r="K87" s="186">
        <v>0.1</v>
      </c>
      <c r="L87" s="171">
        <f t="shared" si="61"/>
        <v>0</v>
      </c>
      <c r="M87" s="171">
        <f t="shared" si="62"/>
        <v>0</v>
      </c>
      <c r="N87" s="171">
        <f t="shared" si="63"/>
        <v>0</v>
      </c>
      <c r="O87" s="171">
        <f t="shared" si="64"/>
        <v>0</v>
      </c>
      <c r="P87" s="171">
        <f t="shared" si="65"/>
        <v>0</v>
      </c>
      <c r="Q87" s="170">
        <f t="shared" si="66"/>
        <v>0</v>
      </c>
      <c r="R87" s="185">
        <v>0.05</v>
      </c>
      <c r="S87" s="185">
        <v>0.05</v>
      </c>
      <c r="T87" s="185">
        <v>0.05</v>
      </c>
      <c r="U87" s="184">
        <v>0.1</v>
      </c>
      <c r="V87" s="167">
        <f t="shared" si="67"/>
        <v>0</v>
      </c>
      <c r="W87" s="167">
        <f t="shared" si="68"/>
        <v>0</v>
      </c>
      <c r="X87" s="167">
        <f t="shared" si="69"/>
        <v>0</v>
      </c>
      <c r="Y87" s="167">
        <f t="shared" si="70"/>
        <v>0</v>
      </c>
      <c r="Z87" s="183">
        <f t="shared" si="71"/>
        <v>0</v>
      </c>
      <c r="AA87" s="182">
        <v>25</v>
      </c>
      <c r="AB87" s="181"/>
      <c r="AC87" s="180">
        <v>25</v>
      </c>
      <c r="AD87" s="193"/>
    </row>
    <row r="88" spans="1:30" ht="30">
      <c r="A88" s="221" t="s">
        <v>86</v>
      </c>
      <c r="B88" s="191"/>
      <c r="C88" s="190">
        <v>0</v>
      </c>
      <c r="D88" s="207" t="s">
        <v>5</v>
      </c>
      <c r="E88" s="188">
        <v>2600</v>
      </c>
      <c r="F88" s="174">
        <f t="shared" si="60"/>
        <v>0</v>
      </c>
      <c r="G88" s="186">
        <v>0.05</v>
      </c>
      <c r="H88" s="186">
        <v>0.02</v>
      </c>
      <c r="I88" s="186">
        <v>0.05</v>
      </c>
      <c r="J88" s="187">
        <v>0.122</v>
      </c>
      <c r="K88" s="186">
        <v>0.1</v>
      </c>
      <c r="L88" s="171">
        <f t="shared" si="61"/>
        <v>0</v>
      </c>
      <c r="M88" s="171">
        <f t="shared" si="62"/>
        <v>0</v>
      </c>
      <c r="N88" s="171">
        <f t="shared" si="63"/>
        <v>0</v>
      </c>
      <c r="O88" s="171">
        <f t="shared" si="64"/>
        <v>0</v>
      </c>
      <c r="P88" s="171">
        <f t="shared" si="65"/>
        <v>0</v>
      </c>
      <c r="Q88" s="170">
        <f t="shared" si="66"/>
        <v>0</v>
      </c>
      <c r="R88" s="185">
        <v>0.05</v>
      </c>
      <c r="S88" s="185">
        <v>0.05</v>
      </c>
      <c r="T88" s="185">
        <v>0.05</v>
      </c>
      <c r="U88" s="184">
        <v>0.1</v>
      </c>
      <c r="V88" s="167">
        <f t="shared" si="67"/>
        <v>0</v>
      </c>
      <c r="W88" s="167">
        <f t="shared" si="68"/>
        <v>0</v>
      </c>
      <c r="X88" s="167">
        <f t="shared" si="69"/>
        <v>0</v>
      </c>
      <c r="Y88" s="167">
        <f t="shared" si="70"/>
        <v>0</v>
      </c>
      <c r="Z88" s="183">
        <f t="shared" si="71"/>
        <v>0</v>
      </c>
      <c r="AA88" s="182">
        <v>25</v>
      </c>
      <c r="AB88" s="181"/>
      <c r="AC88" s="180">
        <v>25</v>
      </c>
      <c r="AD88" s="193"/>
    </row>
    <row r="89" spans="1:30" ht="30">
      <c r="A89" s="221" t="s">
        <v>85</v>
      </c>
      <c r="B89" s="191"/>
      <c r="C89" s="190">
        <v>0</v>
      </c>
      <c r="D89" s="207" t="s">
        <v>5</v>
      </c>
      <c r="E89" s="188">
        <v>3065</v>
      </c>
      <c r="F89" s="174">
        <f t="shared" si="60"/>
        <v>0</v>
      </c>
      <c r="G89" s="186">
        <v>0.05</v>
      </c>
      <c r="H89" s="186">
        <v>0.02</v>
      </c>
      <c r="I89" s="186">
        <v>0.05</v>
      </c>
      <c r="J89" s="187">
        <v>0.122</v>
      </c>
      <c r="K89" s="186">
        <v>0.1</v>
      </c>
      <c r="L89" s="171">
        <f t="shared" si="61"/>
        <v>0</v>
      </c>
      <c r="M89" s="171">
        <f t="shared" si="62"/>
        <v>0</v>
      </c>
      <c r="N89" s="171">
        <f t="shared" si="63"/>
        <v>0</v>
      </c>
      <c r="O89" s="171">
        <f t="shared" si="64"/>
        <v>0</v>
      </c>
      <c r="P89" s="171">
        <f t="shared" si="65"/>
        <v>0</v>
      </c>
      <c r="Q89" s="170">
        <f t="shared" si="66"/>
        <v>0</v>
      </c>
      <c r="R89" s="185">
        <v>0.05</v>
      </c>
      <c r="S89" s="185">
        <v>0.05</v>
      </c>
      <c r="T89" s="185">
        <v>0.05</v>
      </c>
      <c r="U89" s="184">
        <v>0.1</v>
      </c>
      <c r="V89" s="167">
        <f t="shared" si="67"/>
        <v>0</v>
      </c>
      <c r="W89" s="167">
        <f t="shared" si="68"/>
        <v>0</v>
      </c>
      <c r="X89" s="167">
        <f t="shared" si="69"/>
        <v>0</v>
      </c>
      <c r="Y89" s="167">
        <f t="shared" si="70"/>
        <v>0</v>
      </c>
      <c r="Z89" s="183">
        <f t="shared" si="71"/>
        <v>0</v>
      </c>
      <c r="AA89" s="182">
        <v>75</v>
      </c>
      <c r="AB89" s="181"/>
      <c r="AC89" s="180">
        <v>75</v>
      </c>
      <c r="AD89" s="193"/>
    </row>
    <row r="90" spans="1:30" ht="90">
      <c r="A90" s="229" t="s">
        <v>84</v>
      </c>
      <c r="B90" s="228"/>
      <c r="C90" s="227"/>
      <c r="D90" s="227"/>
      <c r="E90" s="226"/>
      <c r="F90" s="200"/>
      <c r="G90" s="200"/>
      <c r="H90" s="200"/>
      <c r="I90" s="200"/>
      <c r="J90" s="201"/>
      <c r="K90" s="200"/>
      <c r="L90" s="200"/>
      <c r="M90" s="200"/>
      <c r="N90" s="200"/>
      <c r="O90" s="200"/>
      <c r="P90" s="200"/>
      <c r="Q90" s="200"/>
      <c r="R90" s="199"/>
      <c r="S90" s="199"/>
      <c r="T90" s="199"/>
      <c r="U90" s="197"/>
      <c r="V90" s="197"/>
      <c r="W90" s="197"/>
      <c r="X90" s="197"/>
      <c r="Y90" s="197"/>
      <c r="Z90" s="198"/>
      <c r="AA90" s="218"/>
      <c r="AB90" s="196"/>
      <c r="AC90" s="195"/>
      <c r="AD90" s="194"/>
    </row>
    <row r="91" spans="1:30" ht="54">
      <c r="A91" s="225" t="s">
        <v>83</v>
      </c>
      <c r="B91" s="224"/>
      <c r="C91" s="223"/>
      <c r="D91" s="223"/>
      <c r="E91" s="222"/>
      <c r="F91" s="186"/>
      <c r="G91" s="186"/>
      <c r="H91" s="186"/>
      <c r="I91" s="186"/>
      <c r="J91" s="187"/>
      <c r="K91" s="186"/>
      <c r="L91" s="186"/>
      <c r="M91" s="186"/>
      <c r="N91" s="186"/>
      <c r="O91" s="186"/>
      <c r="P91" s="186"/>
      <c r="Q91" s="186"/>
      <c r="R91" s="185"/>
      <c r="S91" s="185"/>
      <c r="T91" s="185"/>
      <c r="U91" s="184"/>
      <c r="V91" s="184"/>
      <c r="W91" s="184"/>
      <c r="X91" s="184"/>
      <c r="Y91" s="184"/>
      <c r="Z91" s="212"/>
      <c r="AA91" s="182"/>
      <c r="AB91" s="181"/>
      <c r="AC91" s="180"/>
      <c r="AD91" s="211"/>
    </row>
    <row r="92" spans="1:30" ht="15.75">
      <c r="A92" s="221" t="s">
        <v>82</v>
      </c>
      <c r="B92" s="191"/>
      <c r="C92" s="190">
        <v>0</v>
      </c>
      <c r="D92" s="207" t="s">
        <v>3</v>
      </c>
      <c r="E92" s="188"/>
      <c r="F92" s="174">
        <f t="shared" ref="F92:F120" si="72">E92*C92</f>
        <v>0</v>
      </c>
      <c r="G92" s="186">
        <v>0.05</v>
      </c>
      <c r="H92" s="186">
        <v>0.02</v>
      </c>
      <c r="I92" s="186">
        <v>0.05</v>
      </c>
      <c r="J92" s="187">
        <v>0.122</v>
      </c>
      <c r="K92" s="186">
        <v>0.1</v>
      </c>
      <c r="L92" s="171">
        <f t="shared" ref="L92:L120" si="73">F92*G92</f>
        <v>0</v>
      </c>
      <c r="M92" s="171">
        <f t="shared" ref="M92:M120" si="74">(F92+L92)*H92</f>
        <v>0</v>
      </c>
      <c r="N92" s="171">
        <f t="shared" ref="N92:N120" si="75">(F92+L92+M92)*I92</f>
        <v>0</v>
      </c>
      <c r="O92" s="171">
        <f t="shared" ref="O92:O120" si="76">(F92+L92+M92+N92)*J92</f>
        <v>0</v>
      </c>
      <c r="P92" s="171">
        <f t="shared" ref="P92:P120" si="77">(F92+L92+M92+N92+O92)*K92</f>
        <v>0</v>
      </c>
      <c r="Q92" s="170">
        <f t="shared" ref="Q92:Q120" si="78">F92+SUM(L92:P92)</f>
        <v>0</v>
      </c>
      <c r="R92" s="185">
        <v>0.05</v>
      </c>
      <c r="S92" s="185">
        <v>0.05</v>
      </c>
      <c r="T92" s="185">
        <v>0.05</v>
      </c>
      <c r="U92" s="184">
        <v>0.1</v>
      </c>
      <c r="V92" s="167">
        <f t="shared" ref="V92:V120" si="79">Q92*R92</f>
        <v>0</v>
      </c>
      <c r="W92" s="167">
        <f t="shared" ref="W92:W120" si="80">Q92*S92</f>
        <v>0</v>
      </c>
      <c r="X92" s="167">
        <f t="shared" ref="X92:X120" si="81">Q92*T92</f>
        <v>0</v>
      </c>
      <c r="Y92" s="167">
        <f t="shared" ref="Y92:Y120" si="82">U92*(V92+W92)</f>
        <v>0</v>
      </c>
      <c r="Z92" s="183">
        <f t="shared" ref="Z92:Z120" si="83">Q92+SUM(V92:Y92)</f>
        <v>0</v>
      </c>
      <c r="AA92" s="182">
        <v>75</v>
      </c>
      <c r="AB92" s="181"/>
      <c r="AC92" s="180">
        <v>75</v>
      </c>
      <c r="AD92" s="193"/>
    </row>
    <row r="93" spans="1:30" ht="15.75">
      <c r="A93" s="221" t="s">
        <v>81</v>
      </c>
      <c r="B93" s="191"/>
      <c r="C93" s="190">
        <v>0</v>
      </c>
      <c r="D93" s="207" t="s">
        <v>3</v>
      </c>
      <c r="E93" s="188">
        <v>920</v>
      </c>
      <c r="F93" s="174">
        <f t="shared" si="72"/>
        <v>0</v>
      </c>
      <c r="G93" s="186">
        <v>0.05</v>
      </c>
      <c r="H93" s="186">
        <v>0.02</v>
      </c>
      <c r="I93" s="186">
        <v>0.05</v>
      </c>
      <c r="J93" s="187">
        <v>0.122</v>
      </c>
      <c r="K93" s="186">
        <v>0.1</v>
      </c>
      <c r="L93" s="171">
        <f t="shared" si="73"/>
        <v>0</v>
      </c>
      <c r="M93" s="171">
        <f t="shared" si="74"/>
        <v>0</v>
      </c>
      <c r="N93" s="171">
        <f t="shared" si="75"/>
        <v>0</v>
      </c>
      <c r="O93" s="171">
        <f t="shared" si="76"/>
        <v>0</v>
      </c>
      <c r="P93" s="171">
        <f t="shared" si="77"/>
        <v>0</v>
      </c>
      <c r="Q93" s="170">
        <f t="shared" si="78"/>
        <v>0</v>
      </c>
      <c r="R93" s="185">
        <v>0.05</v>
      </c>
      <c r="S93" s="185">
        <v>0.05</v>
      </c>
      <c r="T93" s="185">
        <v>0.05</v>
      </c>
      <c r="U93" s="184">
        <v>0.1</v>
      </c>
      <c r="V93" s="167">
        <f t="shared" si="79"/>
        <v>0</v>
      </c>
      <c r="W93" s="167">
        <f t="shared" si="80"/>
        <v>0</v>
      </c>
      <c r="X93" s="167">
        <f t="shared" si="81"/>
        <v>0</v>
      </c>
      <c r="Y93" s="167">
        <f t="shared" si="82"/>
        <v>0</v>
      </c>
      <c r="Z93" s="183">
        <f t="shared" si="83"/>
        <v>0</v>
      </c>
      <c r="AA93" s="182">
        <v>75</v>
      </c>
      <c r="AB93" s="181"/>
      <c r="AC93" s="180">
        <v>75</v>
      </c>
      <c r="AD93" s="193"/>
    </row>
    <row r="94" spans="1:30" ht="15.75">
      <c r="A94" s="221" t="s">
        <v>80</v>
      </c>
      <c r="B94" s="191"/>
      <c r="C94" s="190">
        <v>0</v>
      </c>
      <c r="D94" s="207" t="s">
        <v>3</v>
      </c>
      <c r="E94" s="188">
        <v>789</v>
      </c>
      <c r="F94" s="174">
        <f t="shared" si="72"/>
        <v>0</v>
      </c>
      <c r="G94" s="186">
        <v>0.05</v>
      </c>
      <c r="H94" s="186">
        <v>0.02</v>
      </c>
      <c r="I94" s="186">
        <v>0.05</v>
      </c>
      <c r="J94" s="187">
        <v>0.122</v>
      </c>
      <c r="K94" s="186">
        <v>0.1</v>
      </c>
      <c r="L94" s="171">
        <f t="shared" si="73"/>
        <v>0</v>
      </c>
      <c r="M94" s="171">
        <f t="shared" si="74"/>
        <v>0</v>
      </c>
      <c r="N94" s="171">
        <f t="shared" si="75"/>
        <v>0</v>
      </c>
      <c r="O94" s="171">
        <f t="shared" si="76"/>
        <v>0</v>
      </c>
      <c r="P94" s="171">
        <f t="shared" si="77"/>
        <v>0</v>
      </c>
      <c r="Q94" s="170">
        <f t="shared" si="78"/>
        <v>0</v>
      </c>
      <c r="R94" s="185">
        <v>0.05</v>
      </c>
      <c r="S94" s="185">
        <v>0.05</v>
      </c>
      <c r="T94" s="185">
        <v>0.05</v>
      </c>
      <c r="U94" s="184">
        <v>0.1</v>
      </c>
      <c r="V94" s="167">
        <f t="shared" si="79"/>
        <v>0</v>
      </c>
      <c r="W94" s="167">
        <f t="shared" si="80"/>
        <v>0</v>
      </c>
      <c r="X94" s="167">
        <f t="shared" si="81"/>
        <v>0</v>
      </c>
      <c r="Y94" s="167">
        <f t="shared" si="82"/>
        <v>0</v>
      </c>
      <c r="Z94" s="183">
        <f t="shared" si="83"/>
        <v>0</v>
      </c>
      <c r="AA94" s="182">
        <v>75</v>
      </c>
      <c r="AB94" s="181"/>
      <c r="AC94" s="180">
        <v>75</v>
      </c>
      <c r="AD94" s="193"/>
    </row>
    <row r="95" spans="1:30" ht="15.75">
      <c r="A95" s="221" t="s">
        <v>79</v>
      </c>
      <c r="B95" s="191"/>
      <c r="C95" s="190">
        <v>0</v>
      </c>
      <c r="D95" s="207" t="s">
        <v>3</v>
      </c>
      <c r="E95" s="188">
        <v>723</v>
      </c>
      <c r="F95" s="174">
        <f t="shared" si="72"/>
        <v>0</v>
      </c>
      <c r="G95" s="186">
        <v>0.05</v>
      </c>
      <c r="H95" s="186">
        <v>0.02</v>
      </c>
      <c r="I95" s="186">
        <v>0.05</v>
      </c>
      <c r="J95" s="187">
        <v>0.122</v>
      </c>
      <c r="K95" s="186">
        <v>0.1</v>
      </c>
      <c r="L95" s="171">
        <f t="shared" si="73"/>
        <v>0</v>
      </c>
      <c r="M95" s="171">
        <f t="shared" si="74"/>
        <v>0</v>
      </c>
      <c r="N95" s="171">
        <f t="shared" si="75"/>
        <v>0</v>
      </c>
      <c r="O95" s="171">
        <f t="shared" si="76"/>
        <v>0</v>
      </c>
      <c r="P95" s="171">
        <f t="shared" si="77"/>
        <v>0</v>
      </c>
      <c r="Q95" s="170">
        <f t="shared" si="78"/>
        <v>0</v>
      </c>
      <c r="R95" s="185">
        <v>0.05</v>
      </c>
      <c r="S95" s="185">
        <v>0.05</v>
      </c>
      <c r="T95" s="185">
        <v>0.05</v>
      </c>
      <c r="U95" s="184">
        <v>0.1</v>
      </c>
      <c r="V95" s="167">
        <f t="shared" si="79"/>
        <v>0</v>
      </c>
      <c r="W95" s="167">
        <f t="shared" si="80"/>
        <v>0</v>
      </c>
      <c r="X95" s="167">
        <f t="shared" si="81"/>
        <v>0</v>
      </c>
      <c r="Y95" s="167">
        <f t="shared" si="82"/>
        <v>0</v>
      </c>
      <c r="Z95" s="183">
        <f t="shared" si="83"/>
        <v>0</v>
      </c>
      <c r="AA95" s="182">
        <v>75</v>
      </c>
      <c r="AB95" s="181"/>
      <c r="AC95" s="180">
        <v>75</v>
      </c>
      <c r="AD95" s="193"/>
    </row>
    <row r="96" spans="1:30" ht="15.75">
      <c r="A96" s="221" t="s">
        <v>78</v>
      </c>
      <c r="B96" s="191"/>
      <c r="C96" s="190">
        <v>0</v>
      </c>
      <c r="D96" s="207" t="s">
        <v>3</v>
      </c>
      <c r="E96" s="188">
        <v>862</v>
      </c>
      <c r="F96" s="174">
        <f t="shared" si="72"/>
        <v>0</v>
      </c>
      <c r="G96" s="186">
        <v>0.05</v>
      </c>
      <c r="H96" s="186">
        <v>0.02</v>
      </c>
      <c r="I96" s="186">
        <v>0.05</v>
      </c>
      <c r="J96" s="187">
        <v>0.122</v>
      </c>
      <c r="K96" s="186">
        <v>0.1</v>
      </c>
      <c r="L96" s="171">
        <f t="shared" si="73"/>
        <v>0</v>
      </c>
      <c r="M96" s="171">
        <f t="shared" si="74"/>
        <v>0</v>
      </c>
      <c r="N96" s="171">
        <f t="shared" si="75"/>
        <v>0</v>
      </c>
      <c r="O96" s="171">
        <f t="shared" si="76"/>
        <v>0</v>
      </c>
      <c r="P96" s="171">
        <f t="shared" si="77"/>
        <v>0</v>
      </c>
      <c r="Q96" s="170">
        <f t="shared" si="78"/>
        <v>0</v>
      </c>
      <c r="R96" s="185">
        <v>0.05</v>
      </c>
      <c r="S96" s="185">
        <v>0.05</v>
      </c>
      <c r="T96" s="185">
        <v>0.05</v>
      </c>
      <c r="U96" s="184">
        <v>0.1</v>
      </c>
      <c r="V96" s="167">
        <f t="shared" si="79"/>
        <v>0</v>
      </c>
      <c r="W96" s="167">
        <f t="shared" si="80"/>
        <v>0</v>
      </c>
      <c r="X96" s="167">
        <f t="shared" si="81"/>
        <v>0</v>
      </c>
      <c r="Y96" s="167">
        <f t="shared" si="82"/>
        <v>0</v>
      </c>
      <c r="Z96" s="183">
        <f t="shared" si="83"/>
        <v>0</v>
      </c>
      <c r="AA96" s="182">
        <v>75</v>
      </c>
      <c r="AB96" s="181"/>
      <c r="AC96" s="180">
        <v>75</v>
      </c>
      <c r="AD96" s="193"/>
    </row>
    <row r="97" spans="1:30" ht="15.75">
      <c r="A97" s="221" t="s">
        <v>77</v>
      </c>
      <c r="B97" s="191"/>
      <c r="C97" s="190">
        <v>0</v>
      </c>
      <c r="D97" s="207" t="s">
        <v>3</v>
      </c>
      <c r="E97" s="188"/>
      <c r="F97" s="174">
        <f t="shared" si="72"/>
        <v>0</v>
      </c>
      <c r="G97" s="186">
        <v>0.05</v>
      </c>
      <c r="H97" s="186">
        <v>0.02</v>
      </c>
      <c r="I97" s="186">
        <v>0.05</v>
      </c>
      <c r="J97" s="187">
        <v>0.122</v>
      </c>
      <c r="K97" s="186">
        <v>0.1</v>
      </c>
      <c r="L97" s="171">
        <f t="shared" si="73"/>
        <v>0</v>
      </c>
      <c r="M97" s="171">
        <f t="shared" si="74"/>
        <v>0</v>
      </c>
      <c r="N97" s="171">
        <f t="shared" si="75"/>
        <v>0</v>
      </c>
      <c r="O97" s="171">
        <f t="shared" si="76"/>
        <v>0</v>
      </c>
      <c r="P97" s="171">
        <f t="shared" si="77"/>
        <v>0</v>
      </c>
      <c r="Q97" s="170">
        <f t="shared" si="78"/>
        <v>0</v>
      </c>
      <c r="R97" s="185">
        <v>0.05</v>
      </c>
      <c r="S97" s="185">
        <v>0.05</v>
      </c>
      <c r="T97" s="185">
        <v>0.05</v>
      </c>
      <c r="U97" s="184">
        <v>0.1</v>
      </c>
      <c r="V97" s="167">
        <f t="shared" si="79"/>
        <v>0</v>
      </c>
      <c r="W97" s="167">
        <f t="shared" si="80"/>
        <v>0</v>
      </c>
      <c r="X97" s="167">
        <f t="shared" si="81"/>
        <v>0</v>
      </c>
      <c r="Y97" s="167">
        <f t="shared" si="82"/>
        <v>0</v>
      </c>
      <c r="Z97" s="183">
        <f t="shared" si="83"/>
        <v>0</v>
      </c>
      <c r="AA97" s="182">
        <v>75</v>
      </c>
      <c r="AB97" s="181"/>
      <c r="AC97" s="180">
        <v>75</v>
      </c>
      <c r="AD97" s="193"/>
    </row>
    <row r="98" spans="1:30" ht="15.75">
      <c r="A98" s="221" t="s">
        <v>76</v>
      </c>
      <c r="B98" s="191"/>
      <c r="C98" s="190">
        <v>0</v>
      </c>
      <c r="D98" s="207" t="s">
        <v>3</v>
      </c>
      <c r="E98" s="188">
        <v>804</v>
      </c>
      <c r="F98" s="174">
        <f t="shared" si="72"/>
        <v>0</v>
      </c>
      <c r="G98" s="186">
        <v>0.05</v>
      </c>
      <c r="H98" s="186">
        <v>0.02</v>
      </c>
      <c r="I98" s="186">
        <v>0.05</v>
      </c>
      <c r="J98" s="187">
        <v>0.122</v>
      </c>
      <c r="K98" s="186">
        <v>0.1</v>
      </c>
      <c r="L98" s="171">
        <f t="shared" si="73"/>
        <v>0</v>
      </c>
      <c r="M98" s="171">
        <f t="shared" si="74"/>
        <v>0</v>
      </c>
      <c r="N98" s="171">
        <f t="shared" si="75"/>
        <v>0</v>
      </c>
      <c r="O98" s="171">
        <f t="shared" si="76"/>
        <v>0</v>
      </c>
      <c r="P98" s="171">
        <f t="shared" si="77"/>
        <v>0</v>
      </c>
      <c r="Q98" s="170">
        <f t="shared" si="78"/>
        <v>0</v>
      </c>
      <c r="R98" s="185">
        <v>0.05</v>
      </c>
      <c r="S98" s="185">
        <v>0.05</v>
      </c>
      <c r="T98" s="185">
        <v>0.05</v>
      </c>
      <c r="U98" s="184">
        <v>0.1</v>
      </c>
      <c r="V98" s="167">
        <f t="shared" si="79"/>
        <v>0</v>
      </c>
      <c r="W98" s="167">
        <f t="shared" si="80"/>
        <v>0</v>
      </c>
      <c r="X98" s="167">
        <f t="shared" si="81"/>
        <v>0</v>
      </c>
      <c r="Y98" s="167">
        <f t="shared" si="82"/>
        <v>0</v>
      </c>
      <c r="Z98" s="183">
        <f t="shared" si="83"/>
        <v>0</v>
      </c>
      <c r="AA98" s="182">
        <v>75</v>
      </c>
      <c r="AB98" s="181"/>
      <c r="AC98" s="180">
        <v>75</v>
      </c>
      <c r="AD98" s="193"/>
    </row>
    <row r="99" spans="1:30" ht="15.75">
      <c r="A99" s="221" t="s">
        <v>75</v>
      </c>
      <c r="B99" s="191"/>
      <c r="C99" s="190">
        <v>0</v>
      </c>
      <c r="D99" s="207" t="s">
        <v>3</v>
      </c>
      <c r="E99" s="188">
        <v>738</v>
      </c>
      <c r="F99" s="174">
        <f t="shared" si="72"/>
        <v>0</v>
      </c>
      <c r="G99" s="186">
        <v>0.05</v>
      </c>
      <c r="H99" s="186">
        <v>0.02</v>
      </c>
      <c r="I99" s="186">
        <v>0.05</v>
      </c>
      <c r="J99" s="187">
        <v>0.122</v>
      </c>
      <c r="K99" s="186">
        <v>0.1</v>
      </c>
      <c r="L99" s="171">
        <f t="shared" si="73"/>
        <v>0</v>
      </c>
      <c r="M99" s="171">
        <f t="shared" si="74"/>
        <v>0</v>
      </c>
      <c r="N99" s="171">
        <f t="shared" si="75"/>
        <v>0</v>
      </c>
      <c r="O99" s="171">
        <f t="shared" si="76"/>
        <v>0</v>
      </c>
      <c r="P99" s="171">
        <f t="shared" si="77"/>
        <v>0</v>
      </c>
      <c r="Q99" s="170">
        <f t="shared" si="78"/>
        <v>0</v>
      </c>
      <c r="R99" s="185">
        <v>0.05</v>
      </c>
      <c r="S99" s="185">
        <v>0.05</v>
      </c>
      <c r="T99" s="185">
        <v>0.05</v>
      </c>
      <c r="U99" s="184">
        <v>0.1</v>
      </c>
      <c r="V99" s="167">
        <f t="shared" si="79"/>
        <v>0</v>
      </c>
      <c r="W99" s="167">
        <f t="shared" si="80"/>
        <v>0</v>
      </c>
      <c r="X99" s="167">
        <f t="shared" si="81"/>
        <v>0</v>
      </c>
      <c r="Y99" s="167">
        <f t="shared" si="82"/>
        <v>0</v>
      </c>
      <c r="Z99" s="183">
        <f t="shared" si="83"/>
        <v>0</v>
      </c>
      <c r="AA99" s="182">
        <v>75</v>
      </c>
      <c r="AB99" s="181"/>
      <c r="AC99" s="180">
        <v>75</v>
      </c>
      <c r="AD99" s="193"/>
    </row>
    <row r="100" spans="1:30" ht="15.75">
      <c r="A100" s="221" t="s">
        <v>74</v>
      </c>
      <c r="B100" s="191"/>
      <c r="C100" s="190">
        <v>0</v>
      </c>
      <c r="D100" s="207" t="s">
        <v>3</v>
      </c>
      <c r="E100" s="188">
        <v>607</v>
      </c>
      <c r="F100" s="174">
        <f t="shared" si="72"/>
        <v>0</v>
      </c>
      <c r="G100" s="186">
        <v>0.05</v>
      </c>
      <c r="H100" s="186">
        <v>0.02</v>
      </c>
      <c r="I100" s="186">
        <v>0.05</v>
      </c>
      <c r="J100" s="187">
        <v>0.122</v>
      </c>
      <c r="K100" s="186">
        <v>0.1</v>
      </c>
      <c r="L100" s="171">
        <f t="shared" si="73"/>
        <v>0</v>
      </c>
      <c r="M100" s="171">
        <f t="shared" si="74"/>
        <v>0</v>
      </c>
      <c r="N100" s="171">
        <f t="shared" si="75"/>
        <v>0</v>
      </c>
      <c r="O100" s="171">
        <f t="shared" si="76"/>
        <v>0</v>
      </c>
      <c r="P100" s="171">
        <f t="shared" si="77"/>
        <v>0</v>
      </c>
      <c r="Q100" s="170">
        <f t="shared" si="78"/>
        <v>0</v>
      </c>
      <c r="R100" s="185">
        <v>0.05</v>
      </c>
      <c r="S100" s="185">
        <v>0.05</v>
      </c>
      <c r="T100" s="185">
        <v>0.05</v>
      </c>
      <c r="U100" s="184">
        <v>0.1</v>
      </c>
      <c r="V100" s="167">
        <f t="shared" si="79"/>
        <v>0</v>
      </c>
      <c r="W100" s="167">
        <f t="shared" si="80"/>
        <v>0</v>
      </c>
      <c r="X100" s="167">
        <f t="shared" si="81"/>
        <v>0</v>
      </c>
      <c r="Y100" s="167">
        <f t="shared" si="82"/>
        <v>0</v>
      </c>
      <c r="Z100" s="183">
        <f t="shared" si="83"/>
        <v>0</v>
      </c>
      <c r="AA100" s="182">
        <v>75</v>
      </c>
      <c r="AB100" s="181"/>
      <c r="AC100" s="180">
        <v>75</v>
      </c>
      <c r="AD100" s="193"/>
    </row>
    <row r="101" spans="1:30" ht="15.75">
      <c r="A101" s="221" t="s">
        <v>73</v>
      </c>
      <c r="B101" s="191"/>
      <c r="C101" s="190">
        <v>0</v>
      </c>
      <c r="D101" s="207" t="s">
        <v>3</v>
      </c>
      <c r="E101" s="188">
        <v>754</v>
      </c>
      <c r="F101" s="174">
        <f t="shared" si="72"/>
        <v>0</v>
      </c>
      <c r="G101" s="186"/>
      <c r="H101" s="186"/>
      <c r="I101" s="186"/>
      <c r="J101" s="187"/>
      <c r="K101" s="186"/>
      <c r="L101" s="171">
        <f t="shared" si="73"/>
        <v>0</v>
      </c>
      <c r="M101" s="171">
        <f t="shared" si="74"/>
        <v>0</v>
      </c>
      <c r="N101" s="171">
        <f t="shared" si="75"/>
        <v>0</v>
      </c>
      <c r="O101" s="171">
        <f t="shared" si="76"/>
        <v>0</v>
      </c>
      <c r="P101" s="171">
        <f t="shared" si="77"/>
        <v>0</v>
      </c>
      <c r="Q101" s="170">
        <f t="shared" si="78"/>
        <v>0</v>
      </c>
      <c r="R101" s="185"/>
      <c r="S101" s="185"/>
      <c r="T101" s="185"/>
      <c r="U101" s="184"/>
      <c r="V101" s="167">
        <f t="shared" si="79"/>
        <v>0</v>
      </c>
      <c r="W101" s="167">
        <f t="shared" si="80"/>
        <v>0</v>
      </c>
      <c r="X101" s="167">
        <f t="shared" si="81"/>
        <v>0</v>
      </c>
      <c r="Y101" s="167">
        <f t="shared" si="82"/>
        <v>0</v>
      </c>
      <c r="Z101" s="183">
        <f t="shared" si="83"/>
        <v>0</v>
      </c>
      <c r="AA101" s="182"/>
      <c r="AB101" s="181"/>
      <c r="AC101" s="180"/>
      <c r="AD101" s="193"/>
    </row>
    <row r="102" spans="1:30" ht="15.75">
      <c r="A102" s="221" t="s">
        <v>72</v>
      </c>
      <c r="B102" s="191"/>
      <c r="C102" s="190">
        <v>0</v>
      </c>
      <c r="D102" s="207" t="s">
        <v>3</v>
      </c>
      <c r="E102" s="188">
        <v>688</v>
      </c>
      <c r="F102" s="174">
        <f t="shared" si="72"/>
        <v>0</v>
      </c>
      <c r="G102" s="186">
        <v>0.05</v>
      </c>
      <c r="H102" s="186">
        <v>0.02</v>
      </c>
      <c r="I102" s="186">
        <v>0.05</v>
      </c>
      <c r="J102" s="187">
        <v>0.122</v>
      </c>
      <c r="K102" s="186">
        <v>0.1</v>
      </c>
      <c r="L102" s="171">
        <f t="shared" si="73"/>
        <v>0</v>
      </c>
      <c r="M102" s="171">
        <f t="shared" si="74"/>
        <v>0</v>
      </c>
      <c r="N102" s="171">
        <f t="shared" si="75"/>
        <v>0</v>
      </c>
      <c r="O102" s="171">
        <f t="shared" si="76"/>
        <v>0</v>
      </c>
      <c r="P102" s="171">
        <f t="shared" si="77"/>
        <v>0</v>
      </c>
      <c r="Q102" s="170">
        <f t="shared" si="78"/>
        <v>0</v>
      </c>
      <c r="R102" s="185">
        <v>0.05</v>
      </c>
      <c r="S102" s="185">
        <v>0.05</v>
      </c>
      <c r="T102" s="185">
        <v>0.05</v>
      </c>
      <c r="U102" s="184">
        <v>0.1</v>
      </c>
      <c r="V102" s="167">
        <f t="shared" si="79"/>
        <v>0</v>
      </c>
      <c r="W102" s="167">
        <f t="shared" si="80"/>
        <v>0</v>
      </c>
      <c r="X102" s="167">
        <f t="shared" si="81"/>
        <v>0</v>
      </c>
      <c r="Y102" s="167">
        <f t="shared" si="82"/>
        <v>0</v>
      </c>
      <c r="Z102" s="183">
        <f t="shared" si="83"/>
        <v>0</v>
      </c>
      <c r="AA102" s="182">
        <v>75</v>
      </c>
      <c r="AB102" s="181"/>
      <c r="AC102" s="180">
        <v>75</v>
      </c>
      <c r="AD102" s="193"/>
    </row>
    <row r="103" spans="1:30" ht="15.75">
      <c r="A103" s="221" t="s">
        <v>71</v>
      </c>
      <c r="B103" s="191"/>
      <c r="C103" s="190">
        <v>0</v>
      </c>
      <c r="D103" s="207" t="s">
        <v>3</v>
      </c>
      <c r="E103" s="188">
        <v>623</v>
      </c>
      <c r="F103" s="174">
        <f t="shared" si="72"/>
        <v>0</v>
      </c>
      <c r="G103" s="186">
        <v>0.05</v>
      </c>
      <c r="H103" s="186">
        <v>0.02</v>
      </c>
      <c r="I103" s="186">
        <v>0.05</v>
      </c>
      <c r="J103" s="187">
        <v>0.122</v>
      </c>
      <c r="K103" s="186">
        <v>0.1</v>
      </c>
      <c r="L103" s="171">
        <f t="shared" si="73"/>
        <v>0</v>
      </c>
      <c r="M103" s="171">
        <f t="shared" si="74"/>
        <v>0</v>
      </c>
      <c r="N103" s="171">
        <f t="shared" si="75"/>
        <v>0</v>
      </c>
      <c r="O103" s="171">
        <f t="shared" si="76"/>
        <v>0</v>
      </c>
      <c r="P103" s="171">
        <f t="shared" si="77"/>
        <v>0</v>
      </c>
      <c r="Q103" s="170">
        <f t="shared" si="78"/>
        <v>0</v>
      </c>
      <c r="R103" s="185">
        <v>0.05</v>
      </c>
      <c r="S103" s="185">
        <v>0.05</v>
      </c>
      <c r="T103" s="185">
        <v>0.05</v>
      </c>
      <c r="U103" s="184">
        <v>0.1</v>
      </c>
      <c r="V103" s="167">
        <f t="shared" si="79"/>
        <v>0</v>
      </c>
      <c r="W103" s="167">
        <f t="shared" si="80"/>
        <v>0</v>
      </c>
      <c r="X103" s="167">
        <f t="shared" si="81"/>
        <v>0</v>
      </c>
      <c r="Y103" s="167">
        <f t="shared" si="82"/>
        <v>0</v>
      </c>
      <c r="Z103" s="183">
        <f t="shared" si="83"/>
        <v>0</v>
      </c>
      <c r="AA103" s="182">
        <v>75</v>
      </c>
      <c r="AB103" s="181"/>
      <c r="AC103" s="180">
        <v>75</v>
      </c>
      <c r="AD103" s="193"/>
    </row>
    <row r="104" spans="1:30" ht="15.75">
      <c r="A104" s="221" t="s">
        <v>70</v>
      </c>
      <c r="B104" s="191"/>
      <c r="C104" s="190">
        <v>0</v>
      </c>
      <c r="D104" s="207" t="s">
        <v>3</v>
      </c>
      <c r="E104" s="188">
        <v>524</v>
      </c>
      <c r="F104" s="174">
        <f t="shared" si="72"/>
        <v>0</v>
      </c>
      <c r="G104" s="186">
        <v>0.05</v>
      </c>
      <c r="H104" s="186">
        <v>0.02</v>
      </c>
      <c r="I104" s="186">
        <v>0.05</v>
      </c>
      <c r="J104" s="187">
        <v>0.122</v>
      </c>
      <c r="K104" s="186">
        <v>0.1</v>
      </c>
      <c r="L104" s="171">
        <f t="shared" si="73"/>
        <v>0</v>
      </c>
      <c r="M104" s="171">
        <f t="shared" si="74"/>
        <v>0</v>
      </c>
      <c r="N104" s="171">
        <f t="shared" si="75"/>
        <v>0</v>
      </c>
      <c r="O104" s="171">
        <f t="shared" si="76"/>
        <v>0</v>
      </c>
      <c r="P104" s="171">
        <f t="shared" si="77"/>
        <v>0</v>
      </c>
      <c r="Q104" s="170">
        <f t="shared" si="78"/>
        <v>0</v>
      </c>
      <c r="R104" s="185">
        <v>0.05</v>
      </c>
      <c r="S104" s="185">
        <v>0.05</v>
      </c>
      <c r="T104" s="185">
        <v>0.05</v>
      </c>
      <c r="U104" s="184">
        <v>0.1</v>
      </c>
      <c r="V104" s="167">
        <f t="shared" si="79"/>
        <v>0</v>
      </c>
      <c r="W104" s="167">
        <f t="shared" si="80"/>
        <v>0</v>
      </c>
      <c r="X104" s="167">
        <f t="shared" si="81"/>
        <v>0</v>
      </c>
      <c r="Y104" s="167">
        <f t="shared" si="82"/>
        <v>0</v>
      </c>
      <c r="Z104" s="183">
        <f t="shared" si="83"/>
        <v>0</v>
      </c>
      <c r="AA104" s="182">
        <v>75</v>
      </c>
      <c r="AB104" s="181"/>
      <c r="AC104" s="180">
        <v>75</v>
      </c>
      <c r="AD104" s="193"/>
    </row>
    <row r="105" spans="1:30" ht="15.75">
      <c r="A105" s="221" t="s">
        <v>69</v>
      </c>
      <c r="B105" s="191"/>
      <c r="C105" s="190">
        <v>0</v>
      </c>
      <c r="D105" s="207" t="s">
        <v>3</v>
      </c>
      <c r="E105" s="188">
        <v>663</v>
      </c>
      <c r="F105" s="174">
        <f t="shared" si="72"/>
        <v>0</v>
      </c>
      <c r="G105" s="186">
        <v>0.05</v>
      </c>
      <c r="H105" s="186">
        <v>0.02</v>
      </c>
      <c r="I105" s="186">
        <v>0.05</v>
      </c>
      <c r="J105" s="187">
        <v>0.122</v>
      </c>
      <c r="K105" s="186">
        <v>0.1</v>
      </c>
      <c r="L105" s="171">
        <f t="shared" si="73"/>
        <v>0</v>
      </c>
      <c r="M105" s="171">
        <f t="shared" si="74"/>
        <v>0</v>
      </c>
      <c r="N105" s="171">
        <f t="shared" si="75"/>
        <v>0</v>
      </c>
      <c r="O105" s="171">
        <f t="shared" si="76"/>
        <v>0</v>
      </c>
      <c r="P105" s="171">
        <f t="shared" si="77"/>
        <v>0</v>
      </c>
      <c r="Q105" s="170">
        <f t="shared" si="78"/>
        <v>0</v>
      </c>
      <c r="R105" s="185">
        <v>0.05</v>
      </c>
      <c r="S105" s="185">
        <v>0.05</v>
      </c>
      <c r="T105" s="185">
        <v>0.05</v>
      </c>
      <c r="U105" s="184">
        <v>0.1</v>
      </c>
      <c r="V105" s="167">
        <f t="shared" si="79"/>
        <v>0</v>
      </c>
      <c r="W105" s="167">
        <f t="shared" si="80"/>
        <v>0</v>
      </c>
      <c r="X105" s="167">
        <f t="shared" si="81"/>
        <v>0</v>
      </c>
      <c r="Y105" s="167">
        <f t="shared" si="82"/>
        <v>0</v>
      </c>
      <c r="Z105" s="183">
        <f t="shared" si="83"/>
        <v>0</v>
      </c>
      <c r="AA105" s="182">
        <v>75</v>
      </c>
      <c r="AB105" s="181"/>
      <c r="AC105" s="180">
        <v>75</v>
      </c>
      <c r="AD105" s="193"/>
    </row>
    <row r="106" spans="1:30" ht="15.75">
      <c r="A106" s="221" t="s">
        <v>68</v>
      </c>
      <c r="B106" s="191"/>
      <c r="C106" s="190">
        <v>0</v>
      </c>
      <c r="D106" s="207" t="s">
        <v>3</v>
      </c>
      <c r="E106" s="188">
        <v>630</v>
      </c>
      <c r="F106" s="174">
        <f t="shared" si="72"/>
        <v>0</v>
      </c>
      <c r="G106" s="186">
        <v>0.05</v>
      </c>
      <c r="H106" s="186">
        <v>0.02</v>
      </c>
      <c r="I106" s="186">
        <v>0.05</v>
      </c>
      <c r="J106" s="187">
        <v>0.122</v>
      </c>
      <c r="K106" s="186">
        <v>0.1</v>
      </c>
      <c r="L106" s="171">
        <f t="shared" si="73"/>
        <v>0</v>
      </c>
      <c r="M106" s="171">
        <f t="shared" si="74"/>
        <v>0</v>
      </c>
      <c r="N106" s="171">
        <f t="shared" si="75"/>
        <v>0</v>
      </c>
      <c r="O106" s="171">
        <f t="shared" si="76"/>
        <v>0</v>
      </c>
      <c r="P106" s="171">
        <f t="shared" si="77"/>
        <v>0</v>
      </c>
      <c r="Q106" s="170">
        <f t="shared" si="78"/>
        <v>0</v>
      </c>
      <c r="R106" s="185">
        <v>0.05</v>
      </c>
      <c r="S106" s="185">
        <v>0.05</v>
      </c>
      <c r="T106" s="185">
        <v>0.05</v>
      </c>
      <c r="U106" s="184">
        <v>0.1</v>
      </c>
      <c r="V106" s="167">
        <f t="shared" si="79"/>
        <v>0</v>
      </c>
      <c r="W106" s="167">
        <f t="shared" si="80"/>
        <v>0</v>
      </c>
      <c r="X106" s="167">
        <f t="shared" si="81"/>
        <v>0</v>
      </c>
      <c r="Y106" s="167">
        <f t="shared" si="82"/>
        <v>0</v>
      </c>
      <c r="Z106" s="183">
        <f t="shared" si="83"/>
        <v>0</v>
      </c>
      <c r="AA106" s="182">
        <v>75</v>
      </c>
      <c r="AB106" s="181"/>
      <c r="AC106" s="180">
        <v>75</v>
      </c>
      <c r="AD106" s="193"/>
    </row>
    <row r="107" spans="1:30" ht="15.75">
      <c r="A107" s="221" t="s">
        <v>67</v>
      </c>
      <c r="B107" s="191"/>
      <c r="C107" s="190">
        <v>0</v>
      </c>
      <c r="D107" s="207" t="s">
        <v>3</v>
      </c>
      <c r="E107" s="188"/>
      <c r="F107" s="174">
        <f t="shared" si="72"/>
        <v>0</v>
      </c>
      <c r="G107" s="186">
        <v>0.05</v>
      </c>
      <c r="H107" s="186">
        <v>0.02</v>
      </c>
      <c r="I107" s="186">
        <v>0.05</v>
      </c>
      <c r="J107" s="187">
        <v>0.122</v>
      </c>
      <c r="K107" s="186">
        <v>0.1</v>
      </c>
      <c r="L107" s="171">
        <f t="shared" si="73"/>
        <v>0</v>
      </c>
      <c r="M107" s="171">
        <f t="shared" si="74"/>
        <v>0</v>
      </c>
      <c r="N107" s="171">
        <f t="shared" si="75"/>
        <v>0</v>
      </c>
      <c r="O107" s="171">
        <f t="shared" si="76"/>
        <v>0</v>
      </c>
      <c r="P107" s="171">
        <f t="shared" si="77"/>
        <v>0</v>
      </c>
      <c r="Q107" s="170">
        <f t="shared" si="78"/>
        <v>0</v>
      </c>
      <c r="R107" s="185">
        <v>0.05</v>
      </c>
      <c r="S107" s="185">
        <v>0.05</v>
      </c>
      <c r="T107" s="185">
        <v>0.05</v>
      </c>
      <c r="U107" s="184">
        <v>0.1</v>
      </c>
      <c r="V107" s="167">
        <f t="shared" si="79"/>
        <v>0</v>
      </c>
      <c r="W107" s="167">
        <f t="shared" si="80"/>
        <v>0</v>
      </c>
      <c r="X107" s="167">
        <f t="shared" si="81"/>
        <v>0</v>
      </c>
      <c r="Y107" s="167">
        <f t="shared" si="82"/>
        <v>0</v>
      </c>
      <c r="Z107" s="183">
        <f t="shared" si="83"/>
        <v>0</v>
      </c>
      <c r="AA107" s="182">
        <v>75</v>
      </c>
      <c r="AB107" s="181"/>
      <c r="AC107" s="180">
        <v>75</v>
      </c>
      <c r="AD107" s="193"/>
    </row>
    <row r="108" spans="1:30" ht="15.75">
      <c r="A108" s="221" t="s">
        <v>66</v>
      </c>
      <c r="B108" s="191"/>
      <c r="C108" s="190">
        <v>0</v>
      </c>
      <c r="D108" s="207" t="s">
        <v>3</v>
      </c>
      <c r="E108" s="188">
        <v>572</v>
      </c>
      <c r="F108" s="174">
        <f t="shared" si="72"/>
        <v>0</v>
      </c>
      <c r="G108" s="186">
        <v>0.05</v>
      </c>
      <c r="H108" s="186">
        <v>0.02</v>
      </c>
      <c r="I108" s="186">
        <v>0.05</v>
      </c>
      <c r="J108" s="187">
        <v>0.122</v>
      </c>
      <c r="K108" s="186">
        <v>0.1</v>
      </c>
      <c r="L108" s="171">
        <f t="shared" si="73"/>
        <v>0</v>
      </c>
      <c r="M108" s="171">
        <f t="shared" si="74"/>
        <v>0</v>
      </c>
      <c r="N108" s="171">
        <f t="shared" si="75"/>
        <v>0</v>
      </c>
      <c r="O108" s="171">
        <f t="shared" si="76"/>
        <v>0</v>
      </c>
      <c r="P108" s="171">
        <f t="shared" si="77"/>
        <v>0</v>
      </c>
      <c r="Q108" s="170">
        <f t="shared" si="78"/>
        <v>0</v>
      </c>
      <c r="R108" s="185">
        <v>0.05</v>
      </c>
      <c r="S108" s="185">
        <v>0.05</v>
      </c>
      <c r="T108" s="185">
        <v>0.05</v>
      </c>
      <c r="U108" s="184">
        <v>0.1</v>
      </c>
      <c r="V108" s="167">
        <f t="shared" si="79"/>
        <v>0</v>
      </c>
      <c r="W108" s="167">
        <f t="shared" si="80"/>
        <v>0</v>
      </c>
      <c r="X108" s="167">
        <f t="shared" si="81"/>
        <v>0</v>
      </c>
      <c r="Y108" s="167">
        <f t="shared" si="82"/>
        <v>0</v>
      </c>
      <c r="Z108" s="183">
        <f t="shared" si="83"/>
        <v>0</v>
      </c>
      <c r="AA108" s="182">
        <v>75</v>
      </c>
      <c r="AB108" s="181"/>
      <c r="AC108" s="180">
        <v>75</v>
      </c>
      <c r="AD108" s="193"/>
    </row>
    <row r="109" spans="1:30" ht="15.75">
      <c r="A109" s="221" t="s">
        <v>65</v>
      </c>
      <c r="B109" s="191"/>
      <c r="C109" s="190">
        <v>0</v>
      </c>
      <c r="D109" s="207" t="s">
        <v>3</v>
      </c>
      <c r="E109" s="188"/>
      <c r="F109" s="174">
        <f t="shared" si="72"/>
        <v>0</v>
      </c>
      <c r="G109" s="186">
        <v>0.05</v>
      </c>
      <c r="H109" s="186">
        <v>0.02</v>
      </c>
      <c r="I109" s="186">
        <v>0.05</v>
      </c>
      <c r="J109" s="187">
        <v>0.122</v>
      </c>
      <c r="K109" s="186">
        <v>0.1</v>
      </c>
      <c r="L109" s="171">
        <f t="shared" si="73"/>
        <v>0</v>
      </c>
      <c r="M109" s="171">
        <f t="shared" si="74"/>
        <v>0</v>
      </c>
      <c r="N109" s="171">
        <f t="shared" si="75"/>
        <v>0</v>
      </c>
      <c r="O109" s="171">
        <f t="shared" si="76"/>
        <v>0</v>
      </c>
      <c r="P109" s="171">
        <f t="shared" si="77"/>
        <v>0</v>
      </c>
      <c r="Q109" s="170">
        <f t="shared" si="78"/>
        <v>0</v>
      </c>
      <c r="R109" s="185">
        <v>0.05</v>
      </c>
      <c r="S109" s="185">
        <v>0.05</v>
      </c>
      <c r="T109" s="185">
        <v>0.05</v>
      </c>
      <c r="U109" s="184">
        <v>0.1</v>
      </c>
      <c r="V109" s="167">
        <f t="shared" si="79"/>
        <v>0</v>
      </c>
      <c r="W109" s="167">
        <f t="shared" si="80"/>
        <v>0</v>
      </c>
      <c r="X109" s="167">
        <f t="shared" si="81"/>
        <v>0</v>
      </c>
      <c r="Y109" s="167">
        <f t="shared" si="82"/>
        <v>0</v>
      </c>
      <c r="Z109" s="183">
        <f t="shared" si="83"/>
        <v>0</v>
      </c>
      <c r="AA109" s="182">
        <v>75</v>
      </c>
      <c r="AB109" s="181"/>
      <c r="AC109" s="180">
        <v>75</v>
      </c>
      <c r="AD109" s="193"/>
    </row>
    <row r="110" spans="1:30" ht="15.75">
      <c r="A110" s="221" t="s">
        <v>64</v>
      </c>
      <c r="B110" s="191"/>
      <c r="C110" s="190">
        <v>0</v>
      </c>
      <c r="D110" s="207" t="s">
        <v>3</v>
      </c>
      <c r="E110" s="188"/>
      <c r="F110" s="174">
        <f t="shared" si="72"/>
        <v>0</v>
      </c>
      <c r="G110" s="186">
        <v>0.05</v>
      </c>
      <c r="H110" s="186">
        <v>0.02</v>
      </c>
      <c r="I110" s="186">
        <v>0.05</v>
      </c>
      <c r="J110" s="187">
        <v>0.122</v>
      </c>
      <c r="K110" s="186">
        <v>0.1</v>
      </c>
      <c r="L110" s="171">
        <f t="shared" si="73"/>
        <v>0</v>
      </c>
      <c r="M110" s="171">
        <f t="shared" si="74"/>
        <v>0</v>
      </c>
      <c r="N110" s="171">
        <f t="shared" si="75"/>
        <v>0</v>
      </c>
      <c r="O110" s="171">
        <f t="shared" si="76"/>
        <v>0</v>
      </c>
      <c r="P110" s="171">
        <f t="shared" si="77"/>
        <v>0</v>
      </c>
      <c r="Q110" s="170">
        <f t="shared" si="78"/>
        <v>0</v>
      </c>
      <c r="R110" s="185">
        <v>0.05</v>
      </c>
      <c r="S110" s="185">
        <v>0.05</v>
      </c>
      <c r="T110" s="185">
        <v>0.05</v>
      </c>
      <c r="U110" s="184">
        <v>0.1</v>
      </c>
      <c r="V110" s="167">
        <f t="shared" si="79"/>
        <v>0</v>
      </c>
      <c r="W110" s="167">
        <f t="shared" si="80"/>
        <v>0</v>
      </c>
      <c r="X110" s="167">
        <f t="shared" si="81"/>
        <v>0</v>
      </c>
      <c r="Y110" s="167">
        <f t="shared" si="82"/>
        <v>0</v>
      </c>
      <c r="Z110" s="183">
        <f t="shared" si="83"/>
        <v>0</v>
      </c>
      <c r="AA110" s="182">
        <v>75</v>
      </c>
      <c r="AB110" s="181"/>
      <c r="AC110" s="180">
        <v>75</v>
      </c>
      <c r="AD110" s="193"/>
    </row>
    <row r="111" spans="1:30" ht="15.75">
      <c r="A111" s="221" t="s">
        <v>63</v>
      </c>
      <c r="B111" s="191"/>
      <c r="C111" s="190">
        <v>0</v>
      </c>
      <c r="D111" s="207" t="s">
        <v>3</v>
      </c>
      <c r="E111" s="188"/>
      <c r="F111" s="174">
        <f t="shared" si="72"/>
        <v>0</v>
      </c>
      <c r="G111" s="186">
        <v>0.05</v>
      </c>
      <c r="H111" s="186">
        <v>0.02</v>
      </c>
      <c r="I111" s="186">
        <v>0.05</v>
      </c>
      <c r="J111" s="187">
        <v>0.122</v>
      </c>
      <c r="K111" s="186">
        <v>0.1</v>
      </c>
      <c r="L111" s="171">
        <f t="shared" si="73"/>
        <v>0</v>
      </c>
      <c r="M111" s="171">
        <f t="shared" si="74"/>
        <v>0</v>
      </c>
      <c r="N111" s="171">
        <f t="shared" si="75"/>
        <v>0</v>
      </c>
      <c r="O111" s="171">
        <f t="shared" si="76"/>
        <v>0</v>
      </c>
      <c r="P111" s="171">
        <f t="shared" si="77"/>
        <v>0</v>
      </c>
      <c r="Q111" s="170">
        <f t="shared" si="78"/>
        <v>0</v>
      </c>
      <c r="R111" s="185">
        <v>0.05</v>
      </c>
      <c r="S111" s="185">
        <v>0.05</v>
      </c>
      <c r="T111" s="185">
        <v>0.05</v>
      </c>
      <c r="U111" s="184">
        <v>0.1</v>
      </c>
      <c r="V111" s="167">
        <f t="shared" si="79"/>
        <v>0</v>
      </c>
      <c r="W111" s="167">
        <f t="shared" si="80"/>
        <v>0</v>
      </c>
      <c r="X111" s="167">
        <f t="shared" si="81"/>
        <v>0</v>
      </c>
      <c r="Y111" s="167">
        <f t="shared" si="82"/>
        <v>0</v>
      </c>
      <c r="Z111" s="183">
        <f t="shared" si="83"/>
        <v>0</v>
      </c>
      <c r="AA111" s="182">
        <v>75</v>
      </c>
      <c r="AB111" s="181"/>
      <c r="AC111" s="180">
        <v>75</v>
      </c>
      <c r="AD111" s="193"/>
    </row>
    <row r="112" spans="1:30" ht="15.75">
      <c r="A112" s="221" t="s">
        <v>62</v>
      </c>
      <c r="B112" s="191"/>
      <c r="C112" s="190">
        <v>0</v>
      </c>
      <c r="D112" s="207" t="s">
        <v>3</v>
      </c>
      <c r="E112" s="188"/>
      <c r="F112" s="174">
        <f t="shared" si="72"/>
        <v>0</v>
      </c>
      <c r="G112" s="186">
        <v>0.05</v>
      </c>
      <c r="H112" s="186">
        <v>0.02</v>
      </c>
      <c r="I112" s="186">
        <v>0.05</v>
      </c>
      <c r="J112" s="187">
        <v>0.122</v>
      </c>
      <c r="K112" s="186">
        <v>0.1</v>
      </c>
      <c r="L112" s="171">
        <f t="shared" si="73"/>
        <v>0</v>
      </c>
      <c r="M112" s="171">
        <f t="shared" si="74"/>
        <v>0</v>
      </c>
      <c r="N112" s="171">
        <f t="shared" si="75"/>
        <v>0</v>
      </c>
      <c r="O112" s="171">
        <f t="shared" si="76"/>
        <v>0</v>
      </c>
      <c r="P112" s="171">
        <f t="shared" si="77"/>
        <v>0</v>
      </c>
      <c r="Q112" s="170">
        <f t="shared" si="78"/>
        <v>0</v>
      </c>
      <c r="R112" s="185">
        <v>0.05</v>
      </c>
      <c r="S112" s="185">
        <v>0.05</v>
      </c>
      <c r="T112" s="185">
        <v>0.05</v>
      </c>
      <c r="U112" s="184">
        <v>0.1</v>
      </c>
      <c r="V112" s="167">
        <f t="shared" si="79"/>
        <v>0</v>
      </c>
      <c r="W112" s="167">
        <f t="shared" si="80"/>
        <v>0</v>
      </c>
      <c r="X112" s="167">
        <f t="shared" si="81"/>
        <v>0</v>
      </c>
      <c r="Y112" s="167">
        <f t="shared" si="82"/>
        <v>0</v>
      </c>
      <c r="Z112" s="183">
        <f t="shared" si="83"/>
        <v>0</v>
      </c>
      <c r="AA112" s="182">
        <v>75</v>
      </c>
      <c r="AB112" s="181"/>
      <c r="AC112" s="180">
        <v>75</v>
      </c>
      <c r="AD112" s="193"/>
    </row>
    <row r="113" spans="1:30" ht="15.75">
      <c r="A113" s="221" t="s">
        <v>61</v>
      </c>
      <c r="B113" s="191"/>
      <c r="C113" s="190">
        <v>0</v>
      </c>
      <c r="D113" s="207" t="s">
        <v>3</v>
      </c>
      <c r="E113" s="188"/>
      <c r="F113" s="174">
        <f t="shared" si="72"/>
        <v>0</v>
      </c>
      <c r="G113" s="186">
        <v>0.05</v>
      </c>
      <c r="H113" s="186">
        <v>0.02</v>
      </c>
      <c r="I113" s="186">
        <v>0.05</v>
      </c>
      <c r="J113" s="187">
        <v>0.122</v>
      </c>
      <c r="K113" s="186">
        <v>0.1</v>
      </c>
      <c r="L113" s="171">
        <f t="shared" si="73"/>
        <v>0</v>
      </c>
      <c r="M113" s="171">
        <f t="shared" si="74"/>
        <v>0</v>
      </c>
      <c r="N113" s="171">
        <f t="shared" si="75"/>
        <v>0</v>
      </c>
      <c r="O113" s="171">
        <f t="shared" si="76"/>
        <v>0</v>
      </c>
      <c r="P113" s="171">
        <f t="shared" si="77"/>
        <v>0</v>
      </c>
      <c r="Q113" s="170">
        <f t="shared" si="78"/>
        <v>0</v>
      </c>
      <c r="R113" s="185">
        <v>0.05</v>
      </c>
      <c r="S113" s="185">
        <v>0.05</v>
      </c>
      <c r="T113" s="185">
        <v>0.05</v>
      </c>
      <c r="U113" s="184">
        <v>0.1</v>
      </c>
      <c r="V113" s="167">
        <f t="shared" si="79"/>
        <v>0</v>
      </c>
      <c r="W113" s="167">
        <f t="shared" si="80"/>
        <v>0</v>
      </c>
      <c r="X113" s="167">
        <f t="shared" si="81"/>
        <v>0</v>
      </c>
      <c r="Y113" s="167">
        <f t="shared" si="82"/>
        <v>0</v>
      </c>
      <c r="Z113" s="183">
        <f t="shared" si="83"/>
        <v>0</v>
      </c>
      <c r="AA113" s="182">
        <v>75</v>
      </c>
      <c r="AB113" s="181"/>
      <c r="AC113" s="180">
        <v>75</v>
      </c>
      <c r="AD113" s="193"/>
    </row>
    <row r="114" spans="1:30" ht="15.75">
      <c r="A114" s="221" t="s">
        <v>60</v>
      </c>
      <c r="B114" s="191"/>
      <c r="C114" s="190">
        <v>0</v>
      </c>
      <c r="D114" s="207" t="s">
        <v>3</v>
      </c>
      <c r="E114" s="188"/>
      <c r="F114" s="174">
        <f t="shared" si="72"/>
        <v>0</v>
      </c>
      <c r="G114" s="186">
        <v>0.05</v>
      </c>
      <c r="H114" s="186">
        <v>0.02</v>
      </c>
      <c r="I114" s="186">
        <v>0.05</v>
      </c>
      <c r="J114" s="187">
        <v>0.122</v>
      </c>
      <c r="K114" s="186">
        <v>0.1</v>
      </c>
      <c r="L114" s="171">
        <f t="shared" si="73"/>
        <v>0</v>
      </c>
      <c r="M114" s="171">
        <f t="shared" si="74"/>
        <v>0</v>
      </c>
      <c r="N114" s="171">
        <f t="shared" si="75"/>
        <v>0</v>
      </c>
      <c r="O114" s="171">
        <f t="shared" si="76"/>
        <v>0</v>
      </c>
      <c r="P114" s="171">
        <f t="shared" si="77"/>
        <v>0</v>
      </c>
      <c r="Q114" s="170">
        <f t="shared" si="78"/>
        <v>0</v>
      </c>
      <c r="R114" s="185">
        <v>0.05</v>
      </c>
      <c r="S114" s="185">
        <v>0.05</v>
      </c>
      <c r="T114" s="185">
        <v>0.05</v>
      </c>
      <c r="U114" s="184">
        <v>0.1</v>
      </c>
      <c r="V114" s="167">
        <f t="shared" si="79"/>
        <v>0</v>
      </c>
      <c r="W114" s="167">
        <f t="shared" si="80"/>
        <v>0</v>
      </c>
      <c r="X114" s="167">
        <f t="shared" si="81"/>
        <v>0</v>
      </c>
      <c r="Y114" s="167">
        <f t="shared" si="82"/>
        <v>0</v>
      </c>
      <c r="Z114" s="183">
        <f t="shared" si="83"/>
        <v>0</v>
      </c>
      <c r="AA114" s="182">
        <v>75</v>
      </c>
      <c r="AB114" s="181"/>
      <c r="AC114" s="180">
        <v>75</v>
      </c>
      <c r="AD114" s="193"/>
    </row>
    <row r="115" spans="1:30" ht="15.75">
      <c r="A115" s="221" t="s">
        <v>59</v>
      </c>
      <c r="B115" s="191"/>
      <c r="C115" s="190">
        <v>0</v>
      </c>
      <c r="D115" s="207" t="s">
        <v>3</v>
      </c>
      <c r="E115" s="188"/>
      <c r="F115" s="174">
        <f t="shared" si="72"/>
        <v>0</v>
      </c>
      <c r="G115" s="186">
        <v>0.05</v>
      </c>
      <c r="H115" s="186">
        <v>0.02</v>
      </c>
      <c r="I115" s="186">
        <v>0.05</v>
      </c>
      <c r="J115" s="187">
        <v>0.122</v>
      </c>
      <c r="K115" s="186">
        <v>0.1</v>
      </c>
      <c r="L115" s="171">
        <f t="shared" si="73"/>
        <v>0</v>
      </c>
      <c r="M115" s="171">
        <f t="shared" si="74"/>
        <v>0</v>
      </c>
      <c r="N115" s="171">
        <f t="shared" si="75"/>
        <v>0</v>
      </c>
      <c r="O115" s="171">
        <f t="shared" si="76"/>
        <v>0</v>
      </c>
      <c r="P115" s="171">
        <f t="shared" si="77"/>
        <v>0</v>
      </c>
      <c r="Q115" s="170">
        <f t="shared" si="78"/>
        <v>0</v>
      </c>
      <c r="R115" s="185">
        <v>0.05</v>
      </c>
      <c r="S115" s="185">
        <v>0.05</v>
      </c>
      <c r="T115" s="185">
        <v>0.05</v>
      </c>
      <c r="U115" s="184">
        <v>0.1</v>
      </c>
      <c r="V115" s="167">
        <f t="shared" si="79"/>
        <v>0</v>
      </c>
      <c r="W115" s="167">
        <f t="shared" si="80"/>
        <v>0</v>
      </c>
      <c r="X115" s="167">
        <f t="shared" si="81"/>
        <v>0</v>
      </c>
      <c r="Y115" s="167">
        <f t="shared" si="82"/>
        <v>0</v>
      </c>
      <c r="Z115" s="183">
        <f t="shared" si="83"/>
        <v>0</v>
      </c>
      <c r="AA115" s="182">
        <v>75</v>
      </c>
      <c r="AB115" s="181"/>
      <c r="AC115" s="180">
        <v>75</v>
      </c>
      <c r="AD115" s="193"/>
    </row>
    <row r="116" spans="1:30" ht="15.75">
      <c r="A116" s="221" t="s">
        <v>58</v>
      </c>
      <c r="B116" s="191"/>
      <c r="C116" s="190">
        <v>0</v>
      </c>
      <c r="D116" s="207" t="s">
        <v>3</v>
      </c>
      <c r="E116" s="188"/>
      <c r="F116" s="174">
        <f t="shared" si="72"/>
        <v>0</v>
      </c>
      <c r="G116" s="186">
        <v>0.05</v>
      </c>
      <c r="H116" s="186">
        <v>0.02</v>
      </c>
      <c r="I116" s="186">
        <v>0.05</v>
      </c>
      <c r="J116" s="187">
        <v>0.122</v>
      </c>
      <c r="K116" s="186">
        <v>0.1</v>
      </c>
      <c r="L116" s="171">
        <f t="shared" si="73"/>
        <v>0</v>
      </c>
      <c r="M116" s="171">
        <f t="shared" si="74"/>
        <v>0</v>
      </c>
      <c r="N116" s="171">
        <f t="shared" si="75"/>
        <v>0</v>
      </c>
      <c r="O116" s="171">
        <f t="shared" si="76"/>
        <v>0</v>
      </c>
      <c r="P116" s="171">
        <f t="shared" si="77"/>
        <v>0</v>
      </c>
      <c r="Q116" s="170">
        <f t="shared" si="78"/>
        <v>0</v>
      </c>
      <c r="R116" s="185">
        <v>0.05</v>
      </c>
      <c r="S116" s="185">
        <v>0.05</v>
      </c>
      <c r="T116" s="185">
        <v>0.05</v>
      </c>
      <c r="U116" s="184">
        <v>0.1</v>
      </c>
      <c r="V116" s="167">
        <f t="shared" si="79"/>
        <v>0</v>
      </c>
      <c r="W116" s="167">
        <f t="shared" si="80"/>
        <v>0</v>
      </c>
      <c r="X116" s="167">
        <f t="shared" si="81"/>
        <v>0</v>
      </c>
      <c r="Y116" s="167">
        <f t="shared" si="82"/>
        <v>0</v>
      </c>
      <c r="Z116" s="183">
        <f t="shared" si="83"/>
        <v>0</v>
      </c>
      <c r="AA116" s="182">
        <v>75</v>
      </c>
      <c r="AB116" s="181"/>
      <c r="AC116" s="180">
        <v>75</v>
      </c>
      <c r="AD116" s="193"/>
    </row>
    <row r="117" spans="1:30" ht="15.75">
      <c r="A117" s="221" t="s">
        <v>57</v>
      </c>
      <c r="B117" s="191"/>
      <c r="C117" s="190">
        <v>0</v>
      </c>
      <c r="D117" s="207" t="s">
        <v>3</v>
      </c>
      <c r="E117" s="188"/>
      <c r="F117" s="174">
        <f t="shared" si="72"/>
        <v>0</v>
      </c>
      <c r="G117" s="186">
        <v>0.05</v>
      </c>
      <c r="H117" s="186">
        <v>0.02</v>
      </c>
      <c r="I117" s="186">
        <v>0.05</v>
      </c>
      <c r="J117" s="187">
        <v>0.122</v>
      </c>
      <c r="K117" s="186">
        <v>0.1</v>
      </c>
      <c r="L117" s="171">
        <f t="shared" si="73"/>
        <v>0</v>
      </c>
      <c r="M117" s="171">
        <f t="shared" si="74"/>
        <v>0</v>
      </c>
      <c r="N117" s="171">
        <f t="shared" si="75"/>
        <v>0</v>
      </c>
      <c r="O117" s="171">
        <f t="shared" si="76"/>
        <v>0</v>
      </c>
      <c r="P117" s="171">
        <f t="shared" si="77"/>
        <v>0</v>
      </c>
      <c r="Q117" s="170">
        <f t="shared" si="78"/>
        <v>0</v>
      </c>
      <c r="R117" s="185">
        <v>0.05</v>
      </c>
      <c r="S117" s="185">
        <v>0.05</v>
      </c>
      <c r="T117" s="185">
        <v>0.05</v>
      </c>
      <c r="U117" s="184">
        <v>0.1</v>
      </c>
      <c r="V117" s="167">
        <f t="shared" si="79"/>
        <v>0</v>
      </c>
      <c r="W117" s="167">
        <f t="shared" si="80"/>
        <v>0</v>
      </c>
      <c r="X117" s="167">
        <f t="shared" si="81"/>
        <v>0</v>
      </c>
      <c r="Y117" s="167">
        <f t="shared" si="82"/>
        <v>0</v>
      </c>
      <c r="Z117" s="183">
        <f t="shared" si="83"/>
        <v>0</v>
      </c>
      <c r="AA117" s="182">
        <v>75</v>
      </c>
      <c r="AB117" s="181"/>
      <c r="AC117" s="180">
        <v>75</v>
      </c>
      <c r="AD117" s="193"/>
    </row>
    <row r="118" spans="1:30" ht="15.75">
      <c r="A118" s="221" t="s">
        <v>56</v>
      </c>
      <c r="B118" s="191"/>
      <c r="C118" s="190">
        <v>200</v>
      </c>
      <c r="D118" s="207" t="s">
        <v>3</v>
      </c>
      <c r="E118" s="188">
        <v>265</v>
      </c>
      <c r="F118" s="174">
        <f t="shared" si="72"/>
        <v>53000</v>
      </c>
      <c r="G118" s="186">
        <v>0.05</v>
      </c>
      <c r="H118" s="186">
        <v>0.02</v>
      </c>
      <c r="I118" s="186">
        <v>0.05</v>
      </c>
      <c r="J118" s="187">
        <v>0.122</v>
      </c>
      <c r="K118" s="186">
        <v>0.1</v>
      </c>
      <c r="L118" s="171">
        <f t="shared" si="73"/>
        <v>2650</v>
      </c>
      <c r="M118" s="171">
        <f t="shared" si="74"/>
        <v>1113</v>
      </c>
      <c r="N118" s="171">
        <f t="shared" si="75"/>
        <v>2838.15</v>
      </c>
      <c r="O118" s="171">
        <f t="shared" si="76"/>
        <v>7271.3402999999998</v>
      </c>
      <c r="P118" s="171">
        <f t="shared" si="77"/>
        <v>6687.2490300000009</v>
      </c>
      <c r="Q118" s="170">
        <f t="shared" si="78"/>
        <v>73559.739329999997</v>
      </c>
      <c r="R118" s="185">
        <v>0.05</v>
      </c>
      <c r="S118" s="185">
        <v>0.05</v>
      </c>
      <c r="T118" s="185">
        <v>0.05</v>
      </c>
      <c r="U118" s="184">
        <v>0.1</v>
      </c>
      <c r="V118" s="167">
        <f t="shared" si="79"/>
        <v>3677.9869665000001</v>
      </c>
      <c r="W118" s="167">
        <f t="shared" si="80"/>
        <v>3677.9869665000001</v>
      </c>
      <c r="X118" s="167">
        <f t="shared" si="81"/>
        <v>3677.9869665000001</v>
      </c>
      <c r="Y118" s="167">
        <f t="shared" si="82"/>
        <v>735.59739330000002</v>
      </c>
      <c r="Z118" s="183">
        <f t="shared" si="83"/>
        <v>85329.29762279999</v>
      </c>
      <c r="AA118" s="182">
        <v>75</v>
      </c>
      <c r="AB118" s="181"/>
      <c r="AC118" s="180">
        <v>75</v>
      </c>
      <c r="AD118" s="193"/>
    </row>
    <row r="119" spans="1:30" ht="15.75">
      <c r="A119" s="221" t="s">
        <v>55</v>
      </c>
      <c r="B119" s="191"/>
      <c r="C119" s="190">
        <v>0</v>
      </c>
      <c r="D119" s="207" t="s">
        <v>3</v>
      </c>
      <c r="E119" s="188"/>
      <c r="F119" s="174">
        <f t="shared" si="72"/>
        <v>0</v>
      </c>
      <c r="G119" s="186">
        <v>0.05</v>
      </c>
      <c r="H119" s="186">
        <v>0.02</v>
      </c>
      <c r="I119" s="186">
        <v>0.05</v>
      </c>
      <c r="J119" s="187">
        <v>0.122</v>
      </c>
      <c r="K119" s="186">
        <v>0.1</v>
      </c>
      <c r="L119" s="171">
        <f t="shared" si="73"/>
        <v>0</v>
      </c>
      <c r="M119" s="171">
        <f t="shared" si="74"/>
        <v>0</v>
      </c>
      <c r="N119" s="171">
        <f t="shared" si="75"/>
        <v>0</v>
      </c>
      <c r="O119" s="171">
        <f t="shared" si="76"/>
        <v>0</v>
      </c>
      <c r="P119" s="171">
        <f t="shared" si="77"/>
        <v>0</v>
      </c>
      <c r="Q119" s="170">
        <f t="shared" si="78"/>
        <v>0</v>
      </c>
      <c r="R119" s="185">
        <v>0.05</v>
      </c>
      <c r="S119" s="185">
        <v>0.05</v>
      </c>
      <c r="T119" s="185">
        <v>0.05</v>
      </c>
      <c r="U119" s="184">
        <v>0.1</v>
      </c>
      <c r="V119" s="167">
        <f t="shared" si="79"/>
        <v>0</v>
      </c>
      <c r="W119" s="167">
        <f t="shared" si="80"/>
        <v>0</v>
      </c>
      <c r="X119" s="167">
        <f t="shared" si="81"/>
        <v>0</v>
      </c>
      <c r="Y119" s="167">
        <f t="shared" si="82"/>
        <v>0</v>
      </c>
      <c r="Z119" s="183">
        <f t="shared" si="83"/>
        <v>0</v>
      </c>
      <c r="AA119" s="182">
        <v>75</v>
      </c>
      <c r="AB119" s="181"/>
      <c r="AC119" s="180">
        <v>75</v>
      </c>
      <c r="AD119" s="193"/>
    </row>
    <row r="120" spans="1:30" ht="15.75">
      <c r="A120" s="221" t="s">
        <v>54</v>
      </c>
      <c r="B120" s="191"/>
      <c r="C120" s="190">
        <v>0</v>
      </c>
      <c r="D120" s="207" t="s">
        <v>3</v>
      </c>
      <c r="E120" s="188"/>
      <c r="F120" s="174">
        <f t="shared" si="72"/>
        <v>0</v>
      </c>
      <c r="G120" s="186">
        <v>0.05</v>
      </c>
      <c r="H120" s="186">
        <v>0.02</v>
      </c>
      <c r="I120" s="186">
        <v>0.05</v>
      </c>
      <c r="J120" s="187">
        <v>0.122</v>
      </c>
      <c r="K120" s="186">
        <v>0.1</v>
      </c>
      <c r="L120" s="171">
        <f t="shared" si="73"/>
        <v>0</v>
      </c>
      <c r="M120" s="171">
        <f t="shared" si="74"/>
        <v>0</v>
      </c>
      <c r="N120" s="171">
        <f t="shared" si="75"/>
        <v>0</v>
      </c>
      <c r="O120" s="171">
        <f t="shared" si="76"/>
        <v>0</v>
      </c>
      <c r="P120" s="171">
        <f t="shared" si="77"/>
        <v>0</v>
      </c>
      <c r="Q120" s="170">
        <f t="shared" si="78"/>
        <v>0</v>
      </c>
      <c r="R120" s="185">
        <v>0.05</v>
      </c>
      <c r="S120" s="185">
        <v>0.05</v>
      </c>
      <c r="T120" s="185">
        <v>0.05</v>
      </c>
      <c r="U120" s="184">
        <v>0.1</v>
      </c>
      <c r="V120" s="167">
        <f t="shared" si="79"/>
        <v>0</v>
      </c>
      <c r="W120" s="167">
        <f t="shared" si="80"/>
        <v>0</v>
      </c>
      <c r="X120" s="167">
        <f t="shared" si="81"/>
        <v>0</v>
      </c>
      <c r="Y120" s="167">
        <f t="shared" si="82"/>
        <v>0</v>
      </c>
      <c r="Z120" s="183">
        <f t="shared" si="83"/>
        <v>0</v>
      </c>
      <c r="AA120" s="182">
        <v>75</v>
      </c>
      <c r="AB120" s="181"/>
      <c r="AC120" s="180">
        <v>75</v>
      </c>
      <c r="AD120" s="193"/>
    </row>
    <row r="121" spans="1:30" ht="90">
      <c r="A121" s="219" t="s">
        <v>53</v>
      </c>
      <c r="B121" s="205"/>
      <c r="C121" s="204"/>
      <c r="D121" s="210"/>
      <c r="E121" s="209"/>
      <c r="F121" s="200"/>
      <c r="G121" s="200"/>
      <c r="H121" s="200"/>
      <c r="I121" s="200"/>
      <c r="J121" s="201"/>
      <c r="K121" s="200"/>
      <c r="L121" s="200"/>
      <c r="M121" s="200"/>
      <c r="N121" s="200"/>
      <c r="O121" s="200"/>
      <c r="P121" s="200"/>
      <c r="Q121" s="200"/>
      <c r="R121" s="199"/>
      <c r="S121" s="199"/>
      <c r="T121" s="199"/>
      <c r="U121" s="197"/>
      <c r="V121" s="197"/>
      <c r="W121" s="197"/>
      <c r="X121" s="197"/>
      <c r="Y121" s="197"/>
      <c r="Z121" s="198"/>
      <c r="AA121" s="218"/>
      <c r="AB121" s="196"/>
      <c r="AC121" s="195"/>
      <c r="AD121" s="194"/>
    </row>
    <row r="122" spans="1:30" ht="60">
      <c r="A122" s="217" t="s">
        <v>52</v>
      </c>
      <c r="B122" s="216"/>
      <c r="C122" s="215"/>
      <c r="D122" s="214"/>
      <c r="E122" s="213"/>
      <c r="F122" s="186"/>
      <c r="G122" s="186"/>
      <c r="H122" s="186"/>
      <c r="I122" s="186"/>
      <c r="J122" s="187"/>
      <c r="K122" s="186"/>
      <c r="L122" s="186"/>
      <c r="M122" s="186"/>
      <c r="N122" s="186"/>
      <c r="O122" s="186"/>
      <c r="P122" s="186"/>
      <c r="Q122" s="186"/>
      <c r="R122" s="185"/>
      <c r="S122" s="185"/>
      <c r="T122" s="185"/>
      <c r="U122" s="184"/>
      <c r="V122" s="184"/>
      <c r="W122" s="184"/>
      <c r="X122" s="184"/>
      <c r="Y122" s="184"/>
      <c r="Z122" s="212"/>
      <c r="AA122" s="182"/>
      <c r="AB122" s="181"/>
      <c r="AC122" s="180"/>
      <c r="AD122" s="211"/>
    </row>
    <row r="123" spans="1:30" ht="30">
      <c r="A123" s="192" t="s">
        <v>51</v>
      </c>
      <c r="B123" s="191"/>
      <c r="C123" s="190">
        <v>0</v>
      </c>
      <c r="D123" s="189" t="s">
        <v>3</v>
      </c>
      <c r="E123" s="188">
        <v>200</v>
      </c>
      <c r="F123" s="174">
        <f>E123*C123</f>
        <v>0</v>
      </c>
      <c r="G123" s="186">
        <v>0.05</v>
      </c>
      <c r="H123" s="186">
        <v>0.02</v>
      </c>
      <c r="I123" s="186">
        <v>0.05</v>
      </c>
      <c r="J123" s="187">
        <v>0.122</v>
      </c>
      <c r="K123" s="186">
        <v>0.1</v>
      </c>
      <c r="L123" s="171">
        <f>F123*G123</f>
        <v>0</v>
      </c>
      <c r="M123" s="171">
        <f>(F123+L123)*H123</f>
        <v>0</v>
      </c>
      <c r="N123" s="171">
        <f>(F123+L123+M123)*I123</f>
        <v>0</v>
      </c>
      <c r="O123" s="171">
        <f>(F123+L123+M123+N123)*J123</f>
        <v>0</v>
      </c>
      <c r="P123" s="171">
        <f>(F123+L123+M123+N123+O123)*K123</f>
        <v>0</v>
      </c>
      <c r="Q123" s="170">
        <f>F123+SUM(L123:P123)</f>
        <v>0</v>
      </c>
      <c r="R123" s="185">
        <v>0.05</v>
      </c>
      <c r="S123" s="185">
        <v>0.05</v>
      </c>
      <c r="T123" s="185">
        <v>0.05</v>
      </c>
      <c r="U123" s="184">
        <v>0.1</v>
      </c>
      <c r="V123" s="167">
        <f>Q123*R123</f>
        <v>0</v>
      </c>
      <c r="W123" s="167">
        <f>Q123*S123</f>
        <v>0</v>
      </c>
      <c r="X123" s="167">
        <f>Q123*T123</f>
        <v>0</v>
      </c>
      <c r="Y123" s="167">
        <f>U123*(V123+W123)</f>
        <v>0</v>
      </c>
      <c r="Z123" s="183">
        <f>Q123+SUM(V123:Y123)</f>
        <v>0</v>
      </c>
      <c r="AA123" s="182">
        <v>30</v>
      </c>
      <c r="AB123" s="181"/>
      <c r="AC123" s="180">
        <v>30</v>
      </c>
      <c r="AD123" s="193"/>
    </row>
    <row r="124" spans="1:30" ht="30">
      <c r="A124" s="192" t="s">
        <v>50</v>
      </c>
      <c r="B124" s="191"/>
      <c r="C124" s="190">
        <v>0</v>
      </c>
      <c r="D124" s="189" t="s">
        <v>3</v>
      </c>
      <c r="E124" s="188">
        <v>280</v>
      </c>
      <c r="F124" s="174">
        <f>E124*C124</f>
        <v>0</v>
      </c>
      <c r="G124" s="186">
        <v>0.05</v>
      </c>
      <c r="H124" s="186">
        <v>0.02</v>
      </c>
      <c r="I124" s="186">
        <v>0.05</v>
      </c>
      <c r="J124" s="187">
        <v>0.122</v>
      </c>
      <c r="K124" s="186">
        <v>0.1</v>
      </c>
      <c r="L124" s="171">
        <f>F124*G124</f>
        <v>0</v>
      </c>
      <c r="M124" s="171">
        <f>(F124+L124)*H124</f>
        <v>0</v>
      </c>
      <c r="N124" s="171">
        <f>(F124+L124+M124)*I124</f>
        <v>0</v>
      </c>
      <c r="O124" s="171">
        <f>(F124+L124+M124+N124)*J124</f>
        <v>0</v>
      </c>
      <c r="P124" s="171">
        <f>(F124+L124+M124+N124+O124)*K124</f>
        <v>0</v>
      </c>
      <c r="Q124" s="170">
        <f>F124+SUM(L124:P124)</f>
        <v>0</v>
      </c>
      <c r="R124" s="185">
        <v>0.05</v>
      </c>
      <c r="S124" s="185">
        <v>0.05</v>
      </c>
      <c r="T124" s="185">
        <v>0.05</v>
      </c>
      <c r="U124" s="184">
        <v>0.1</v>
      </c>
      <c r="V124" s="167">
        <f>Q124*R124</f>
        <v>0</v>
      </c>
      <c r="W124" s="167">
        <f>Q124*S124</f>
        <v>0</v>
      </c>
      <c r="X124" s="167">
        <f>Q124*T124</f>
        <v>0</v>
      </c>
      <c r="Y124" s="167">
        <f>U124*(V124+W124)</f>
        <v>0</v>
      </c>
      <c r="Z124" s="183">
        <f>Q124+SUM(V124:Y124)</f>
        <v>0</v>
      </c>
      <c r="AA124" s="182">
        <v>30</v>
      </c>
      <c r="AB124" s="181"/>
      <c r="AC124" s="180">
        <v>30</v>
      </c>
      <c r="AD124" s="193"/>
    </row>
    <row r="125" spans="1:30" ht="30">
      <c r="A125" s="192" t="s">
        <v>49</v>
      </c>
      <c r="B125" s="191"/>
      <c r="C125" s="190">
        <v>0</v>
      </c>
      <c r="D125" s="189" t="s">
        <v>3</v>
      </c>
      <c r="E125" s="188">
        <v>370</v>
      </c>
      <c r="F125" s="174">
        <f>E125*C125</f>
        <v>0</v>
      </c>
      <c r="G125" s="186">
        <v>0.05</v>
      </c>
      <c r="H125" s="186">
        <v>0.02</v>
      </c>
      <c r="I125" s="186">
        <v>0.05</v>
      </c>
      <c r="J125" s="187">
        <v>0.122</v>
      </c>
      <c r="K125" s="186">
        <v>0.1</v>
      </c>
      <c r="L125" s="171">
        <f>F125*G125</f>
        <v>0</v>
      </c>
      <c r="M125" s="171">
        <f>(F125+L125)*H125</f>
        <v>0</v>
      </c>
      <c r="N125" s="171">
        <f>(F125+L125+M125)*I125</f>
        <v>0</v>
      </c>
      <c r="O125" s="171">
        <f>(F125+L125+M125+N125)*J125</f>
        <v>0</v>
      </c>
      <c r="P125" s="171">
        <f>(F125+L125+M125+N125+O125)*K125</f>
        <v>0</v>
      </c>
      <c r="Q125" s="170">
        <f>F125+SUM(L125:P125)</f>
        <v>0</v>
      </c>
      <c r="R125" s="185">
        <v>0.05</v>
      </c>
      <c r="S125" s="185">
        <v>0.05</v>
      </c>
      <c r="T125" s="185">
        <v>0.05</v>
      </c>
      <c r="U125" s="184">
        <v>0.1</v>
      </c>
      <c r="V125" s="167">
        <f>Q125*R125</f>
        <v>0</v>
      </c>
      <c r="W125" s="167">
        <f>Q125*S125</f>
        <v>0</v>
      </c>
      <c r="X125" s="167">
        <f>Q125*T125</f>
        <v>0</v>
      </c>
      <c r="Y125" s="167">
        <f>U125*(V125+W125)</f>
        <v>0</v>
      </c>
      <c r="Z125" s="183">
        <f>Q125+SUM(V125:Y125)</f>
        <v>0</v>
      </c>
      <c r="AA125" s="182">
        <v>30</v>
      </c>
      <c r="AB125" s="181"/>
      <c r="AC125" s="180">
        <v>30</v>
      </c>
      <c r="AD125" s="193"/>
    </row>
    <row r="126" spans="1:30" ht="30">
      <c r="A126" s="192" t="s">
        <v>48</v>
      </c>
      <c r="B126" s="191"/>
      <c r="C126" s="190">
        <v>0</v>
      </c>
      <c r="D126" s="189" t="s">
        <v>3</v>
      </c>
      <c r="E126" s="188">
        <v>450</v>
      </c>
      <c r="F126" s="174">
        <f>E126*C126</f>
        <v>0</v>
      </c>
      <c r="G126" s="186">
        <v>0.05</v>
      </c>
      <c r="H126" s="186">
        <v>0.02</v>
      </c>
      <c r="I126" s="186">
        <v>0.05</v>
      </c>
      <c r="J126" s="187">
        <v>0.122</v>
      </c>
      <c r="K126" s="186">
        <v>0.1</v>
      </c>
      <c r="L126" s="171">
        <f>F126*G126</f>
        <v>0</v>
      </c>
      <c r="M126" s="171">
        <f>(F126+L126)*H126</f>
        <v>0</v>
      </c>
      <c r="N126" s="171">
        <f>(F126+L126+M126)*I126</f>
        <v>0</v>
      </c>
      <c r="O126" s="171">
        <f>(F126+L126+M126+N126)*J126</f>
        <v>0</v>
      </c>
      <c r="P126" s="171">
        <f>(F126+L126+M126+N126+O126)*K126</f>
        <v>0</v>
      </c>
      <c r="Q126" s="170">
        <f>F126+SUM(L126:P126)</f>
        <v>0</v>
      </c>
      <c r="R126" s="185">
        <v>0.05</v>
      </c>
      <c r="S126" s="185">
        <v>0.05</v>
      </c>
      <c r="T126" s="185">
        <v>0.05</v>
      </c>
      <c r="U126" s="184">
        <v>0.1</v>
      </c>
      <c r="V126" s="167">
        <f>Q126*R126</f>
        <v>0</v>
      </c>
      <c r="W126" s="167">
        <f>Q126*S126</f>
        <v>0</v>
      </c>
      <c r="X126" s="167">
        <f>Q126*T126</f>
        <v>0</v>
      </c>
      <c r="Y126" s="167">
        <f>U126*(V126+W126)</f>
        <v>0</v>
      </c>
      <c r="Z126" s="183">
        <f>Q126+SUM(V126:Y126)</f>
        <v>0</v>
      </c>
      <c r="AA126" s="182">
        <v>30</v>
      </c>
      <c r="AB126" s="181"/>
      <c r="AC126" s="180">
        <v>30</v>
      </c>
      <c r="AD126" s="193"/>
    </row>
    <row r="127" spans="1:30" ht="15.75">
      <c r="A127" s="192" t="s">
        <v>47</v>
      </c>
      <c r="B127" s="191"/>
      <c r="C127" s="190">
        <v>0</v>
      </c>
      <c r="D127" s="189" t="s">
        <v>3</v>
      </c>
      <c r="E127" s="188">
        <v>869</v>
      </c>
      <c r="F127" s="174">
        <f>E127*C127</f>
        <v>0</v>
      </c>
      <c r="G127" s="186">
        <v>0.05</v>
      </c>
      <c r="H127" s="186">
        <v>0.02</v>
      </c>
      <c r="I127" s="186">
        <v>0.05</v>
      </c>
      <c r="J127" s="187">
        <v>0.122</v>
      </c>
      <c r="K127" s="186">
        <v>0.1</v>
      </c>
      <c r="L127" s="171">
        <f>F127*G127</f>
        <v>0</v>
      </c>
      <c r="M127" s="171">
        <f>(F127+L127)*H127</f>
        <v>0</v>
      </c>
      <c r="N127" s="171">
        <f>(F127+L127+M127)*I127</f>
        <v>0</v>
      </c>
      <c r="O127" s="171">
        <f>(F127+L127+M127+N127)*J127</f>
        <v>0</v>
      </c>
      <c r="P127" s="171">
        <f>(F127+L127+M127+N127+O127)*K127</f>
        <v>0</v>
      </c>
      <c r="Q127" s="170">
        <f>F127+SUM(L127:P127)</f>
        <v>0</v>
      </c>
      <c r="R127" s="185">
        <v>0.05</v>
      </c>
      <c r="S127" s="185">
        <v>0.05</v>
      </c>
      <c r="T127" s="185">
        <v>0.05</v>
      </c>
      <c r="U127" s="184">
        <v>0.1</v>
      </c>
      <c r="V127" s="167">
        <f>Q127*R127</f>
        <v>0</v>
      </c>
      <c r="W127" s="167">
        <f>Q127*S127</f>
        <v>0</v>
      </c>
      <c r="X127" s="167">
        <f>Q127*T127</f>
        <v>0</v>
      </c>
      <c r="Y127" s="167">
        <f>U127*(V127+W127)</f>
        <v>0</v>
      </c>
      <c r="Z127" s="183">
        <f>Q127+SUM(V127:Y127)</f>
        <v>0</v>
      </c>
      <c r="AA127" s="182">
        <v>30</v>
      </c>
      <c r="AB127" s="181"/>
      <c r="AC127" s="180">
        <v>30</v>
      </c>
      <c r="AD127" s="193"/>
    </row>
    <row r="128" spans="1:30" ht="90">
      <c r="A128" s="219" t="s">
        <v>46</v>
      </c>
      <c r="B128" s="205"/>
      <c r="C128" s="204"/>
      <c r="D128" s="210"/>
      <c r="E128" s="209"/>
      <c r="F128" s="200"/>
      <c r="G128" s="200"/>
      <c r="H128" s="200"/>
      <c r="I128" s="200"/>
      <c r="J128" s="201"/>
      <c r="K128" s="200"/>
      <c r="L128" s="200"/>
      <c r="M128" s="200"/>
      <c r="N128" s="200"/>
      <c r="O128" s="200"/>
      <c r="P128" s="200"/>
      <c r="Q128" s="200"/>
      <c r="R128" s="199"/>
      <c r="S128" s="199"/>
      <c r="T128" s="199"/>
      <c r="U128" s="197"/>
      <c r="V128" s="197"/>
      <c r="W128" s="197"/>
      <c r="X128" s="197"/>
      <c r="Y128" s="197"/>
      <c r="Z128" s="198"/>
      <c r="AA128" s="218"/>
      <c r="AB128" s="196"/>
      <c r="AC128" s="195"/>
      <c r="AD128" s="194"/>
    </row>
    <row r="129" spans="1:30" ht="75">
      <c r="A129" s="217" t="s">
        <v>35</v>
      </c>
      <c r="B129" s="216"/>
      <c r="C129" s="215"/>
      <c r="D129" s="214"/>
      <c r="E129" s="213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5"/>
      <c r="S129" s="185"/>
      <c r="T129" s="185"/>
      <c r="U129" s="184"/>
      <c r="V129" s="184"/>
      <c r="W129" s="184"/>
      <c r="X129" s="184"/>
      <c r="Y129" s="184"/>
      <c r="Z129" s="212"/>
      <c r="AA129" s="182"/>
      <c r="AB129" s="181"/>
      <c r="AC129" s="180"/>
      <c r="AD129" s="211"/>
    </row>
    <row r="130" spans="1:30" ht="30">
      <c r="A130" s="220" t="s">
        <v>45</v>
      </c>
      <c r="B130" s="191"/>
      <c r="C130" s="190">
        <v>0</v>
      </c>
      <c r="D130" s="207" t="s">
        <v>3</v>
      </c>
      <c r="E130" s="188">
        <v>75</v>
      </c>
      <c r="F130" s="174">
        <f t="shared" ref="F130:F138" si="84">E130*C130</f>
        <v>0</v>
      </c>
      <c r="G130" s="186">
        <v>0.05</v>
      </c>
      <c r="H130" s="186">
        <v>0.02</v>
      </c>
      <c r="I130" s="186">
        <v>0.05</v>
      </c>
      <c r="J130" s="187">
        <v>0.122</v>
      </c>
      <c r="K130" s="186">
        <v>0.1</v>
      </c>
      <c r="L130" s="171">
        <f t="shared" ref="L130:L138" si="85">F130*G130</f>
        <v>0</v>
      </c>
      <c r="M130" s="171">
        <f t="shared" ref="M130:M138" si="86">(F130+L130)*H130</f>
        <v>0</v>
      </c>
      <c r="N130" s="171">
        <f t="shared" ref="N130:N138" si="87">(F130+L130+M130)*I130</f>
        <v>0</v>
      </c>
      <c r="O130" s="171">
        <f t="shared" ref="O130:O138" si="88">(F130+L130+M130+N130)*J130</f>
        <v>0</v>
      </c>
      <c r="P130" s="171">
        <f t="shared" ref="P130:P138" si="89">(F130+L130+M130+N130+O130)*K130</f>
        <v>0</v>
      </c>
      <c r="Q130" s="170">
        <f t="shared" ref="Q130:Q138" si="90">F130+SUM(L130:P130)</f>
        <v>0</v>
      </c>
      <c r="R130" s="185">
        <v>0.05</v>
      </c>
      <c r="S130" s="185">
        <v>0.05</v>
      </c>
      <c r="T130" s="185">
        <v>0.05</v>
      </c>
      <c r="U130" s="184">
        <v>0.1</v>
      </c>
      <c r="V130" s="167">
        <f t="shared" ref="V130:V138" si="91">Q130*R130</f>
        <v>0</v>
      </c>
      <c r="W130" s="167">
        <f t="shared" ref="W130:W138" si="92">Q130*S130</f>
        <v>0</v>
      </c>
      <c r="X130" s="167">
        <f t="shared" ref="X130:X138" si="93">Q130*T130</f>
        <v>0</v>
      </c>
      <c r="Y130" s="167">
        <f t="shared" ref="Y130:Y138" si="94">U130*(V130+W130)</f>
        <v>0</v>
      </c>
      <c r="Z130" s="183">
        <f t="shared" ref="Z130:Z138" si="95">Q130+SUM(V130:Y130)</f>
        <v>0</v>
      </c>
      <c r="AA130" s="182">
        <v>70</v>
      </c>
      <c r="AB130" s="181"/>
      <c r="AC130" s="180">
        <v>70</v>
      </c>
      <c r="AD130" s="193"/>
    </row>
    <row r="131" spans="1:30" ht="30">
      <c r="A131" s="220" t="s">
        <v>44</v>
      </c>
      <c r="B131" s="191"/>
      <c r="C131" s="190">
        <v>0</v>
      </c>
      <c r="D131" s="207" t="s">
        <v>3</v>
      </c>
      <c r="E131" s="188">
        <v>110</v>
      </c>
      <c r="F131" s="174">
        <f t="shared" si="84"/>
        <v>0</v>
      </c>
      <c r="G131" s="186">
        <v>0.05</v>
      </c>
      <c r="H131" s="186">
        <v>0.02</v>
      </c>
      <c r="I131" s="186">
        <v>0.05</v>
      </c>
      <c r="J131" s="187">
        <v>0.122</v>
      </c>
      <c r="K131" s="186">
        <v>0.1</v>
      </c>
      <c r="L131" s="171">
        <f t="shared" si="85"/>
        <v>0</v>
      </c>
      <c r="M131" s="171">
        <f t="shared" si="86"/>
        <v>0</v>
      </c>
      <c r="N131" s="171">
        <f t="shared" si="87"/>
        <v>0</v>
      </c>
      <c r="O131" s="171">
        <f t="shared" si="88"/>
        <v>0</v>
      </c>
      <c r="P131" s="171">
        <f t="shared" si="89"/>
        <v>0</v>
      </c>
      <c r="Q131" s="170">
        <f t="shared" si="90"/>
        <v>0</v>
      </c>
      <c r="R131" s="185">
        <v>0.05</v>
      </c>
      <c r="S131" s="185">
        <v>0.05</v>
      </c>
      <c r="T131" s="185">
        <v>0.05</v>
      </c>
      <c r="U131" s="184">
        <v>0.1</v>
      </c>
      <c r="V131" s="167">
        <f t="shared" si="91"/>
        <v>0</v>
      </c>
      <c r="W131" s="167">
        <f t="shared" si="92"/>
        <v>0</v>
      </c>
      <c r="X131" s="167">
        <f t="shared" si="93"/>
        <v>0</v>
      </c>
      <c r="Y131" s="167">
        <f t="shared" si="94"/>
        <v>0</v>
      </c>
      <c r="Z131" s="183">
        <f t="shared" si="95"/>
        <v>0</v>
      </c>
      <c r="AA131" s="182">
        <v>70</v>
      </c>
      <c r="AB131" s="181"/>
      <c r="AC131" s="180">
        <v>70</v>
      </c>
      <c r="AD131" s="193"/>
    </row>
    <row r="132" spans="1:30" ht="30">
      <c r="A132" s="220" t="s">
        <v>43</v>
      </c>
      <c r="B132" s="191"/>
      <c r="C132" s="190">
        <v>0</v>
      </c>
      <c r="D132" s="207" t="s">
        <v>3</v>
      </c>
      <c r="E132" s="188">
        <v>120</v>
      </c>
      <c r="F132" s="174">
        <f t="shared" si="84"/>
        <v>0</v>
      </c>
      <c r="G132" s="186">
        <v>0.05</v>
      </c>
      <c r="H132" s="186">
        <v>0.02</v>
      </c>
      <c r="I132" s="186">
        <v>0.05</v>
      </c>
      <c r="J132" s="187">
        <v>0.122</v>
      </c>
      <c r="K132" s="186">
        <v>0.1</v>
      </c>
      <c r="L132" s="171">
        <f t="shared" si="85"/>
        <v>0</v>
      </c>
      <c r="M132" s="171">
        <f t="shared" si="86"/>
        <v>0</v>
      </c>
      <c r="N132" s="171">
        <f t="shared" si="87"/>
        <v>0</v>
      </c>
      <c r="O132" s="171">
        <f t="shared" si="88"/>
        <v>0</v>
      </c>
      <c r="P132" s="171">
        <f t="shared" si="89"/>
        <v>0</v>
      </c>
      <c r="Q132" s="170">
        <f t="shared" si="90"/>
        <v>0</v>
      </c>
      <c r="R132" s="185">
        <v>0.05</v>
      </c>
      <c r="S132" s="185">
        <v>0.05</v>
      </c>
      <c r="T132" s="185">
        <v>0.05</v>
      </c>
      <c r="U132" s="184">
        <v>0.1</v>
      </c>
      <c r="V132" s="167">
        <f t="shared" si="91"/>
        <v>0</v>
      </c>
      <c r="W132" s="167">
        <f t="shared" si="92"/>
        <v>0</v>
      </c>
      <c r="X132" s="167">
        <f t="shared" si="93"/>
        <v>0</v>
      </c>
      <c r="Y132" s="167">
        <f t="shared" si="94"/>
        <v>0</v>
      </c>
      <c r="Z132" s="183">
        <f t="shared" si="95"/>
        <v>0</v>
      </c>
      <c r="AA132" s="182">
        <v>70</v>
      </c>
      <c r="AB132" s="181"/>
      <c r="AC132" s="180">
        <v>70</v>
      </c>
      <c r="AD132" s="193"/>
    </row>
    <row r="133" spans="1:30" ht="15.75">
      <c r="A133" s="220" t="s">
        <v>42</v>
      </c>
      <c r="B133" s="191"/>
      <c r="C133" s="190">
        <v>0</v>
      </c>
      <c r="D133" s="207" t="s">
        <v>3</v>
      </c>
      <c r="E133" s="188"/>
      <c r="F133" s="174">
        <f t="shared" si="84"/>
        <v>0</v>
      </c>
      <c r="G133" s="186">
        <v>0.05</v>
      </c>
      <c r="H133" s="186">
        <v>0.02</v>
      </c>
      <c r="I133" s="186">
        <v>0.05</v>
      </c>
      <c r="J133" s="187">
        <v>0.122</v>
      </c>
      <c r="K133" s="186">
        <v>0.1</v>
      </c>
      <c r="L133" s="171">
        <f t="shared" si="85"/>
        <v>0</v>
      </c>
      <c r="M133" s="171">
        <f t="shared" si="86"/>
        <v>0</v>
      </c>
      <c r="N133" s="171">
        <f t="shared" si="87"/>
        <v>0</v>
      </c>
      <c r="O133" s="171">
        <f t="shared" si="88"/>
        <v>0</v>
      </c>
      <c r="P133" s="171">
        <f t="shared" si="89"/>
        <v>0</v>
      </c>
      <c r="Q133" s="170">
        <f t="shared" si="90"/>
        <v>0</v>
      </c>
      <c r="R133" s="185">
        <v>0.05</v>
      </c>
      <c r="S133" s="185">
        <v>0.05</v>
      </c>
      <c r="T133" s="185">
        <v>0.05</v>
      </c>
      <c r="U133" s="184">
        <v>0.1</v>
      </c>
      <c r="V133" s="167">
        <f t="shared" si="91"/>
        <v>0</v>
      </c>
      <c r="W133" s="167">
        <f t="shared" si="92"/>
        <v>0</v>
      </c>
      <c r="X133" s="167">
        <f t="shared" si="93"/>
        <v>0</v>
      </c>
      <c r="Y133" s="167">
        <f t="shared" si="94"/>
        <v>0</v>
      </c>
      <c r="Z133" s="183">
        <f t="shared" si="95"/>
        <v>0</v>
      </c>
      <c r="AA133" s="182">
        <v>70</v>
      </c>
      <c r="AB133" s="181"/>
      <c r="AC133" s="180">
        <v>70</v>
      </c>
      <c r="AD133" s="193"/>
    </row>
    <row r="134" spans="1:30" ht="15.75">
      <c r="A134" s="220" t="s">
        <v>41</v>
      </c>
      <c r="B134" s="191"/>
      <c r="C134" s="190">
        <v>0</v>
      </c>
      <c r="D134" s="207" t="s">
        <v>3</v>
      </c>
      <c r="E134" s="188">
        <v>291</v>
      </c>
      <c r="F134" s="174">
        <f t="shared" si="84"/>
        <v>0</v>
      </c>
      <c r="G134" s="186">
        <v>0.05</v>
      </c>
      <c r="H134" s="186">
        <v>0.02</v>
      </c>
      <c r="I134" s="186">
        <v>0.05</v>
      </c>
      <c r="J134" s="187">
        <v>0.122</v>
      </c>
      <c r="K134" s="186">
        <v>0.1</v>
      </c>
      <c r="L134" s="171">
        <f t="shared" si="85"/>
        <v>0</v>
      </c>
      <c r="M134" s="171">
        <f t="shared" si="86"/>
        <v>0</v>
      </c>
      <c r="N134" s="171">
        <f t="shared" si="87"/>
        <v>0</v>
      </c>
      <c r="O134" s="171">
        <f t="shared" si="88"/>
        <v>0</v>
      </c>
      <c r="P134" s="171">
        <f t="shared" si="89"/>
        <v>0</v>
      </c>
      <c r="Q134" s="170">
        <f t="shared" si="90"/>
        <v>0</v>
      </c>
      <c r="R134" s="185">
        <v>0.05</v>
      </c>
      <c r="S134" s="185">
        <v>0.05</v>
      </c>
      <c r="T134" s="185">
        <v>0.05</v>
      </c>
      <c r="U134" s="184">
        <v>0.1</v>
      </c>
      <c r="V134" s="167">
        <f t="shared" si="91"/>
        <v>0</v>
      </c>
      <c r="W134" s="167">
        <f t="shared" si="92"/>
        <v>0</v>
      </c>
      <c r="X134" s="167">
        <f t="shared" si="93"/>
        <v>0</v>
      </c>
      <c r="Y134" s="167">
        <f t="shared" si="94"/>
        <v>0</v>
      </c>
      <c r="Z134" s="183">
        <f t="shared" si="95"/>
        <v>0</v>
      </c>
      <c r="AA134" s="182">
        <v>70</v>
      </c>
      <c r="AB134" s="181"/>
      <c r="AC134" s="180">
        <v>70</v>
      </c>
      <c r="AD134" s="193"/>
    </row>
    <row r="135" spans="1:30" ht="15.75">
      <c r="A135" s="220" t="s">
        <v>40</v>
      </c>
      <c r="B135" s="191"/>
      <c r="C135" s="190">
        <v>0</v>
      </c>
      <c r="D135" s="207" t="s">
        <v>3</v>
      </c>
      <c r="E135" s="188"/>
      <c r="F135" s="174">
        <f t="shared" si="84"/>
        <v>0</v>
      </c>
      <c r="G135" s="186">
        <v>0.05</v>
      </c>
      <c r="H135" s="186">
        <v>0.02</v>
      </c>
      <c r="I135" s="186">
        <v>0.05</v>
      </c>
      <c r="J135" s="187">
        <v>0.122</v>
      </c>
      <c r="K135" s="186">
        <v>0.1</v>
      </c>
      <c r="L135" s="171">
        <f t="shared" si="85"/>
        <v>0</v>
      </c>
      <c r="M135" s="171">
        <f t="shared" si="86"/>
        <v>0</v>
      </c>
      <c r="N135" s="171">
        <f t="shared" si="87"/>
        <v>0</v>
      </c>
      <c r="O135" s="171">
        <f t="shared" si="88"/>
        <v>0</v>
      </c>
      <c r="P135" s="171">
        <f t="shared" si="89"/>
        <v>0</v>
      </c>
      <c r="Q135" s="170">
        <f t="shared" si="90"/>
        <v>0</v>
      </c>
      <c r="R135" s="185">
        <v>0.05</v>
      </c>
      <c r="S135" s="185">
        <v>0.05</v>
      </c>
      <c r="T135" s="185">
        <v>0.05</v>
      </c>
      <c r="U135" s="184">
        <v>0.1</v>
      </c>
      <c r="V135" s="167">
        <f t="shared" si="91"/>
        <v>0</v>
      </c>
      <c r="W135" s="167">
        <f t="shared" si="92"/>
        <v>0</v>
      </c>
      <c r="X135" s="167">
        <f t="shared" si="93"/>
        <v>0</v>
      </c>
      <c r="Y135" s="167">
        <f t="shared" si="94"/>
        <v>0</v>
      </c>
      <c r="Z135" s="183">
        <f t="shared" si="95"/>
        <v>0</v>
      </c>
      <c r="AA135" s="182">
        <v>70</v>
      </c>
      <c r="AB135" s="181"/>
      <c r="AC135" s="180">
        <v>70</v>
      </c>
      <c r="AD135" s="193"/>
    </row>
    <row r="136" spans="1:30" ht="15.75">
      <c r="A136" s="220" t="s">
        <v>39</v>
      </c>
      <c r="B136" s="191"/>
      <c r="C136" s="190">
        <v>0</v>
      </c>
      <c r="D136" s="207" t="s">
        <v>3</v>
      </c>
      <c r="E136" s="188"/>
      <c r="F136" s="174">
        <f t="shared" si="84"/>
        <v>0</v>
      </c>
      <c r="G136" s="186">
        <v>0.05</v>
      </c>
      <c r="H136" s="186">
        <v>0.02</v>
      </c>
      <c r="I136" s="186">
        <v>0.05</v>
      </c>
      <c r="J136" s="187">
        <v>0.122</v>
      </c>
      <c r="K136" s="186">
        <v>0.1</v>
      </c>
      <c r="L136" s="171">
        <f t="shared" si="85"/>
        <v>0</v>
      </c>
      <c r="M136" s="171">
        <f t="shared" si="86"/>
        <v>0</v>
      </c>
      <c r="N136" s="171">
        <f t="shared" si="87"/>
        <v>0</v>
      </c>
      <c r="O136" s="171">
        <f t="shared" si="88"/>
        <v>0</v>
      </c>
      <c r="P136" s="171">
        <f t="shared" si="89"/>
        <v>0</v>
      </c>
      <c r="Q136" s="170">
        <f t="shared" si="90"/>
        <v>0</v>
      </c>
      <c r="R136" s="185">
        <v>0.05</v>
      </c>
      <c r="S136" s="185">
        <v>0.05</v>
      </c>
      <c r="T136" s="185">
        <v>0.05</v>
      </c>
      <c r="U136" s="184">
        <v>0.1</v>
      </c>
      <c r="V136" s="167">
        <f t="shared" si="91"/>
        <v>0</v>
      </c>
      <c r="W136" s="167">
        <f t="shared" si="92"/>
        <v>0</v>
      </c>
      <c r="X136" s="167">
        <f t="shared" si="93"/>
        <v>0</v>
      </c>
      <c r="Y136" s="167">
        <f t="shared" si="94"/>
        <v>0</v>
      </c>
      <c r="Z136" s="183">
        <f t="shared" si="95"/>
        <v>0</v>
      </c>
      <c r="AA136" s="182">
        <v>70</v>
      </c>
      <c r="AB136" s="181"/>
      <c r="AC136" s="180">
        <v>70</v>
      </c>
      <c r="AD136" s="193"/>
    </row>
    <row r="137" spans="1:30" ht="15.75">
      <c r="A137" s="220" t="s">
        <v>38</v>
      </c>
      <c r="B137" s="191"/>
      <c r="C137" s="190">
        <v>0</v>
      </c>
      <c r="D137" s="207" t="s">
        <v>3</v>
      </c>
      <c r="E137" s="188"/>
      <c r="F137" s="174">
        <f t="shared" si="84"/>
        <v>0</v>
      </c>
      <c r="G137" s="186">
        <v>0.05</v>
      </c>
      <c r="H137" s="186">
        <v>0.02</v>
      </c>
      <c r="I137" s="186">
        <v>0.05</v>
      </c>
      <c r="J137" s="187">
        <v>0.122</v>
      </c>
      <c r="K137" s="186">
        <v>0.1</v>
      </c>
      <c r="L137" s="171">
        <f t="shared" si="85"/>
        <v>0</v>
      </c>
      <c r="M137" s="171">
        <f t="shared" si="86"/>
        <v>0</v>
      </c>
      <c r="N137" s="171">
        <f t="shared" si="87"/>
        <v>0</v>
      </c>
      <c r="O137" s="171">
        <f t="shared" si="88"/>
        <v>0</v>
      </c>
      <c r="P137" s="171">
        <f t="shared" si="89"/>
        <v>0</v>
      </c>
      <c r="Q137" s="170">
        <f t="shared" si="90"/>
        <v>0</v>
      </c>
      <c r="R137" s="185">
        <v>0.05</v>
      </c>
      <c r="S137" s="185">
        <v>0.05</v>
      </c>
      <c r="T137" s="185">
        <v>0.05</v>
      </c>
      <c r="U137" s="184">
        <v>0.1</v>
      </c>
      <c r="V137" s="167">
        <f t="shared" si="91"/>
        <v>0</v>
      </c>
      <c r="W137" s="167">
        <f t="shared" si="92"/>
        <v>0</v>
      </c>
      <c r="X137" s="167">
        <f t="shared" si="93"/>
        <v>0</v>
      </c>
      <c r="Y137" s="167">
        <f t="shared" si="94"/>
        <v>0</v>
      </c>
      <c r="Z137" s="183">
        <f t="shared" si="95"/>
        <v>0</v>
      </c>
      <c r="AA137" s="182">
        <v>70</v>
      </c>
      <c r="AB137" s="181"/>
      <c r="AC137" s="180">
        <v>70</v>
      </c>
      <c r="AD137" s="193"/>
    </row>
    <row r="138" spans="1:30" ht="15.75">
      <c r="A138" s="220" t="s">
        <v>37</v>
      </c>
      <c r="B138" s="191"/>
      <c r="C138" s="190">
        <v>0</v>
      </c>
      <c r="D138" s="207" t="s">
        <v>3</v>
      </c>
      <c r="E138" s="188"/>
      <c r="F138" s="174">
        <f t="shared" si="84"/>
        <v>0</v>
      </c>
      <c r="G138" s="186">
        <v>0.05</v>
      </c>
      <c r="H138" s="186">
        <v>0.02</v>
      </c>
      <c r="I138" s="186">
        <v>0.05</v>
      </c>
      <c r="J138" s="187">
        <v>0.122</v>
      </c>
      <c r="K138" s="186">
        <v>0.1</v>
      </c>
      <c r="L138" s="171">
        <f t="shared" si="85"/>
        <v>0</v>
      </c>
      <c r="M138" s="171">
        <f t="shared" si="86"/>
        <v>0</v>
      </c>
      <c r="N138" s="171">
        <f t="shared" si="87"/>
        <v>0</v>
      </c>
      <c r="O138" s="171">
        <f t="shared" si="88"/>
        <v>0</v>
      </c>
      <c r="P138" s="171">
        <f t="shared" si="89"/>
        <v>0</v>
      </c>
      <c r="Q138" s="170">
        <f t="shared" si="90"/>
        <v>0</v>
      </c>
      <c r="R138" s="185">
        <v>0.05</v>
      </c>
      <c r="S138" s="185">
        <v>0.05</v>
      </c>
      <c r="T138" s="185">
        <v>0.05</v>
      </c>
      <c r="U138" s="184">
        <v>0.1</v>
      </c>
      <c r="V138" s="167">
        <f t="shared" si="91"/>
        <v>0</v>
      </c>
      <c r="W138" s="167">
        <f t="shared" si="92"/>
        <v>0</v>
      </c>
      <c r="X138" s="167">
        <f t="shared" si="93"/>
        <v>0</v>
      </c>
      <c r="Y138" s="167">
        <f t="shared" si="94"/>
        <v>0</v>
      </c>
      <c r="Z138" s="183">
        <f t="shared" si="95"/>
        <v>0</v>
      </c>
      <c r="AA138" s="182">
        <v>70</v>
      </c>
      <c r="AB138" s="181"/>
      <c r="AC138" s="180">
        <v>70</v>
      </c>
      <c r="AD138" s="193"/>
    </row>
    <row r="139" spans="1:30" ht="72">
      <c r="A139" s="219" t="s">
        <v>36</v>
      </c>
      <c r="B139" s="205"/>
      <c r="C139" s="204"/>
      <c r="D139" s="210"/>
      <c r="E139" s="209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199"/>
      <c r="S139" s="199"/>
      <c r="T139" s="199"/>
      <c r="U139" s="197"/>
      <c r="V139" s="197"/>
      <c r="W139" s="197"/>
      <c r="X139" s="197"/>
      <c r="Y139" s="197"/>
      <c r="Z139" s="198"/>
      <c r="AA139" s="218"/>
      <c r="AB139" s="196"/>
      <c r="AC139" s="195"/>
      <c r="AD139" s="194"/>
    </row>
    <row r="140" spans="1:30" ht="75">
      <c r="A140" s="217" t="s">
        <v>35</v>
      </c>
      <c r="B140" s="216"/>
      <c r="C140" s="215"/>
      <c r="D140" s="214"/>
      <c r="E140" s="213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5"/>
      <c r="S140" s="185"/>
      <c r="T140" s="185"/>
      <c r="U140" s="184"/>
      <c r="V140" s="184"/>
      <c r="W140" s="184"/>
      <c r="X140" s="184"/>
      <c r="Y140" s="184"/>
      <c r="Z140" s="212"/>
      <c r="AA140" s="182"/>
      <c r="AB140" s="181"/>
      <c r="AC140" s="180"/>
      <c r="AD140" s="211"/>
    </row>
    <row r="141" spans="1:30" ht="18">
      <c r="A141" s="206" t="s">
        <v>34</v>
      </c>
      <c r="B141" s="205"/>
      <c r="C141" s="204"/>
      <c r="D141" s="210"/>
      <c r="E141" s="209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199"/>
      <c r="S141" s="199"/>
      <c r="T141" s="199"/>
      <c r="U141" s="197"/>
      <c r="V141" s="197"/>
      <c r="W141" s="197"/>
      <c r="X141" s="197"/>
      <c r="Y141" s="197"/>
      <c r="Z141" s="198"/>
      <c r="AA141" s="197"/>
      <c r="AB141" s="196"/>
      <c r="AC141" s="195"/>
      <c r="AD141" s="194"/>
    </row>
    <row r="142" spans="1:30" ht="15.75">
      <c r="A142" s="208" t="s">
        <v>33</v>
      </c>
      <c r="B142" s="191"/>
      <c r="C142" s="190">
        <v>0</v>
      </c>
      <c r="D142" s="207" t="s">
        <v>3</v>
      </c>
      <c r="E142" s="188"/>
      <c r="F142" s="174">
        <f t="shared" ref="F142:F152" si="96">E142*C142</f>
        <v>0</v>
      </c>
      <c r="G142" s="186">
        <v>0.05</v>
      </c>
      <c r="H142" s="186">
        <v>0.02</v>
      </c>
      <c r="I142" s="186">
        <v>0.05</v>
      </c>
      <c r="J142" s="187">
        <v>0.122</v>
      </c>
      <c r="K142" s="186">
        <v>0.1</v>
      </c>
      <c r="L142" s="171">
        <f t="shared" ref="L142:L152" si="97">F142*G142</f>
        <v>0</v>
      </c>
      <c r="M142" s="171">
        <f t="shared" ref="M142:M152" si="98">(F142+L142)*H142</f>
        <v>0</v>
      </c>
      <c r="N142" s="171">
        <f t="shared" ref="N142:N152" si="99">(F142+L142+M142)*I142</f>
        <v>0</v>
      </c>
      <c r="O142" s="171">
        <f t="shared" ref="O142:O152" si="100">(F142+L142+M142+N142)*J142</f>
        <v>0</v>
      </c>
      <c r="P142" s="171">
        <f t="shared" ref="P142:P152" si="101">(F142+L142+M142+N142+O142)*K142</f>
        <v>0</v>
      </c>
      <c r="Q142" s="170">
        <f t="shared" ref="Q142:Q152" si="102">F142+SUM(L142:P142)</f>
        <v>0</v>
      </c>
      <c r="R142" s="185">
        <v>0.05</v>
      </c>
      <c r="S142" s="185">
        <v>0.05</v>
      </c>
      <c r="T142" s="185">
        <v>0.05</v>
      </c>
      <c r="U142" s="184">
        <v>0.1</v>
      </c>
      <c r="V142" s="167">
        <f t="shared" ref="V142:V152" si="103">Q142*R142</f>
        <v>0</v>
      </c>
      <c r="W142" s="167">
        <f t="shared" ref="W142:W152" si="104">Q142*S142</f>
        <v>0</v>
      </c>
      <c r="X142" s="167">
        <f t="shared" ref="X142:X152" si="105">Q142*T142</f>
        <v>0</v>
      </c>
      <c r="Y142" s="167">
        <f t="shared" ref="Y142:Y152" si="106">U142*(V142+W142)</f>
        <v>0</v>
      </c>
      <c r="Z142" s="183">
        <f t="shared" ref="Z142:Z152" si="107">Q142+SUM(V142:Y142)</f>
        <v>0</v>
      </c>
      <c r="AA142" s="182">
        <v>70</v>
      </c>
      <c r="AB142" s="181"/>
      <c r="AC142" s="180">
        <v>70</v>
      </c>
      <c r="AD142" s="193"/>
    </row>
    <row r="143" spans="1:30" ht="30">
      <c r="A143" s="208" t="s">
        <v>32</v>
      </c>
      <c r="B143" s="191"/>
      <c r="C143" s="190">
        <v>0</v>
      </c>
      <c r="D143" s="207" t="s">
        <v>3</v>
      </c>
      <c r="E143" s="188">
        <v>65</v>
      </c>
      <c r="F143" s="174">
        <f t="shared" si="96"/>
        <v>0</v>
      </c>
      <c r="G143" s="186">
        <v>0.05</v>
      </c>
      <c r="H143" s="186">
        <v>0.02</v>
      </c>
      <c r="I143" s="186">
        <v>0.05</v>
      </c>
      <c r="J143" s="187">
        <v>0.122</v>
      </c>
      <c r="K143" s="186">
        <v>0.1</v>
      </c>
      <c r="L143" s="171">
        <f t="shared" si="97"/>
        <v>0</v>
      </c>
      <c r="M143" s="171">
        <f t="shared" si="98"/>
        <v>0</v>
      </c>
      <c r="N143" s="171">
        <f t="shared" si="99"/>
        <v>0</v>
      </c>
      <c r="O143" s="171">
        <f t="shared" si="100"/>
        <v>0</v>
      </c>
      <c r="P143" s="171">
        <f t="shared" si="101"/>
        <v>0</v>
      </c>
      <c r="Q143" s="170">
        <f t="shared" si="102"/>
        <v>0</v>
      </c>
      <c r="R143" s="185">
        <v>0.05</v>
      </c>
      <c r="S143" s="185">
        <v>0.05</v>
      </c>
      <c r="T143" s="185">
        <v>0.05</v>
      </c>
      <c r="U143" s="184">
        <v>0.1</v>
      </c>
      <c r="V143" s="167">
        <f t="shared" si="103"/>
        <v>0</v>
      </c>
      <c r="W143" s="167">
        <f t="shared" si="104"/>
        <v>0</v>
      </c>
      <c r="X143" s="167">
        <f t="shared" si="105"/>
        <v>0</v>
      </c>
      <c r="Y143" s="167">
        <f t="shared" si="106"/>
        <v>0</v>
      </c>
      <c r="Z143" s="183">
        <f t="shared" si="107"/>
        <v>0</v>
      </c>
      <c r="AA143" s="182">
        <v>70</v>
      </c>
      <c r="AB143" s="181"/>
      <c r="AC143" s="180">
        <v>70</v>
      </c>
      <c r="AD143" s="193"/>
    </row>
    <row r="144" spans="1:30" ht="30">
      <c r="A144" s="208" t="s">
        <v>31</v>
      </c>
      <c r="B144" s="191"/>
      <c r="C144" s="190">
        <v>0</v>
      </c>
      <c r="D144" s="207" t="s">
        <v>3</v>
      </c>
      <c r="E144" s="188">
        <v>70</v>
      </c>
      <c r="F144" s="174">
        <f t="shared" si="96"/>
        <v>0</v>
      </c>
      <c r="G144" s="186">
        <v>0.05</v>
      </c>
      <c r="H144" s="186">
        <v>0.02</v>
      </c>
      <c r="I144" s="186">
        <v>0.05</v>
      </c>
      <c r="J144" s="187">
        <v>0.122</v>
      </c>
      <c r="K144" s="186">
        <v>0.1</v>
      </c>
      <c r="L144" s="171">
        <f t="shared" si="97"/>
        <v>0</v>
      </c>
      <c r="M144" s="171">
        <f t="shared" si="98"/>
        <v>0</v>
      </c>
      <c r="N144" s="171">
        <f t="shared" si="99"/>
        <v>0</v>
      </c>
      <c r="O144" s="171">
        <f t="shared" si="100"/>
        <v>0</v>
      </c>
      <c r="P144" s="171">
        <f t="shared" si="101"/>
        <v>0</v>
      </c>
      <c r="Q144" s="170">
        <f t="shared" si="102"/>
        <v>0</v>
      </c>
      <c r="R144" s="185">
        <v>0.05</v>
      </c>
      <c r="S144" s="185">
        <v>0.05</v>
      </c>
      <c r="T144" s="185">
        <v>0.05</v>
      </c>
      <c r="U144" s="184">
        <v>0.1</v>
      </c>
      <c r="V144" s="167">
        <f t="shared" si="103"/>
        <v>0</v>
      </c>
      <c r="W144" s="167">
        <f t="shared" si="104"/>
        <v>0</v>
      </c>
      <c r="X144" s="167">
        <f t="shared" si="105"/>
        <v>0</v>
      </c>
      <c r="Y144" s="167">
        <f t="shared" si="106"/>
        <v>0</v>
      </c>
      <c r="Z144" s="183">
        <f t="shared" si="107"/>
        <v>0</v>
      </c>
      <c r="AA144" s="182">
        <v>70</v>
      </c>
      <c r="AB144" s="181"/>
      <c r="AC144" s="180">
        <v>70</v>
      </c>
      <c r="AD144" s="193"/>
    </row>
    <row r="145" spans="1:30" ht="15.75">
      <c r="A145" s="208" t="s">
        <v>30</v>
      </c>
      <c r="B145" s="191"/>
      <c r="C145" s="190">
        <v>0</v>
      </c>
      <c r="D145" s="207" t="s">
        <v>3</v>
      </c>
      <c r="E145" s="188">
        <v>254</v>
      </c>
      <c r="F145" s="174">
        <f t="shared" si="96"/>
        <v>0</v>
      </c>
      <c r="G145" s="186">
        <v>0.05</v>
      </c>
      <c r="H145" s="186">
        <v>0.02</v>
      </c>
      <c r="I145" s="186">
        <v>0.05</v>
      </c>
      <c r="J145" s="187">
        <v>0.122</v>
      </c>
      <c r="K145" s="186">
        <v>0.1</v>
      </c>
      <c r="L145" s="171">
        <f t="shared" si="97"/>
        <v>0</v>
      </c>
      <c r="M145" s="171">
        <f t="shared" si="98"/>
        <v>0</v>
      </c>
      <c r="N145" s="171">
        <f t="shared" si="99"/>
        <v>0</v>
      </c>
      <c r="O145" s="171">
        <f t="shared" si="100"/>
        <v>0</v>
      </c>
      <c r="P145" s="171">
        <f t="shared" si="101"/>
        <v>0</v>
      </c>
      <c r="Q145" s="170">
        <f t="shared" si="102"/>
        <v>0</v>
      </c>
      <c r="R145" s="185">
        <v>0.05</v>
      </c>
      <c r="S145" s="185">
        <v>0.05</v>
      </c>
      <c r="T145" s="185">
        <v>0.05</v>
      </c>
      <c r="U145" s="184">
        <v>0.1</v>
      </c>
      <c r="V145" s="167">
        <f t="shared" si="103"/>
        <v>0</v>
      </c>
      <c r="W145" s="167">
        <f t="shared" si="104"/>
        <v>0</v>
      </c>
      <c r="X145" s="167">
        <f t="shared" si="105"/>
        <v>0</v>
      </c>
      <c r="Y145" s="167">
        <f t="shared" si="106"/>
        <v>0</v>
      </c>
      <c r="Z145" s="183">
        <f t="shared" si="107"/>
        <v>0</v>
      </c>
      <c r="AA145" s="182">
        <v>70</v>
      </c>
      <c r="AB145" s="181"/>
      <c r="AC145" s="180">
        <v>70</v>
      </c>
      <c r="AD145" s="193"/>
    </row>
    <row r="146" spans="1:30" ht="15.75">
      <c r="A146" s="208" t="s">
        <v>29</v>
      </c>
      <c r="B146" s="191"/>
      <c r="C146" s="190">
        <v>0</v>
      </c>
      <c r="D146" s="207" t="s">
        <v>3</v>
      </c>
      <c r="E146" s="188"/>
      <c r="F146" s="174">
        <f t="shared" si="96"/>
        <v>0</v>
      </c>
      <c r="G146" s="186">
        <v>0.05</v>
      </c>
      <c r="H146" s="186">
        <v>0.02</v>
      </c>
      <c r="I146" s="186">
        <v>0.05</v>
      </c>
      <c r="J146" s="187">
        <v>0.122</v>
      </c>
      <c r="K146" s="186">
        <v>0.1</v>
      </c>
      <c r="L146" s="171">
        <f t="shared" si="97"/>
        <v>0</v>
      </c>
      <c r="M146" s="171">
        <f t="shared" si="98"/>
        <v>0</v>
      </c>
      <c r="N146" s="171">
        <f t="shared" si="99"/>
        <v>0</v>
      </c>
      <c r="O146" s="171">
        <f t="shared" si="100"/>
        <v>0</v>
      </c>
      <c r="P146" s="171">
        <f t="shared" si="101"/>
        <v>0</v>
      </c>
      <c r="Q146" s="170">
        <f t="shared" si="102"/>
        <v>0</v>
      </c>
      <c r="R146" s="185">
        <v>0.05</v>
      </c>
      <c r="S146" s="185">
        <v>0.05</v>
      </c>
      <c r="T146" s="185">
        <v>0.05</v>
      </c>
      <c r="U146" s="184">
        <v>0.1</v>
      </c>
      <c r="V146" s="167">
        <f t="shared" si="103"/>
        <v>0</v>
      </c>
      <c r="W146" s="167">
        <f t="shared" si="104"/>
        <v>0</v>
      </c>
      <c r="X146" s="167">
        <f t="shared" si="105"/>
        <v>0</v>
      </c>
      <c r="Y146" s="167">
        <f t="shared" si="106"/>
        <v>0</v>
      </c>
      <c r="Z146" s="183">
        <f t="shared" si="107"/>
        <v>0</v>
      </c>
      <c r="AA146" s="182">
        <v>70</v>
      </c>
      <c r="AB146" s="181"/>
      <c r="AC146" s="180">
        <v>70</v>
      </c>
      <c r="AD146" s="193"/>
    </row>
    <row r="147" spans="1:30" ht="15.75">
      <c r="A147" s="208" t="s">
        <v>28</v>
      </c>
      <c r="B147" s="191"/>
      <c r="C147" s="190">
        <v>0</v>
      </c>
      <c r="D147" s="207" t="s">
        <v>3</v>
      </c>
      <c r="E147" s="188"/>
      <c r="F147" s="174">
        <f t="shared" si="96"/>
        <v>0</v>
      </c>
      <c r="G147" s="186">
        <v>0.05</v>
      </c>
      <c r="H147" s="186">
        <v>0.02</v>
      </c>
      <c r="I147" s="186">
        <v>0.05</v>
      </c>
      <c r="J147" s="187">
        <v>0.122</v>
      </c>
      <c r="K147" s="186">
        <v>0.1</v>
      </c>
      <c r="L147" s="171">
        <f t="shared" si="97"/>
        <v>0</v>
      </c>
      <c r="M147" s="171">
        <f t="shared" si="98"/>
        <v>0</v>
      </c>
      <c r="N147" s="171">
        <f t="shared" si="99"/>
        <v>0</v>
      </c>
      <c r="O147" s="171">
        <f t="shared" si="100"/>
        <v>0</v>
      </c>
      <c r="P147" s="171">
        <f t="shared" si="101"/>
        <v>0</v>
      </c>
      <c r="Q147" s="170">
        <f t="shared" si="102"/>
        <v>0</v>
      </c>
      <c r="R147" s="185">
        <v>0.05</v>
      </c>
      <c r="S147" s="185">
        <v>0.05</v>
      </c>
      <c r="T147" s="185">
        <v>0.05</v>
      </c>
      <c r="U147" s="184">
        <v>0.1</v>
      </c>
      <c r="V147" s="167">
        <f t="shared" si="103"/>
        <v>0</v>
      </c>
      <c r="W147" s="167">
        <f t="shared" si="104"/>
        <v>0</v>
      </c>
      <c r="X147" s="167">
        <f t="shared" si="105"/>
        <v>0</v>
      </c>
      <c r="Y147" s="167">
        <f t="shared" si="106"/>
        <v>0</v>
      </c>
      <c r="Z147" s="183">
        <f t="shared" si="107"/>
        <v>0</v>
      </c>
      <c r="AA147" s="182">
        <v>70</v>
      </c>
      <c r="AB147" s="181"/>
      <c r="AC147" s="180">
        <v>70</v>
      </c>
      <c r="AD147" s="193"/>
    </row>
    <row r="148" spans="1:30" ht="15.75">
      <c r="A148" s="208" t="s">
        <v>27</v>
      </c>
      <c r="B148" s="191"/>
      <c r="C148" s="190">
        <v>0</v>
      </c>
      <c r="D148" s="207" t="s">
        <v>3</v>
      </c>
      <c r="E148" s="188"/>
      <c r="F148" s="174">
        <f t="shared" si="96"/>
        <v>0</v>
      </c>
      <c r="G148" s="186">
        <v>0.05</v>
      </c>
      <c r="H148" s="186">
        <v>0.02</v>
      </c>
      <c r="I148" s="186">
        <v>0.05</v>
      </c>
      <c r="J148" s="187">
        <v>0.122</v>
      </c>
      <c r="K148" s="186">
        <v>0.1</v>
      </c>
      <c r="L148" s="171">
        <f t="shared" si="97"/>
        <v>0</v>
      </c>
      <c r="M148" s="171">
        <f t="shared" si="98"/>
        <v>0</v>
      </c>
      <c r="N148" s="171">
        <f t="shared" si="99"/>
        <v>0</v>
      </c>
      <c r="O148" s="171">
        <f t="shared" si="100"/>
        <v>0</v>
      </c>
      <c r="P148" s="171">
        <f t="shared" si="101"/>
        <v>0</v>
      </c>
      <c r="Q148" s="170">
        <f t="shared" si="102"/>
        <v>0</v>
      </c>
      <c r="R148" s="185">
        <v>0.05</v>
      </c>
      <c r="S148" s="185">
        <v>0.05</v>
      </c>
      <c r="T148" s="185">
        <v>0.05</v>
      </c>
      <c r="U148" s="184">
        <v>0.1</v>
      </c>
      <c r="V148" s="167">
        <f t="shared" si="103"/>
        <v>0</v>
      </c>
      <c r="W148" s="167">
        <f t="shared" si="104"/>
        <v>0</v>
      </c>
      <c r="X148" s="167">
        <f t="shared" si="105"/>
        <v>0</v>
      </c>
      <c r="Y148" s="167">
        <f t="shared" si="106"/>
        <v>0</v>
      </c>
      <c r="Z148" s="183">
        <f t="shared" si="107"/>
        <v>0</v>
      </c>
      <c r="AA148" s="182">
        <v>70</v>
      </c>
      <c r="AB148" s="181"/>
      <c r="AC148" s="180">
        <v>70</v>
      </c>
      <c r="AD148" s="193"/>
    </row>
    <row r="149" spans="1:30" ht="15.75">
      <c r="A149" s="208" t="s">
        <v>26</v>
      </c>
      <c r="B149" s="191"/>
      <c r="C149" s="190">
        <v>0</v>
      </c>
      <c r="D149" s="207" t="s">
        <v>3</v>
      </c>
      <c r="E149" s="188"/>
      <c r="F149" s="174">
        <f t="shared" si="96"/>
        <v>0</v>
      </c>
      <c r="G149" s="186">
        <v>0.05</v>
      </c>
      <c r="H149" s="186">
        <v>0.02</v>
      </c>
      <c r="I149" s="186">
        <v>0.05</v>
      </c>
      <c r="J149" s="187">
        <v>0.122</v>
      </c>
      <c r="K149" s="186">
        <v>0.1</v>
      </c>
      <c r="L149" s="171">
        <f t="shared" si="97"/>
        <v>0</v>
      </c>
      <c r="M149" s="171">
        <f t="shared" si="98"/>
        <v>0</v>
      </c>
      <c r="N149" s="171">
        <f t="shared" si="99"/>
        <v>0</v>
      </c>
      <c r="O149" s="171">
        <f t="shared" si="100"/>
        <v>0</v>
      </c>
      <c r="P149" s="171">
        <f t="shared" si="101"/>
        <v>0</v>
      </c>
      <c r="Q149" s="170">
        <f t="shared" si="102"/>
        <v>0</v>
      </c>
      <c r="R149" s="185">
        <v>0.05</v>
      </c>
      <c r="S149" s="185">
        <v>0.05</v>
      </c>
      <c r="T149" s="185">
        <v>0.05</v>
      </c>
      <c r="U149" s="184">
        <v>0.1</v>
      </c>
      <c r="V149" s="167">
        <f t="shared" si="103"/>
        <v>0</v>
      </c>
      <c r="W149" s="167">
        <f t="shared" si="104"/>
        <v>0</v>
      </c>
      <c r="X149" s="167">
        <f t="shared" si="105"/>
        <v>0</v>
      </c>
      <c r="Y149" s="167">
        <f t="shared" si="106"/>
        <v>0</v>
      </c>
      <c r="Z149" s="183">
        <f t="shared" si="107"/>
        <v>0</v>
      </c>
      <c r="AA149" s="182">
        <v>70</v>
      </c>
      <c r="AB149" s="181"/>
      <c r="AC149" s="180">
        <v>70</v>
      </c>
      <c r="AD149" s="193"/>
    </row>
    <row r="150" spans="1:30" ht="15.75">
      <c r="A150" s="208" t="s">
        <v>25</v>
      </c>
      <c r="B150" s="191"/>
      <c r="C150" s="190">
        <v>0</v>
      </c>
      <c r="D150" s="207" t="s">
        <v>3</v>
      </c>
      <c r="E150" s="188"/>
      <c r="F150" s="174">
        <f t="shared" si="96"/>
        <v>0</v>
      </c>
      <c r="G150" s="186">
        <v>0.05</v>
      </c>
      <c r="H150" s="186">
        <v>0.02</v>
      </c>
      <c r="I150" s="186">
        <v>0.05</v>
      </c>
      <c r="J150" s="187">
        <v>0.122</v>
      </c>
      <c r="K150" s="186">
        <v>0.1</v>
      </c>
      <c r="L150" s="171">
        <f t="shared" si="97"/>
        <v>0</v>
      </c>
      <c r="M150" s="171">
        <f t="shared" si="98"/>
        <v>0</v>
      </c>
      <c r="N150" s="171">
        <f t="shared" si="99"/>
        <v>0</v>
      </c>
      <c r="O150" s="171">
        <f t="shared" si="100"/>
        <v>0</v>
      </c>
      <c r="P150" s="171">
        <f t="shared" si="101"/>
        <v>0</v>
      </c>
      <c r="Q150" s="170">
        <f t="shared" si="102"/>
        <v>0</v>
      </c>
      <c r="R150" s="185">
        <v>0.05</v>
      </c>
      <c r="S150" s="185">
        <v>0.05</v>
      </c>
      <c r="T150" s="185">
        <v>0.05</v>
      </c>
      <c r="U150" s="184">
        <v>0.1</v>
      </c>
      <c r="V150" s="167">
        <f t="shared" si="103"/>
        <v>0</v>
      </c>
      <c r="W150" s="167">
        <f t="shared" si="104"/>
        <v>0</v>
      </c>
      <c r="X150" s="167">
        <f t="shared" si="105"/>
        <v>0</v>
      </c>
      <c r="Y150" s="167">
        <f t="shared" si="106"/>
        <v>0</v>
      </c>
      <c r="Z150" s="183">
        <f t="shared" si="107"/>
        <v>0</v>
      </c>
      <c r="AA150" s="182">
        <v>70</v>
      </c>
      <c r="AB150" s="181"/>
      <c r="AC150" s="180">
        <v>70</v>
      </c>
      <c r="AD150" s="193"/>
    </row>
    <row r="151" spans="1:30" ht="15.75">
      <c r="A151" s="208" t="s">
        <v>24</v>
      </c>
      <c r="B151" s="191"/>
      <c r="C151" s="190">
        <v>0</v>
      </c>
      <c r="D151" s="207" t="s">
        <v>3</v>
      </c>
      <c r="E151" s="188"/>
      <c r="F151" s="174">
        <f t="shared" si="96"/>
        <v>0</v>
      </c>
      <c r="G151" s="186">
        <v>0.05</v>
      </c>
      <c r="H151" s="186">
        <v>0.02</v>
      </c>
      <c r="I151" s="186">
        <v>0.05</v>
      </c>
      <c r="J151" s="187">
        <v>0.122</v>
      </c>
      <c r="K151" s="186">
        <v>0.1</v>
      </c>
      <c r="L151" s="171">
        <f t="shared" si="97"/>
        <v>0</v>
      </c>
      <c r="M151" s="171">
        <f t="shared" si="98"/>
        <v>0</v>
      </c>
      <c r="N151" s="171">
        <f t="shared" si="99"/>
        <v>0</v>
      </c>
      <c r="O151" s="171">
        <f t="shared" si="100"/>
        <v>0</v>
      </c>
      <c r="P151" s="171">
        <f t="shared" si="101"/>
        <v>0</v>
      </c>
      <c r="Q151" s="170">
        <f t="shared" si="102"/>
        <v>0</v>
      </c>
      <c r="R151" s="185">
        <v>0.05</v>
      </c>
      <c r="S151" s="185">
        <v>0.05</v>
      </c>
      <c r="T151" s="185">
        <v>0.05</v>
      </c>
      <c r="U151" s="184">
        <v>0.1</v>
      </c>
      <c r="V151" s="167">
        <f t="shared" si="103"/>
        <v>0</v>
      </c>
      <c r="W151" s="167">
        <f t="shared" si="104"/>
        <v>0</v>
      </c>
      <c r="X151" s="167">
        <f t="shared" si="105"/>
        <v>0</v>
      </c>
      <c r="Y151" s="167">
        <f t="shared" si="106"/>
        <v>0</v>
      </c>
      <c r="Z151" s="183">
        <f t="shared" si="107"/>
        <v>0</v>
      </c>
      <c r="AA151" s="182">
        <v>70</v>
      </c>
      <c r="AB151" s="181"/>
      <c r="AC151" s="180">
        <v>70</v>
      </c>
      <c r="AD151" s="193"/>
    </row>
    <row r="152" spans="1:30" ht="15.75">
      <c r="A152" s="208" t="s">
        <v>23</v>
      </c>
      <c r="B152" s="191"/>
      <c r="C152" s="190">
        <v>0</v>
      </c>
      <c r="D152" s="207" t="s">
        <v>3</v>
      </c>
      <c r="E152" s="188"/>
      <c r="F152" s="174">
        <f t="shared" si="96"/>
        <v>0</v>
      </c>
      <c r="G152" s="186">
        <v>0.05</v>
      </c>
      <c r="H152" s="186">
        <v>0.02</v>
      </c>
      <c r="I152" s="186">
        <v>0.05</v>
      </c>
      <c r="J152" s="187">
        <v>0.122</v>
      </c>
      <c r="K152" s="186">
        <v>0.1</v>
      </c>
      <c r="L152" s="171">
        <f t="shared" si="97"/>
        <v>0</v>
      </c>
      <c r="M152" s="171">
        <f t="shared" si="98"/>
        <v>0</v>
      </c>
      <c r="N152" s="171">
        <f t="shared" si="99"/>
        <v>0</v>
      </c>
      <c r="O152" s="171">
        <f t="shared" si="100"/>
        <v>0</v>
      </c>
      <c r="P152" s="171">
        <f t="shared" si="101"/>
        <v>0</v>
      </c>
      <c r="Q152" s="170">
        <f t="shared" si="102"/>
        <v>0</v>
      </c>
      <c r="R152" s="185">
        <v>0.05</v>
      </c>
      <c r="S152" s="185">
        <v>0.05</v>
      </c>
      <c r="T152" s="185">
        <v>0.05</v>
      </c>
      <c r="U152" s="184">
        <v>0.1</v>
      </c>
      <c r="V152" s="167">
        <f t="shared" si="103"/>
        <v>0</v>
      </c>
      <c r="W152" s="167">
        <f t="shared" si="104"/>
        <v>0</v>
      </c>
      <c r="X152" s="167">
        <f t="shared" si="105"/>
        <v>0</v>
      </c>
      <c r="Y152" s="167">
        <f t="shared" si="106"/>
        <v>0</v>
      </c>
      <c r="Z152" s="183">
        <f t="shared" si="107"/>
        <v>0</v>
      </c>
      <c r="AA152" s="182">
        <v>70</v>
      </c>
      <c r="AB152" s="181"/>
      <c r="AC152" s="180">
        <v>70</v>
      </c>
      <c r="AD152" s="193"/>
    </row>
    <row r="153" spans="1:30" ht="18">
      <c r="A153" s="206" t="s">
        <v>22</v>
      </c>
      <c r="B153" s="205"/>
      <c r="C153" s="204"/>
      <c r="D153" s="210"/>
      <c r="E153" s="209"/>
      <c r="F153" s="200"/>
      <c r="G153" s="200"/>
      <c r="H153" s="200"/>
      <c r="I153" s="200"/>
      <c r="J153" s="201"/>
      <c r="K153" s="200"/>
      <c r="L153" s="200"/>
      <c r="M153" s="200"/>
      <c r="N153" s="200"/>
      <c r="O153" s="200"/>
      <c r="P153" s="200"/>
      <c r="Q153" s="200"/>
      <c r="R153" s="199"/>
      <c r="S153" s="199"/>
      <c r="T153" s="199"/>
      <c r="U153" s="197"/>
      <c r="V153" s="197"/>
      <c r="W153" s="197"/>
      <c r="X153" s="197"/>
      <c r="Y153" s="197"/>
      <c r="Z153" s="198"/>
      <c r="AA153" s="197"/>
      <c r="AB153" s="197"/>
      <c r="AC153" s="195"/>
      <c r="AD153" s="194"/>
    </row>
    <row r="154" spans="1:30" ht="30">
      <c r="A154" s="208" t="s">
        <v>21</v>
      </c>
      <c r="B154" s="191"/>
      <c r="C154" s="190">
        <v>0</v>
      </c>
      <c r="D154" s="207" t="s">
        <v>3</v>
      </c>
      <c r="E154" s="188">
        <v>65</v>
      </c>
      <c r="F154" s="174">
        <f t="shared" ref="F154:F163" si="108">E154*C154</f>
        <v>0</v>
      </c>
      <c r="G154" s="186">
        <v>0.05</v>
      </c>
      <c r="H154" s="186">
        <v>0.02</v>
      </c>
      <c r="I154" s="186">
        <v>0.05</v>
      </c>
      <c r="J154" s="187">
        <v>0.122</v>
      </c>
      <c r="K154" s="186">
        <v>0.1</v>
      </c>
      <c r="L154" s="171">
        <f t="shared" ref="L154:L163" si="109">F154*G154</f>
        <v>0</v>
      </c>
      <c r="M154" s="171">
        <f t="shared" ref="M154:M163" si="110">(F154+L154)*H154</f>
        <v>0</v>
      </c>
      <c r="N154" s="171">
        <f t="shared" ref="N154:N163" si="111">(F154+L154+M154)*I154</f>
        <v>0</v>
      </c>
      <c r="O154" s="171">
        <f t="shared" ref="O154:O163" si="112">(F154+L154+M154+N154)*J154</f>
        <v>0</v>
      </c>
      <c r="P154" s="171">
        <f t="shared" ref="P154:P163" si="113">(F154+L154+M154+N154+O154)*K154</f>
        <v>0</v>
      </c>
      <c r="Q154" s="170">
        <f t="shared" ref="Q154:Q163" si="114">F154+SUM(L154:P154)</f>
        <v>0</v>
      </c>
      <c r="R154" s="185">
        <v>0.05</v>
      </c>
      <c r="S154" s="185">
        <v>0.05</v>
      </c>
      <c r="T154" s="185">
        <v>0.05</v>
      </c>
      <c r="U154" s="184">
        <v>0.1</v>
      </c>
      <c r="V154" s="167">
        <f t="shared" ref="V154:V163" si="115">Q154*R154</f>
        <v>0</v>
      </c>
      <c r="W154" s="167">
        <f t="shared" ref="W154:W163" si="116">Q154*S154</f>
        <v>0</v>
      </c>
      <c r="X154" s="167">
        <f t="shared" ref="X154:X163" si="117">Q154*T154</f>
        <v>0</v>
      </c>
      <c r="Y154" s="167">
        <f t="shared" ref="Y154:Y163" si="118">U154*(V154+W154)</f>
        <v>0</v>
      </c>
      <c r="Z154" s="183">
        <f t="shared" ref="Z154:Z163" si="119">Q154+SUM(V154:Y154)</f>
        <v>0</v>
      </c>
      <c r="AA154" s="182">
        <v>70</v>
      </c>
      <c r="AB154" s="181"/>
      <c r="AC154" s="180">
        <v>70</v>
      </c>
      <c r="AD154" s="193"/>
    </row>
    <row r="155" spans="1:30" ht="30">
      <c r="A155" s="208" t="s">
        <v>20</v>
      </c>
      <c r="B155" s="191"/>
      <c r="C155" s="190">
        <v>0</v>
      </c>
      <c r="D155" s="207" t="s">
        <v>3</v>
      </c>
      <c r="E155" s="188">
        <v>70</v>
      </c>
      <c r="F155" s="174">
        <f t="shared" si="108"/>
        <v>0</v>
      </c>
      <c r="G155" s="186">
        <v>0.05</v>
      </c>
      <c r="H155" s="186">
        <v>0.02</v>
      </c>
      <c r="I155" s="186">
        <v>0.05</v>
      </c>
      <c r="J155" s="187">
        <v>0.122</v>
      </c>
      <c r="K155" s="186">
        <v>0.1</v>
      </c>
      <c r="L155" s="171">
        <f t="shared" si="109"/>
        <v>0</v>
      </c>
      <c r="M155" s="171">
        <f t="shared" si="110"/>
        <v>0</v>
      </c>
      <c r="N155" s="171">
        <f t="shared" si="111"/>
        <v>0</v>
      </c>
      <c r="O155" s="171">
        <f t="shared" si="112"/>
        <v>0</v>
      </c>
      <c r="P155" s="171">
        <f t="shared" si="113"/>
        <v>0</v>
      </c>
      <c r="Q155" s="170">
        <f t="shared" si="114"/>
        <v>0</v>
      </c>
      <c r="R155" s="185">
        <v>0.05</v>
      </c>
      <c r="S155" s="185">
        <v>0.05</v>
      </c>
      <c r="T155" s="185">
        <v>0.05</v>
      </c>
      <c r="U155" s="184">
        <v>0.1</v>
      </c>
      <c r="V155" s="167">
        <f t="shared" si="115"/>
        <v>0</v>
      </c>
      <c r="W155" s="167">
        <f t="shared" si="116"/>
        <v>0</v>
      </c>
      <c r="X155" s="167">
        <f t="shared" si="117"/>
        <v>0</v>
      </c>
      <c r="Y155" s="167">
        <f t="shared" si="118"/>
        <v>0</v>
      </c>
      <c r="Z155" s="183">
        <f t="shared" si="119"/>
        <v>0</v>
      </c>
      <c r="AA155" s="182">
        <v>70</v>
      </c>
      <c r="AB155" s="181"/>
      <c r="AC155" s="180">
        <v>70</v>
      </c>
      <c r="AD155" s="193"/>
    </row>
    <row r="156" spans="1:30" ht="15.75">
      <c r="A156" s="208" t="s">
        <v>19</v>
      </c>
      <c r="B156" s="191"/>
      <c r="C156" s="190">
        <v>0</v>
      </c>
      <c r="D156" s="207" t="s">
        <v>3</v>
      </c>
      <c r="E156" s="188"/>
      <c r="F156" s="174">
        <f t="shared" si="108"/>
        <v>0</v>
      </c>
      <c r="G156" s="186">
        <v>0.05</v>
      </c>
      <c r="H156" s="186">
        <v>0.02</v>
      </c>
      <c r="I156" s="186">
        <v>0.05</v>
      </c>
      <c r="J156" s="187">
        <v>0.122</v>
      </c>
      <c r="K156" s="186">
        <v>0.1</v>
      </c>
      <c r="L156" s="171">
        <f t="shared" si="109"/>
        <v>0</v>
      </c>
      <c r="M156" s="171">
        <f t="shared" si="110"/>
        <v>0</v>
      </c>
      <c r="N156" s="171">
        <f t="shared" si="111"/>
        <v>0</v>
      </c>
      <c r="O156" s="171">
        <f t="shared" si="112"/>
        <v>0</v>
      </c>
      <c r="P156" s="171">
        <f t="shared" si="113"/>
        <v>0</v>
      </c>
      <c r="Q156" s="170">
        <f t="shared" si="114"/>
        <v>0</v>
      </c>
      <c r="R156" s="185">
        <v>0.05</v>
      </c>
      <c r="S156" s="185">
        <v>0.05</v>
      </c>
      <c r="T156" s="185">
        <v>0.05</v>
      </c>
      <c r="U156" s="184">
        <v>0.1</v>
      </c>
      <c r="V156" s="167">
        <f t="shared" si="115"/>
        <v>0</v>
      </c>
      <c r="W156" s="167">
        <f t="shared" si="116"/>
        <v>0</v>
      </c>
      <c r="X156" s="167">
        <f t="shared" si="117"/>
        <v>0</v>
      </c>
      <c r="Y156" s="167">
        <f t="shared" si="118"/>
        <v>0</v>
      </c>
      <c r="Z156" s="183">
        <f t="shared" si="119"/>
        <v>0</v>
      </c>
      <c r="AA156" s="182">
        <v>70</v>
      </c>
      <c r="AB156" s="181"/>
      <c r="AC156" s="180">
        <v>70</v>
      </c>
      <c r="AD156" s="193"/>
    </row>
    <row r="157" spans="1:30" ht="15.75">
      <c r="A157" s="208" t="s">
        <v>18</v>
      </c>
      <c r="B157" s="191"/>
      <c r="C157" s="190">
        <v>0</v>
      </c>
      <c r="D157" s="207" t="s">
        <v>3</v>
      </c>
      <c r="E157" s="188"/>
      <c r="F157" s="174">
        <f t="shared" si="108"/>
        <v>0</v>
      </c>
      <c r="G157" s="186">
        <v>0.05</v>
      </c>
      <c r="H157" s="186">
        <v>0.02</v>
      </c>
      <c r="I157" s="186">
        <v>0.05</v>
      </c>
      <c r="J157" s="187">
        <v>0.122</v>
      </c>
      <c r="K157" s="186">
        <v>0.1</v>
      </c>
      <c r="L157" s="171">
        <f t="shared" si="109"/>
        <v>0</v>
      </c>
      <c r="M157" s="171">
        <f t="shared" si="110"/>
        <v>0</v>
      </c>
      <c r="N157" s="171">
        <f t="shared" si="111"/>
        <v>0</v>
      </c>
      <c r="O157" s="171">
        <f t="shared" si="112"/>
        <v>0</v>
      </c>
      <c r="P157" s="171">
        <f t="shared" si="113"/>
        <v>0</v>
      </c>
      <c r="Q157" s="170">
        <f t="shared" si="114"/>
        <v>0</v>
      </c>
      <c r="R157" s="185">
        <v>0.05</v>
      </c>
      <c r="S157" s="185">
        <v>0.05</v>
      </c>
      <c r="T157" s="185">
        <v>0.05</v>
      </c>
      <c r="U157" s="184">
        <v>0.1</v>
      </c>
      <c r="V157" s="167">
        <f t="shared" si="115"/>
        <v>0</v>
      </c>
      <c r="W157" s="167">
        <f t="shared" si="116"/>
        <v>0</v>
      </c>
      <c r="X157" s="167">
        <f t="shared" si="117"/>
        <v>0</v>
      </c>
      <c r="Y157" s="167">
        <f t="shared" si="118"/>
        <v>0</v>
      </c>
      <c r="Z157" s="183">
        <f t="shared" si="119"/>
        <v>0</v>
      </c>
      <c r="AA157" s="182">
        <v>70</v>
      </c>
      <c r="AB157" s="181"/>
      <c r="AC157" s="180">
        <v>70</v>
      </c>
      <c r="AD157" s="193"/>
    </row>
    <row r="158" spans="1:30" ht="15.75">
      <c r="A158" s="208" t="s">
        <v>17</v>
      </c>
      <c r="B158" s="191"/>
      <c r="C158" s="190">
        <v>0</v>
      </c>
      <c r="D158" s="207" t="s">
        <v>3</v>
      </c>
      <c r="E158" s="188"/>
      <c r="F158" s="174">
        <f t="shared" si="108"/>
        <v>0</v>
      </c>
      <c r="G158" s="186">
        <v>0.05</v>
      </c>
      <c r="H158" s="186">
        <v>0.02</v>
      </c>
      <c r="I158" s="186">
        <v>0.05</v>
      </c>
      <c r="J158" s="187">
        <v>0.122</v>
      </c>
      <c r="K158" s="186">
        <v>0.1</v>
      </c>
      <c r="L158" s="171">
        <f t="shared" si="109"/>
        <v>0</v>
      </c>
      <c r="M158" s="171">
        <f t="shared" si="110"/>
        <v>0</v>
      </c>
      <c r="N158" s="171">
        <f t="shared" si="111"/>
        <v>0</v>
      </c>
      <c r="O158" s="171">
        <f t="shared" si="112"/>
        <v>0</v>
      </c>
      <c r="P158" s="171">
        <f t="shared" si="113"/>
        <v>0</v>
      </c>
      <c r="Q158" s="170">
        <f t="shared" si="114"/>
        <v>0</v>
      </c>
      <c r="R158" s="185">
        <v>0.05</v>
      </c>
      <c r="S158" s="185">
        <v>0.05</v>
      </c>
      <c r="T158" s="185">
        <v>0.05</v>
      </c>
      <c r="U158" s="184">
        <v>0.1</v>
      </c>
      <c r="V158" s="167">
        <f t="shared" si="115"/>
        <v>0</v>
      </c>
      <c r="W158" s="167">
        <f t="shared" si="116"/>
        <v>0</v>
      </c>
      <c r="X158" s="167">
        <f t="shared" si="117"/>
        <v>0</v>
      </c>
      <c r="Y158" s="167">
        <f t="shared" si="118"/>
        <v>0</v>
      </c>
      <c r="Z158" s="183">
        <f t="shared" si="119"/>
        <v>0</v>
      </c>
      <c r="AA158" s="182">
        <v>70</v>
      </c>
      <c r="AB158" s="181"/>
      <c r="AC158" s="180">
        <v>70</v>
      </c>
      <c r="AD158" s="193"/>
    </row>
    <row r="159" spans="1:30" ht="15.75">
      <c r="A159" s="208" t="s">
        <v>16</v>
      </c>
      <c r="B159" s="191"/>
      <c r="C159" s="190">
        <v>0</v>
      </c>
      <c r="D159" s="207" t="s">
        <v>3</v>
      </c>
      <c r="E159" s="188"/>
      <c r="F159" s="174">
        <f t="shared" si="108"/>
        <v>0</v>
      </c>
      <c r="G159" s="186">
        <v>0.05</v>
      </c>
      <c r="H159" s="186">
        <v>0.02</v>
      </c>
      <c r="I159" s="186">
        <v>0.05</v>
      </c>
      <c r="J159" s="187">
        <v>0.122</v>
      </c>
      <c r="K159" s="186">
        <v>0.1</v>
      </c>
      <c r="L159" s="171">
        <f t="shared" si="109"/>
        <v>0</v>
      </c>
      <c r="M159" s="171">
        <f t="shared" si="110"/>
        <v>0</v>
      </c>
      <c r="N159" s="171">
        <f t="shared" si="111"/>
        <v>0</v>
      </c>
      <c r="O159" s="171">
        <f t="shared" si="112"/>
        <v>0</v>
      </c>
      <c r="P159" s="171">
        <f t="shared" si="113"/>
        <v>0</v>
      </c>
      <c r="Q159" s="170">
        <f t="shared" si="114"/>
        <v>0</v>
      </c>
      <c r="R159" s="185">
        <v>0.05</v>
      </c>
      <c r="S159" s="185">
        <v>0.05</v>
      </c>
      <c r="T159" s="185">
        <v>0.05</v>
      </c>
      <c r="U159" s="184">
        <v>0.1</v>
      </c>
      <c r="V159" s="167">
        <f t="shared" si="115"/>
        <v>0</v>
      </c>
      <c r="W159" s="167">
        <f t="shared" si="116"/>
        <v>0</v>
      </c>
      <c r="X159" s="167">
        <f t="shared" si="117"/>
        <v>0</v>
      </c>
      <c r="Y159" s="167">
        <f t="shared" si="118"/>
        <v>0</v>
      </c>
      <c r="Z159" s="183">
        <f t="shared" si="119"/>
        <v>0</v>
      </c>
      <c r="AA159" s="182">
        <v>70</v>
      </c>
      <c r="AB159" s="181"/>
      <c r="AC159" s="180">
        <v>70</v>
      </c>
      <c r="AD159" s="193"/>
    </row>
    <row r="160" spans="1:30" ht="15.75">
      <c r="A160" s="208" t="s">
        <v>15</v>
      </c>
      <c r="B160" s="191"/>
      <c r="C160" s="190">
        <v>0</v>
      </c>
      <c r="D160" s="207" t="s">
        <v>3</v>
      </c>
      <c r="E160" s="188"/>
      <c r="F160" s="174">
        <f t="shared" si="108"/>
        <v>0</v>
      </c>
      <c r="G160" s="186">
        <v>0.05</v>
      </c>
      <c r="H160" s="186">
        <v>0.02</v>
      </c>
      <c r="I160" s="186">
        <v>0.05</v>
      </c>
      <c r="J160" s="187">
        <v>0.122</v>
      </c>
      <c r="K160" s="186">
        <v>0.1</v>
      </c>
      <c r="L160" s="171">
        <f t="shared" si="109"/>
        <v>0</v>
      </c>
      <c r="M160" s="171">
        <f t="shared" si="110"/>
        <v>0</v>
      </c>
      <c r="N160" s="171">
        <f t="shared" si="111"/>
        <v>0</v>
      </c>
      <c r="O160" s="171">
        <f t="shared" si="112"/>
        <v>0</v>
      </c>
      <c r="P160" s="171">
        <f t="shared" si="113"/>
        <v>0</v>
      </c>
      <c r="Q160" s="170">
        <f t="shared" si="114"/>
        <v>0</v>
      </c>
      <c r="R160" s="185">
        <v>0.05</v>
      </c>
      <c r="S160" s="185">
        <v>0.05</v>
      </c>
      <c r="T160" s="185">
        <v>0.05</v>
      </c>
      <c r="U160" s="184">
        <v>0.1</v>
      </c>
      <c r="V160" s="167">
        <f t="shared" si="115"/>
        <v>0</v>
      </c>
      <c r="W160" s="167">
        <f t="shared" si="116"/>
        <v>0</v>
      </c>
      <c r="X160" s="167">
        <f t="shared" si="117"/>
        <v>0</v>
      </c>
      <c r="Y160" s="167">
        <f t="shared" si="118"/>
        <v>0</v>
      </c>
      <c r="Z160" s="183">
        <f t="shared" si="119"/>
        <v>0</v>
      </c>
      <c r="AA160" s="182">
        <v>70</v>
      </c>
      <c r="AB160" s="181"/>
      <c r="AC160" s="180">
        <v>70</v>
      </c>
      <c r="AD160" s="193"/>
    </row>
    <row r="161" spans="1:30" ht="15.75">
      <c r="A161" s="208" t="s">
        <v>14</v>
      </c>
      <c r="B161" s="191"/>
      <c r="C161" s="190">
        <v>0</v>
      </c>
      <c r="D161" s="207" t="s">
        <v>3</v>
      </c>
      <c r="E161" s="188"/>
      <c r="F161" s="174">
        <f t="shared" si="108"/>
        <v>0</v>
      </c>
      <c r="G161" s="186">
        <v>0.05</v>
      </c>
      <c r="H161" s="186">
        <v>0.02</v>
      </c>
      <c r="I161" s="186">
        <v>0.05</v>
      </c>
      <c r="J161" s="187">
        <v>0.122</v>
      </c>
      <c r="K161" s="186">
        <v>0.1</v>
      </c>
      <c r="L161" s="171">
        <f t="shared" si="109"/>
        <v>0</v>
      </c>
      <c r="M161" s="171">
        <f t="shared" si="110"/>
        <v>0</v>
      </c>
      <c r="N161" s="171">
        <f t="shared" si="111"/>
        <v>0</v>
      </c>
      <c r="O161" s="171">
        <f t="shared" si="112"/>
        <v>0</v>
      </c>
      <c r="P161" s="171">
        <f t="shared" si="113"/>
        <v>0</v>
      </c>
      <c r="Q161" s="170">
        <f t="shared" si="114"/>
        <v>0</v>
      </c>
      <c r="R161" s="185">
        <v>0.05</v>
      </c>
      <c r="S161" s="185">
        <v>0.05</v>
      </c>
      <c r="T161" s="185">
        <v>0.05</v>
      </c>
      <c r="U161" s="184">
        <v>0.1</v>
      </c>
      <c r="V161" s="167">
        <f t="shared" si="115"/>
        <v>0</v>
      </c>
      <c r="W161" s="167">
        <f t="shared" si="116"/>
        <v>0</v>
      </c>
      <c r="X161" s="167">
        <f t="shared" si="117"/>
        <v>0</v>
      </c>
      <c r="Y161" s="167">
        <f t="shared" si="118"/>
        <v>0</v>
      </c>
      <c r="Z161" s="183">
        <f t="shared" si="119"/>
        <v>0</v>
      </c>
      <c r="AA161" s="182">
        <v>70</v>
      </c>
      <c r="AB161" s="181"/>
      <c r="AC161" s="180">
        <v>70</v>
      </c>
      <c r="AD161" s="193"/>
    </row>
    <row r="162" spans="1:30" ht="15.75">
      <c r="A162" s="208" t="s">
        <v>13</v>
      </c>
      <c r="B162" s="191"/>
      <c r="C162" s="190">
        <v>0</v>
      </c>
      <c r="D162" s="207" t="s">
        <v>3</v>
      </c>
      <c r="E162" s="188"/>
      <c r="F162" s="174">
        <f t="shared" si="108"/>
        <v>0</v>
      </c>
      <c r="G162" s="186">
        <v>0.05</v>
      </c>
      <c r="H162" s="186">
        <v>0.02</v>
      </c>
      <c r="I162" s="186">
        <v>0.05</v>
      </c>
      <c r="J162" s="187">
        <v>0.122</v>
      </c>
      <c r="K162" s="186">
        <v>0.1</v>
      </c>
      <c r="L162" s="171">
        <f t="shared" si="109"/>
        <v>0</v>
      </c>
      <c r="M162" s="171">
        <f t="shared" si="110"/>
        <v>0</v>
      </c>
      <c r="N162" s="171">
        <f t="shared" si="111"/>
        <v>0</v>
      </c>
      <c r="O162" s="171">
        <f t="shared" si="112"/>
        <v>0</v>
      </c>
      <c r="P162" s="171">
        <f t="shared" si="113"/>
        <v>0</v>
      </c>
      <c r="Q162" s="170">
        <f t="shared" si="114"/>
        <v>0</v>
      </c>
      <c r="R162" s="185">
        <v>0.05</v>
      </c>
      <c r="S162" s="185">
        <v>0.05</v>
      </c>
      <c r="T162" s="185">
        <v>0.05</v>
      </c>
      <c r="U162" s="184">
        <v>0.1</v>
      </c>
      <c r="V162" s="167">
        <f t="shared" si="115"/>
        <v>0</v>
      </c>
      <c r="W162" s="167">
        <f t="shared" si="116"/>
        <v>0</v>
      </c>
      <c r="X162" s="167">
        <f t="shared" si="117"/>
        <v>0</v>
      </c>
      <c r="Y162" s="167">
        <f t="shared" si="118"/>
        <v>0</v>
      </c>
      <c r="Z162" s="183">
        <f t="shared" si="119"/>
        <v>0</v>
      </c>
      <c r="AA162" s="182">
        <v>70</v>
      </c>
      <c r="AB162" s="181"/>
      <c r="AC162" s="180">
        <v>70</v>
      </c>
      <c r="AD162" s="193"/>
    </row>
    <row r="163" spans="1:30" ht="15.75">
      <c r="A163" s="208" t="s">
        <v>12</v>
      </c>
      <c r="B163" s="191"/>
      <c r="C163" s="190">
        <v>0</v>
      </c>
      <c r="D163" s="207" t="s">
        <v>3</v>
      </c>
      <c r="E163" s="188"/>
      <c r="F163" s="174">
        <f t="shared" si="108"/>
        <v>0</v>
      </c>
      <c r="G163" s="186">
        <v>0.05</v>
      </c>
      <c r="H163" s="186">
        <v>0.02</v>
      </c>
      <c r="I163" s="186">
        <v>0.05</v>
      </c>
      <c r="J163" s="187">
        <v>0.122</v>
      </c>
      <c r="K163" s="186">
        <v>0.1</v>
      </c>
      <c r="L163" s="171">
        <f t="shared" si="109"/>
        <v>0</v>
      </c>
      <c r="M163" s="171">
        <f t="shared" si="110"/>
        <v>0</v>
      </c>
      <c r="N163" s="171">
        <f t="shared" si="111"/>
        <v>0</v>
      </c>
      <c r="O163" s="171">
        <f t="shared" si="112"/>
        <v>0</v>
      </c>
      <c r="P163" s="171">
        <f t="shared" si="113"/>
        <v>0</v>
      </c>
      <c r="Q163" s="170">
        <f t="shared" si="114"/>
        <v>0</v>
      </c>
      <c r="R163" s="185">
        <v>0.05</v>
      </c>
      <c r="S163" s="185">
        <v>0.05</v>
      </c>
      <c r="T163" s="185">
        <v>0.05</v>
      </c>
      <c r="U163" s="184">
        <v>0.1</v>
      </c>
      <c r="V163" s="167">
        <f t="shared" si="115"/>
        <v>0</v>
      </c>
      <c r="W163" s="167">
        <f t="shared" si="116"/>
        <v>0</v>
      </c>
      <c r="X163" s="167">
        <f t="shared" si="117"/>
        <v>0</v>
      </c>
      <c r="Y163" s="167">
        <f t="shared" si="118"/>
        <v>0</v>
      </c>
      <c r="Z163" s="183">
        <f t="shared" si="119"/>
        <v>0</v>
      </c>
      <c r="AA163" s="182">
        <v>70</v>
      </c>
      <c r="AB163" s="181"/>
      <c r="AC163" s="180">
        <v>70</v>
      </c>
      <c r="AD163" s="193"/>
    </row>
    <row r="164" spans="1:30" ht="18">
      <c r="A164" s="206" t="s">
        <v>11</v>
      </c>
      <c r="B164" s="205"/>
      <c r="C164" s="204"/>
      <c r="D164" s="203"/>
      <c r="E164" s="202"/>
      <c r="F164" s="200"/>
      <c r="G164" s="200"/>
      <c r="H164" s="200"/>
      <c r="I164" s="200"/>
      <c r="J164" s="201"/>
      <c r="K164" s="200"/>
      <c r="L164" s="200"/>
      <c r="M164" s="200"/>
      <c r="N164" s="200"/>
      <c r="O164" s="200"/>
      <c r="P164" s="200"/>
      <c r="Q164" s="200"/>
      <c r="R164" s="199"/>
      <c r="S164" s="199"/>
      <c r="T164" s="199"/>
      <c r="U164" s="197"/>
      <c r="V164" s="197"/>
      <c r="W164" s="197"/>
      <c r="X164" s="197"/>
      <c r="Y164" s="197"/>
      <c r="Z164" s="198"/>
      <c r="AA164" s="197"/>
      <c r="AB164" s="196"/>
      <c r="AC164" s="195"/>
      <c r="AD164" s="194"/>
    </row>
    <row r="165" spans="1:30" ht="15.75">
      <c r="A165" s="192" t="s">
        <v>10</v>
      </c>
      <c r="B165" s="191"/>
      <c r="C165" s="190">
        <v>0</v>
      </c>
      <c r="D165" s="189" t="s">
        <v>5</v>
      </c>
      <c r="E165" s="188">
        <v>20000</v>
      </c>
      <c r="F165" s="174">
        <f t="shared" ref="F165:F170" si="120">E165*C165</f>
        <v>0</v>
      </c>
      <c r="G165" s="186">
        <v>0.05</v>
      </c>
      <c r="H165" s="186">
        <v>0.02</v>
      </c>
      <c r="I165" s="186">
        <v>0.05</v>
      </c>
      <c r="J165" s="187">
        <v>0.122</v>
      </c>
      <c r="K165" s="186">
        <v>0.1</v>
      </c>
      <c r="L165" s="171">
        <f t="shared" ref="L165:L170" si="121">F165*G165</f>
        <v>0</v>
      </c>
      <c r="M165" s="171">
        <f t="shared" ref="M165:M170" si="122">(F165+L165)*H165</f>
        <v>0</v>
      </c>
      <c r="N165" s="171">
        <f t="shared" ref="N165:N170" si="123">(F165+L165+M165)*I165</f>
        <v>0</v>
      </c>
      <c r="O165" s="171">
        <f t="shared" ref="O165:O170" si="124">(F165+L165+M165+N165)*J165</f>
        <v>0</v>
      </c>
      <c r="P165" s="171">
        <f t="shared" ref="P165:P170" si="125">(F165+L165+M165+N165+O165)*K165</f>
        <v>0</v>
      </c>
      <c r="Q165" s="170">
        <f t="shared" ref="Q165:Q170" si="126">F165+SUM(L165:P165)</f>
        <v>0</v>
      </c>
      <c r="R165" s="185">
        <v>0.05</v>
      </c>
      <c r="S165" s="185">
        <v>0.05</v>
      </c>
      <c r="T165" s="185">
        <v>0.05</v>
      </c>
      <c r="U165" s="184">
        <v>0.1</v>
      </c>
      <c r="V165" s="167">
        <f t="shared" ref="V165:V170" si="127">Q165*R165</f>
        <v>0</v>
      </c>
      <c r="W165" s="167">
        <f t="shared" ref="W165:W170" si="128">Q165*S165</f>
        <v>0</v>
      </c>
      <c r="X165" s="167">
        <f t="shared" ref="X165:X170" si="129">Q165*T165</f>
        <v>0</v>
      </c>
      <c r="Y165" s="167">
        <f t="shared" ref="Y165:Y170" si="130">U165*(V165+W165)</f>
        <v>0</v>
      </c>
      <c r="Z165" s="183">
        <f t="shared" ref="Z165:Z170" si="131">Q165+SUM(V165:Y165)</f>
        <v>0</v>
      </c>
      <c r="AA165" s="182">
        <v>35</v>
      </c>
      <c r="AB165" s="181"/>
      <c r="AC165" s="180">
        <v>35</v>
      </c>
      <c r="AD165" s="193"/>
    </row>
    <row r="166" spans="1:30" ht="30">
      <c r="A166" s="192" t="s">
        <v>9</v>
      </c>
      <c r="B166" s="191"/>
      <c r="C166" s="190">
        <v>0</v>
      </c>
      <c r="D166" s="189" t="s">
        <v>5</v>
      </c>
      <c r="E166" s="188">
        <v>52250</v>
      </c>
      <c r="F166" s="174">
        <f t="shared" si="120"/>
        <v>0</v>
      </c>
      <c r="G166" s="186">
        <v>0.05</v>
      </c>
      <c r="H166" s="186">
        <v>0.02</v>
      </c>
      <c r="I166" s="186">
        <v>0.05</v>
      </c>
      <c r="J166" s="187">
        <v>0.122</v>
      </c>
      <c r="K166" s="186">
        <v>0.1</v>
      </c>
      <c r="L166" s="171">
        <f t="shared" si="121"/>
        <v>0</v>
      </c>
      <c r="M166" s="171">
        <f t="shared" si="122"/>
        <v>0</v>
      </c>
      <c r="N166" s="171">
        <f t="shared" si="123"/>
        <v>0</v>
      </c>
      <c r="O166" s="171">
        <f t="shared" si="124"/>
        <v>0</v>
      </c>
      <c r="P166" s="171">
        <f t="shared" si="125"/>
        <v>0</v>
      </c>
      <c r="Q166" s="170">
        <f t="shared" si="126"/>
        <v>0</v>
      </c>
      <c r="R166" s="185">
        <v>0.05</v>
      </c>
      <c r="S166" s="185">
        <v>0.05</v>
      </c>
      <c r="T166" s="185">
        <v>0.05</v>
      </c>
      <c r="U166" s="184">
        <v>0.1</v>
      </c>
      <c r="V166" s="167">
        <f t="shared" si="127"/>
        <v>0</v>
      </c>
      <c r="W166" s="167">
        <f t="shared" si="128"/>
        <v>0</v>
      </c>
      <c r="X166" s="167">
        <f t="shared" si="129"/>
        <v>0</v>
      </c>
      <c r="Y166" s="167">
        <f t="shared" si="130"/>
        <v>0</v>
      </c>
      <c r="Z166" s="183">
        <f t="shared" si="131"/>
        <v>0</v>
      </c>
      <c r="AA166" s="182">
        <v>75</v>
      </c>
      <c r="AB166" s="181"/>
      <c r="AC166" s="180">
        <v>75</v>
      </c>
      <c r="AD166" s="193"/>
    </row>
    <row r="167" spans="1:30" ht="30">
      <c r="A167" s="192" t="s">
        <v>8</v>
      </c>
      <c r="B167" s="191"/>
      <c r="C167" s="190">
        <v>2</v>
      </c>
      <c r="D167" s="189" t="s">
        <v>5</v>
      </c>
      <c r="E167" s="188">
        <v>17500</v>
      </c>
      <c r="F167" s="174">
        <f t="shared" si="120"/>
        <v>35000</v>
      </c>
      <c r="G167" s="186">
        <v>0.05</v>
      </c>
      <c r="H167" s="186">
        <v>0.02</v>
      </c>
      <c r="I167" s="186">
        <v>0.05</v>
      </c>
      <c r="J167" s="187">
        <v>0.122</v>
      </c>
      <c r="K167" s="186">
        <v>0.1</v>
      </c>
      <c r="L167" s="171">
        <f t="shared" si="121"/>
        <v>1750</v>
      </c>
      <c r="M167" s="171">
        <f t="shared" si="122"/>
        <v>735</v>
      </c>
      <c r="N167" s="171">
        <f t="shared" si="123"/>
        <v>1874.25</v>
      </c>
      <c r="O167" s="171">
        <f t="shared" si="124"/>
        <v>4801.8284999999996</v>
      </c>
      <c r="P167" s="171">
        <f t="shared" si="125"/>
        <v>4416.1078500000003</v>
      </c>
      <c r="Q167" s="170">
        <f t="shared" si="126"/>
        <v>48577.186350000004</v>
      </c>
      <c r="R167" s="185">
        <v>0.05</v>
      </c>
      <c r="S167" s="185">
        <v>0.05</v>
      </c>
      <c r="T167" s="185">
        <v>0.05</v>
      </c>
      <c r="U167" s="184">
        <v>0.1</v>
      </c>
      <c r="V167" s="167">
        <f t="shared" si="127"/>
        <v>2428.8593175000001</v>
      </c>
      <c r="W167" s="167">
        <f t="shared" si="128"/>
        <v>2428.8593175000001</v>
      </c>
      <c r="X167" s="167">
        <f t="shared" si="129"/>
        <v>2428.8593175000001</v>
      </c>
      <c r="Y167" s="167">
        <f t="shared" si="130"/>
        <v>485.77186350000005</v>
      </c>
      <c r="Z167" s="183">
        <f t="shared" si="131"/>
        <v>56349.536166000005</v>
      </c>
      <c r="AA167" s="182">
        <v>25</v>
      </c>
      <c r="AB167" s="181"/>
      <c r="AC167" s="180">
        <v>25</v>
      </c>
      <c r="AD167" s="193"/>
    </row>
    <row r="168" spans="1:30" ht="15.75">
      <c r="A168" s="192" t="s">
        <v>7</v>
      </c>
      <c r="B168" s="191"/>
      <c r="C168" s="190">
        <v>0</v>
      </c>
      <c r="D168" s="189" t="s">
        <v>5</v>
      </c>
      <c r="E168" s="188">
        <v>120000</v>
      </c>
      <c r="F168" s="174">
        <f t="shared" si="120"/>
        <v>0</v>
      </c>
      <c r="G168" s="186">
        <v>0.05</v>
      </c>
      <c r="H168" s="186">
        <v>0.02</v>
      </c>
      <c r="I168" s="186">
        <v>0.05</v>
      </c>
      <c r="J168" s="187">
        <v>0.122</v>
      </c>
      <c r="K168" s="186">
        <v>0.1</v>
      </c>
      <c r="L168" s="171">
        <f t="shared" si="121"/>
        <v>0</v>
      </c>
      <c r="M168" s="171">
        <f t="shared" si="122"/>
        <v>0</v>
      </c>
      <c r="N168" s="171">
        <f t="shared" si="123"/>
        <v>0</v>
      </c>
      <c r="O168" s="171">
        <f t="shared" si="124"/>
        <v>0</v>
      </c>
      <c r="P168" s="171">
        <f t="shared" si="125"/>
        <v>0</v>
      </c>
      <c r="Q168" s="170">
        <f t="shared" si="126"/>
        <v>0</v>
      </c>
      <c r="R168" s="185">
        <v>0.05</v>
      </c>
      <c r="S168" s="185">
        <v>0.05</v>
      </c>
      <c r="T168" s="185">
        <v>0.05</v>
      </c>
      <c r="U168" s="184">
        <v>0.1</v>
      </c>
      <c r="V168" s="167">
        <f t="shared" si="127"/>
        <v>0</v>
      </c>
      <c r="W168" s="167">
        <f t="shared" si="128"/>
        <v>0</v>
      </c>
      <c r="X168" s="167">
        <f t="shared" si="129"/>
        <v>0</v>
      </c>
      <c r="Y168" s="167">
        <f t="shared" si="130"/>
        <v>0</v>
      </c>
      <c r="Z168" s="183">
        <f t="shared" si="131"/>
        <v>0</v>
      </c>
      <c r="AA168" s="182">
        <v>25</v>
      </c>
      <c r="AB168" s="181"/>
      <c r="AC168" s="180">
        <v>25</v>
      </c>
      <c r="AD168" s="193"/>
    </row>
    <row r="169" spans="1:30" ht="15.75">
      <c r="A169" s="192" t="s">
        <v>6</v>
      </c>
      <c r="B169" s="191"/>
      <c r="C169" s="190">
        <v>0</v>
      </c>
      <c r="D169" s="189" t="s">
        <v>5</v>
      </c>
      <c r="E169" s="188">
        <v>18000</v>
      </c>
      <c r="F169" s="174">
        <f t="shared" si="120"/>
        <v>0</v>
      </c>
      <c r="G169" s="186">
        <v>0.05</v>
      </c>
      <c r="H169" s="186">
        <v>0.02</v>
      </c>
      <c r="I169" s="186">
        <v>0.05</v>
      </c>
      <c r="J169" s="187">
        <v>0.122</v>
      </c>
      <c r="K169" s="186">
        <v>0.1</v>
      </c>
      <c r="L169" s="171">
        <f t="shared" si="121"/>
        <v>0</v>
      </c>
      <c r="M169" s="171">
        <f t="shared" si="122"/>
        <v>0</v>
      </c>
      <c r="N169" s="171">
        <f t="shared" si="123"/>
        <v>0</v>
      </c>
      <c r="O169" s="171">
        <f t="shared" si="124"/>
        <v>0</v>
      </c>
      <c r="P169" s="171">
        <f t="shared" si="125"/>
        <v>0</v>
      </c>
      <c r="Q169" s="170">
        <f t="shared" si="126"/>
        <v>0</v>
      </c>
      <c r="R169" s="185">
        <v>0.05</v>
      </c>
      <c r="S169" s="185">
        <v>0.05</v>
      </c>
      <c r="T169" s="185">
        <v>0.05</v>
      </c>
      <c r="U169" s="184">
        <v>0.1</v>
      </c>
      <c r="V169" s="167">
        <f t="shared" si="127"/>
        <v>0</v>
      </c>
      <c r="W169" s="167">
        <f t="shared" si="128"/>
        <v>0</v>
      </c>
      <c r="X169" s="167">
        <f t="shared" si="129"/>
        <v>0</v>
      </c>
      <c r="Y169" s="167">
        <f t="shared" si="130"/>
        <v>0</v>
      </c>
      <c r="Z169" s="183">
        <f t="shared" si="131"/>
        <v>0</v>
      </c>
      <c r="AA169" s="182">
        <v>25</v>
      </c>
      <c r="AB169" s="181"/>
      <c r="AC169" s="180">
        <v>25</v>
      </c>
      <c r="AD169" s="162"/>
    </row>
    <row r="170" spans="1:30" ht="30.75" thickBot="1">
      <c r="A170" s="179" t="s">
        <v>4</v>
      </c>
      <c r="B170" s="178"/>
      <c r="C170" s="177">
        <v>0</v>
      </c>
      <c r="D170" s="176" t="s">
        <v>3</v>
      </c>
      <c r="E170" s="175">
        <v>400</v>
      </c>
      <c r="F170" s="174">
        <f t="shared" si="120"/>
        <v>0</v>
      </c>
      <c r="G170" s="172">
        <v>0.05</v>
      </c>
      <c r="H170" s="172">
        <v>0.02</v>
      </c>
      <c r="I170" s="172">
        <v>0.05</v>
      </c>
      <c r="J170" s="173">
        <v>0.122</v>
      </c>
      <c r="K170" s="172">
        <v>0.1</v>
      </c>
      <c r="L170" s="171">
        <f t="shared" si="121"/>
        <v>0</v>
      </c>
      <c r="M170" s="171">
        <f t="shared" si="122"/>
        <v>0</v>
      </c>
      <c r="N170" s="171">
        <f t="shared" si="123"/>
        <v>0</v>
      </c>
      <c r="O170" s="171">
        <f t="shared" si="124"/>
        <v>0</v>
      </c>
      <c r="P170" s="171">
        <f t="shared" si="125"/>
        <v>0</v>
      </c>
      <c r="Q170" s="170">
        <f t="shared" si="126"/>
        <v>0</v>
      </c>
      <c r="R170" s="169">
        <v>0.05</v>
      </c>
      <c r="S170" s="169">
        <v>0.05</v>
      </c>
      <c r="T170" s="169">
        <v>0.05</v>
      </c>
      <c r="U170" s="168">
        <v>0.1</v>
      </c>
      <c r="V170" s="167">
        <f t="shared" si="127"/>
        <v>0</v>
      </c>
      <c r="W170" s="167">
        <f t="shared" si="128"/>
        <v>0</v>
      </c>
      <c r="X170" s="167">
        <f t="shared" si="129"/>
        <v>0</v>
      </c>
      <c r="Y170" s="167">
        <f t="shared" si="130"/>
        <v>0</v>
      </c>
      <c r="Z170" s="166">
        <f t="shared" si="131"/>
        <v>0</v>
      </c>
      <c r="AA170" s="165">
        <v>25</v>
      </c>
      <c r="AB170" s="164"/>
      <c r="AC170" s="163">
        <v>25</v>
      </c>
      <c r="AD170" s="162"/>
    </row>
    <row r="171" spans="1:30" ht="18.75" thickBot="1">
      <c r="A171" s="161" t="s">
        <v>2</v>
      </c>
      <c r="B171" s="160"/>
      <c r="C171" s="159"/>
      <c r="D171" s="158"/>
      <c r="E171" s="157"/>
      <c r="F171" s="156">
        <f>SUM(F7:F170)</f>
        <v>275400</v>
      </c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6">
        <f>SUM(Q7:Q170)</f>
        <v>382233.06059400004</v>
      </c>
      <c r="R171" s="153"/>
      <c r="S171" s="153"/>
      <c r="T171" s="153"/>
      <c r="U171" s="153"/>
      <c r="V171" s="155"/>
      <c r="W171" s="154" t="s">
        <v>0</v>
      </c>
      <c r="X171" s="153">
        <f>SUM(X7:X170)</f>
        <v>19111.653029699999</v>
      </c>
      <c r="Y171" s="152"/>
      <c r="Z171" s="151">
        <f>SUM(Z7:Z170)</f>
        <v>443390.35028903995</v>
      </c>
      <c r="AA171" s="132"/>
      <c r="AB171" s="108"/>
      <c r="AC171" s="150">
        <v>64.352517985611513</v>
      </c>
      <c r="AD171" s="130"/>
    </row>
    <row r="172" spans="1:30" ht="15.75">
      <c r="A172" s="149"/>
      <c r="B172" s="148"/>
      <c r="C172" s="147"/>
      <c r="D172" s="146"/>
      <c r="E172" s="145"/>
      <c r="G172" s="144"/>
      <c r="H172" s="144"/>
      <c r="I172" s="144"/>
      <c r="J172" s="144"/>
      <c r="K172" s="143"/>
      <c r="L172" s="142"/>
      <c r="M172" s="142"/>
      <c r="N172" s="142"/>
      <c r="O172" s="142"/>
      <c r="P172" s="142"/>
      <c r="Q172" s="141"/>
      <c r="R172" s="140"/>
      <c r="S172" s="139"/>
      <c r="T172" s="138" t="s">
        <v>1</v>
      </c>
      <c r="U172" s="137">
        <f>SUM(V7:V170)+SUM(Y7:Y170)</f>
        <v>22933.983635639997</v>
      </c>
      <c r="V172" s="136"/>
      <c r="W172" s="134"/>
      <c r="X172" s="135"/>
      <c r="Y172" s="134"/>
      <c r="Z172" s="133"/>
      <c r="AA172" s="132"/>
      <c r="AB172" s="108"/>
      <c r="AC172" s="131"/>
      <c r="AD172" s="130"/>
    </row>
    <row r="173" spans="1:30" ht="15.75">
      <c r="A173" s="122"/>
      <c r="B173" s="121"/>
      <c r="C173" s="120"/>
      <c r="D173" s="119"/>
      <c r="E173" s="118"/>
      <c r="G173" s="117"/>
      <c r="H173" s="117"/>
      <c r="I173" s="117"/>
      <c r="J173" s="117"/>
      <c r="K173" s="129"/>
      <c r="L173" s="128"/>
      <c r="M173" s="128"/>
      <c r="N173" s="128"/>
      <c r="O173" s="128"/>
      <c r="P173" s="128"/>
      <c r="Q173" s="127"/>
      <c r="R173" s="126"/>
      <c r="S173" s="125"/>
      <c r="T173" s="124" t="s">
        <v>0</v>
      </c>
      <c r="U173" s="123">
        <f>X171</f>
        <v>19111.653029699999</v>
      </c>
      <c r="V173" s="111"/>
      <c r="W173" s="111"/>
      <c r="X173" s="111"/>
      <c r="Y173" s="111"/>
      <c r="Z173" s="110"/>
      <c r="AA173" s="109"/>
      <c r="AB173" s="108"/>
      <c r="AC173" s="107"/>
      <c r="AD173" s="106"/>
    </row>
    <row r="174" spans="1:30" ht="15.75">
      <c r="A174" s="122"/>
      <c r="B174" s="121"/>
      <c r="C174" s="120"/>
      <c r="D174" s="119"/>
      <c r="E174" s="118"/>
      <c r="G174" s="117"/>
      <c r="H174" s="117"/>
      <c r="I174" s="117"/>
      <c r="J174" s="117"/>
      <c r="K174" s="117"/>
      <c r="L174" s="116"/>
      <c r="M174" s="116"/>
      <c r="N174" s="116"/>
      <c r="O174" s="116"/>
      <c r="P174" s="116"/>
      <c r="R174" s="115"/>
      <c r="S174" s="114"/>
      <c r="T174" s="113"/>
      <c r="U174" s="112"/>
      <c r="V174" s="111"/>
      <c r="W174" s="111"/>
      <c r="X174" s="111"/>
      <c r="Y174" s="111"/>
      <c r="Z174" s="110"/>
      <c r="AA174" s="109"/>
      <c r="AB174" s="108"/>
      <c r="AC174" s="107"/>
      <c r="AD174" s="106"/>
    </row>
    <row r="175" spans="1:30" s="80" customFormat="1">
      <c r="A175" s="65"/>
      <c r="B175" s="62"/>
      <c r="C175" s="79"/>
      <c r="D175" s="78"/>
      <c r="E175" s="91"/>
      <c r="G175" s="90"/>
      <c r="H175" s="90"/>
      <c r="I175" s="90"/>
      <c r="J175" s="90"/>
      <c r="K175" s="90"/>
      <c r="L175" s="89"/>
      <c r="M175" s="89"/>
      <c r="N175" s="89"/>
      <c r="O175" s="89"/>
      <c r="P175" s="89"/>
      <c r="R175" s="87"/>
      <c r="S175" s="87"/>
      <c r="T175" s="87"/>
      <c r="U175" s="87"/>
      <c r="V175" s="87"/>
      <c r="W175" s="87"/>
      <c r="X175" s="87"/>
      <c r="Y175" s="87"/>
      <c r="Z175" s="103"/>
      <c r="AA175" s="85"/>
      <c r="AB175" s="84"/>
      <c r="AC175" s="83"/>
      <c r="AD175" s="66"/>
    </row>
    <row r="176" spans="1:30" s="80" customFormat="1" ht="18">
      <c r="A176" s="65"/>
      <c r="B176" s="62"/>
      <c r="C176" s="79"/>
      <c r="D176" s="78"/>
      <c r="E176" s="91"/>
      <c r="G176" s="90"/>
      <c r="H176" s="90"/>
      <c r="I176" s="90"/>
      <c r="J176" s="90"/>
      <c r="K176" s="90"/>
      <c r="L176" s="89"/>
      <c r="M176" s="89"/>
      <c r="N176" s="89"/>
      <c r="O176" s="89"/>
      <c r="P176" s="89"/>
      <c r="R176" s="87"/>
      <c r="S176" s="87"/>
      <c r="T176" s="87"/>
      <c r="U176" s="105"/>
      <c r="V176" s="87"/>
      <c r="W176" s="87"/>
      <c r="X176" s="87"/>
      <c r="Y176" s="87"/>
      <c r="Z176" s="104"/>
      <c r="AA176" s="98"/>
      <c r="AB176" s="84"/>
      <c r="AC176" s="83"/>
      <c r="AD176" s="66"/>
    </row>
    <row r="177" spans="1:30" s="80" customFormat="1">
      <c r="A177" s="65"/>
      <c r="B177" s="62"/>
      <c r="C177" s="79"/>
      <c r="D177" s="78"/>
      <c r="E177" s="91"/>
      <c r="G177" s="90"/>
      <c r="H177" s="90"/>
      <c r="I177" s="90"/>
      <c r="J177" s="90"/>
      <c r="K177" s="90"/>
      <c r="L177" s="89"/>
      <c r="M177" s="89"/>
      <c r="N177" s="89"/>
      <c r="O177" s="89"/>
      <c r="P177" s="89"/>
      <c r="R177" s="87"/>
      <c r="S177" s="87"/>
      <c r="T177" s="87"/>
      <c r="U177" s="87"/>
      <c r="V177" s="87"/>
      <c r="W177" s="87"/>
      <c r="X177" s="87"/>
      <c r="Y177" s="87"/>
      <c r="Z177" s="103"/>
      <c r="AA177" s="98"/>
      <c r="AB177" s="84"/>
      <c r="AC177" s="83"/>
      <c r="AD177" s="66"/>
    </row>
    <row r="178" spans="1:30" s="80" customFormat="1" ht="18">
      <c r="A178" s="102"/>
      <c r="B178" s="62"/>
      <c r="C178" s="79"/>
      <c r="D178" s="78"/>
      <c r="E178" s="91"/>
      <c r="G178" s="82"/>
      <c r="H178" s="90"/>
      <c r="I178" s="90"/>
      <c r="J178" s="99"/>
      <c r="K178" s="90"/>
      <c r="L178" s="89"/>
      <c r="M178" s="89"/>
      <c r="N178" s="89"/>
      <c r="O178" s="89"/>
      <c r="P178" s="89"/>
      <c r="R178" s="87"/>
      <c r="S178" s="87"/>
      <c r="T178" s="87"/>
      <c r="U178" s="87"/>
      <c r="V178" s="87"/>
      <c r="W178" s="87"/>
      <c r="X178" s="87"/>
      <c r="Y178" s="87"/>
      <c r="Z178" s="96"/>
      <c r="AA178" s="98"/>
      <c r="AB178" s="84"/>
      <c r="AC178" s="83"/>
      <c r="AD178" s="66"/>
    </row>
    <row r="179" spans="1:30" s="80" customFormat="1" ht="18">
      <c r="A179" s="65"/>
      <c r="B179" s="62"/>
      <c r="C179" s="79"/>
      <c r="D179" s="78"/>
      <c r="E179" s="91"/>
      <c r="G179" s="343"/>
      <c r="H179" s="344"/>
      <c r="I179" s="344"/>
      <c r="J179" s="344"/>
      <c r="K179" s="90"/>
      <c r="L179" s="89"/>
      <c r="M179" s="89"/>
      <c r="N179" s="89"/>
      <c r="O179" s="89"/>
      <c r="P179" s="89"/>
      <c r="R179" s="87"/>
      <c r="S179" s="87"/>
      <c r="T179" s="87"/>
      <c r="U179" s="87"/>
      <c r="V179" s="87"/>
      <c r="W179" s="87"/>
      <c r="X179" s="87"/>
      <c r="Y179" s="87"/>
      <c r="Z179" s="96"/>
      <c r="AA179" s="98"/>
      <c r="AB179" s="84"/>
      <c r="AC179" s="83"/>
      <c r="AD179" s="66"/>
    </row>
    <row r="180" spans="1:30" s="80" customFormat="1" ht="18">
      <c r="A180" s="65"/>
      <c r="B180" s="62"/>
      <c r="C180" s="79"/>
      <c r="D180" s="78"/>
      <c r="E180" s="91"/>
      <c r="G180" s="101"/>
      <c r="H180" s="90"/>
      <c r="I180" s="90"/>
      <c r="J180" s="99"/>
      <c r="K180" s="90"/>
      <c r="L180" s="89"/>
      <c r="M180" s="89"/>
      <c r="N180" s="89"/>
      <c r="O180" s="89"/>
      <c r="P180" s="89"/>
      <c r="R180" s="87"/>
      <c r="S180" s="87"/>
      <c r="T180" s="87"/>
      <c r="U180" s="100"/>
      <c r="V180" s="87"/>
      <c r="W180" s="87"/>
      <c r="X180" s="87"/>
      <c r="Y180" s="87"/>
      <c r="Z180" s="96"/>
      <c r="AA180" s="98"/>
      <c r="AB180" s="84"/>
      <c r="AC180" s="83"/>
      <c r="AD180" s="66"/>
    </row>
    <row r="181" spans="1:30" s="80" customFormat="1" ht="18">
      <c r="A181" s="65"/>
      <c r="B181" s="62"/>
      <c r="C181" s="79"/>
      <c r="D181" s="78"/>
      <c r="E181" s="91"/>
      <c r="G181" s="82"/>
      <c r="H181" s="90"/>
      <c r="I181" s="90"/>
      <c r="J181" s="99"/>
      <c r="K181" s="90"/>
      <c r="L181" s="89"/>
      <c r="M181" s="89"/>
      <c r="N181" s="89"/>
      <c r="O181" s="89"/>
      <c r="P181" s="89"/>
      <c r="R181" s="87"/>
      <c r="S181" s="87"/>
      <c r="T181" s="87"/>
      <c r="U181" s="87"/>
      <c r="V181" s="87"/>
      <c r="W181" s="87"/>
      <c r="X181" s="87"/>
      <c r="Y181" s="87"/>
      <c r="Z181" s="96"/>
      <c r="AA181" s="98"/>
      <c r="AB181" s="84"/>
      <c r="AC181" s="83"/>
      <c r="AD181" s="66"/>
    </row>
    <row r="182" spans="1:30" s="80" customFormat="1" ht="18">
      <c r="A182" s="65"/>
      <c r="B182" s="62"/>
      <c r="C182" s="79"/>
      <c r="D182" s="78"/>
      <c r="E182" s="91"/>
      <c r="G182" s="82"/>
      <c r="H182" s="90"/>
      <c r="I182" s="90"/>
      <c r="J182" s="95"/>
      <c r="K182" s="90"/>
      <c r="L182" s="89"/>
      <c r="M182" s="89"/>
      <c r="N182" s="89"/>
      <c r="O182" s="89"/>
      <c r="P182" s="89"/>
      <c r="R182" s="87"/>
      <c r="S182" s="87"/>
      <c r="T182" s="87"/>
      <c r="U182" s="87"/>
      <c r="V182" s="87"/>
      <c r="W182" s="87"/>
      <c r="X182" s="87"/>
      <c r="Y182" s="87"/>
      <c r="Z182" s="96"/>
      <c r="AA182" s="85"/>
      <c r="AB182" s="84"/>
      <c r="AC182" s="83"/>
      <c r="AD182" s="66"/>
    </row>
    <row r="183" spans="1:30" s="80" customFormat="1" ht="18">
      <c r="A183" s="65"/>
      <c r="B183" s="62"/>
      <c r="C183" s="79"/>
      <c r="D183" s="78"/>
      <c r="E183" s="91"/>
      <c r="G183" s="82"/>
      <c r="H183" s="90"/>
      <c r="I183" s="90"/>
      <c r="J183" s="95"/>
      <c r="K183" s="90"/>
      <c r="L183" s="89"/>
      <c r="M183" s="89"/>
      <c r="N183" s="89"/>
      <c r="O183" s="89"/>
      <c r="P183" s="89"/>
      <c r="R183" s="87"/>
      <c r="S183" s="87"/>
      <c r="T183" s="87"/>
      <c r="U183" s="97"/>
      <c r="V183" s="87"/>
      <c r="W183" s="87"/>
      <c r="X183" s="87"/>
      <c r="Y183" s="87"/>
      <c r="Z183" s="96"/>
      <c r="AA183" s="85"/>
      <c r="AB183" s="84"/>
      <c r="AC183" s="83"/>
      <c r="AD183" s="66"/>
    </row>
    <row r="184" spans="1:30" s="80" customFormat="1" ht="18">
      <c r="A184" s="65"/>
      <c r="B184" s="62"/>
      <c r="C184" s="79"/>
      <c r="D184" s="78"/>
      <c r="E184" s="91"/>
      <c r="G184" s="82"/>
      <c r="H184" s="90"/>
      <c r="I184" s="90"/>
      <c r="J184" s="95"/>
      <c r="K184" s="90"/>
      <c r="L184" s="89"/>
      <c r="M184" s="89"/>
      <c r="N184" s="89"/>
      <c r="O184" s="89"/>
      <c r="P184" s="89"/>
      <c r="R184" s="87"/>
      <c r="S184" s="87"/>
      <c r="T184" s="87"/>
      <c r="U184" s="97"/>
      <c r="V184" s="87"/>
      <c r="W184" s="87"/>
      <c r="X184" s="87"/>
      <c r="Y184" s="87"/>
      <c r="Z184" s="96"/>
      <c r="AA184" s="85"/>
      <c r="AB184" s="84"/>
      <c r="AC184" s="83"/>
      <c r="AD184" s="66"/>
    </row>
    <row r="185" spans="1:30" s="80" customFormat="1" ht="18">
      <c r="A185" s="65"/>
      <c r="B185" s="62"/>
      <c r="C185" s="79"/>
      <c r="D185" s="78"/>
      <c r="E185" s="91"/>
      <c r="G185" s="82"/>
      <c r="H185" s="90"/>
      <c r="I185" s="90"/>
      <c r="J185" s="95"/>
      <c r="K185" s="90"/>
      <c r="L185" s="89"/>
      <c r="M185" s="89"/>
      <c r="N185" s="89"/>
      <c r="O185" s="89"/>
      <c r="P185" s="89"/>
      <c r="R185" s="87"/>
      <c r="S185" s="87"/>
      <c r="T185" s="87"/>
      <c r="U185" s="87"/>
      <c r="V185" s="87"/>
      <c r="W185" s="87"/>
      <c r="X185" s="87"/>
      <c r="Y185" s="87"/>
      <c r="Z185" s="96"/>
      <c r="AA185" s="85"/>
      <c r="AB185" s="84"/>
      <c r="AC185" s="83"/>
      <c r="AD185" s="66"/>
    </row>
    <row r="186" spans="1:30" s="80" customFormat="1" ht="20.25">
      <c r="A186" s="65"/>
      <c r="B186" s="62"/>
      <c r="C186" s="79"/>
      <c r="D186" s="78"/>
      <c r="E186" s="91"/>
      <c r="G186" s="82"/>
      <c r="H186" s="90"/>
      <c r="I186" s="90"/>
      <c r="J186" s="95"/>
      <c r="K186" s="90"/>
      <c r="L186" s="89"/>
      <c r="M186" s="89"/>
      <c r="N186" s="89"/>
      <c r="O186" s="89"/>
      <c r="P186" s="89"/>
      <c r="R186" s="87"/>
      <c r="S186" s="87"/>
      <c r="T186" s="87"/>
      <c r="U186" s="94"/>
      <c r="V186" s="93"/>
      <c r="W186" s="93"/>
      <c r="X186" s="93"/>
      <c r="Y186" s="93"/>
      <c r="Z186" s="92"/>
      <c r="AA186" s="85"/>
      <c r="AB186" s="84"/>
      <c r="AC186" s="83"/>
      <c r="AD186" s="66"/>
    </row>
    <row r="187" spans="1:30" s="80" customFormat="1" ht="18">
      <c r="A187" s="65"/>
      <c r="B187" s="62"/>
      <c r="C187" s="79"/>
      <c r="D187" s="78"/>
      <c r="E187" s="91"/>
      <c r="G187" s="90"/>
      <c r="H187" s="90"/>
      <c r="I187" s="90"/>
      <c r="J187" s="90"/>
      <c r="K187" s="90"/>
      <c r="L187" s="89"/>
      <c r="M187" s="89"/>
      <c r="N187" s="89"/>
      <c r="O187" s="89"/>
      <c r="P187" s="89"/>
      <c r="R187" s="87"/>
      <c r="S187" s="87"/>
      <c r="T187" s="87"/>
      <c r="U187" s="88"/>
      <c r="V187" s="87"/>
      <c r="W187" s="87"/>
      <c r="X187" s="87"/>
      <c r="Y187" s="87"/>
      <c r="Z187" s="86"/>
      <c r="AA187" s="85"/>
      <c r="AB187" s="84"/>
      <c r="AC187" s="83"/>
      <c r="AD187" s="66"/>
    </row>
    <row r="188" spans="1:30" s="80" customFormat="1" ht="18">
      <c r="A188" s="45"/>
      <c r="B188" s="62"/>
      <c r="C188" s="79"/>
      <c r="D188" s="78"/>
      <c r="E188" s="64"/>
      <c r="G188" s="58"/>
      <c r="H188" s="58"/>
      <c r="I188" s="58"/>
      <c r="J188" s="58"/>
      <c r="K188" s="81"/>
      <c r="L188" s="57"/>
      <c r="M188" s="57"/>
      <c r="N188" s="57"/>
      <c r="O188" s="57"/>
      <c r="P188" s="57"/>
      <c r="R188" s="56"/>
      <c r="S188" s="56"/>
      <c r="T188" s="56"/>
      <c r="U188" s="56"/>
      <c r="V188" s="56"/>
      <c r="W188" s="56"/>
      <c r="X188" s="56"/>
      <c r="Y188" s="56"/>
      <c r="Z188" s="55"/>
      <c r="AA188" s="54"/>
      <c r="AB188" s="53"/>
      <c r="AC188" s="34"/>
      <c r="AD188" s="66"/>
    </row>
    <row r="189" spans="1:30" s="80" customFormat="1" ht="18">
      <c r="A189" s="45"/>
      <c r="B189" s="62"/>
      <c r="C189" s="79"/>
      <c r="D189" s="78"/>
      <c r="E189" s="64"/>
      <c r="G189" s="58"/>
      <c r="H189" s="58"/>
      <c r="I189" s="58"/>
      <c r="J189" s="58"/>
      <c r="K189" s="81"/>
      <c r="L189" s="57"/>
      <c r="M189" s="57"/>
      <c r="N189" s="57"/>
      <c r="O189" s="57"/>
      <c r="P189" s="57"/>
      <c r="R189" s="56"/>
      <c r="S189" s="56"/>
      <c r="T189" s="56"/>
      <c r="U189" s="56"/>
      <c r="V189" s="56"/>
      <c r="W189" s="56"/>
      <c r="X189" s="56"/>
      <c r="Y189" s="56"/>
      <c r="Z189" s="55"/>
      <c r="AA189" s="54"/>
      <c r="AB189" s="53"/>
      <c r="AC189" s="34"/>
      <c r="AD189" s="66"/>
    </row>
    <row r="190" spans="1:30" s="80" customFormat="1">
      <c r="A190" s="45"/>
      <c r="B190" s="62"/>
      <c r="C190" s="79"/>
      <c r="D190" s="78"/>
      <c r="E190" s="64"/>
      <c r="G190" s="58"/>
      <c r="H190" s="58"/>
      <c r="I190" s="58"/>
      <c r="J190" s="58"/>
      <c r="K190" s="58"/>
      <c r="L190" s="57"/>
      <c r="M190" s="57"/>
      <c r="N190" s="57"/>
      <c r="O190" s="57"/>
      <c r="P190" s="57"/>
      <c r="R190" s="56"/>
      <c r="S190" s="56"/>
      <c r="T190" s="56"/>
      <c r="U190" s="56"/>
      <c r="V190" s="56"/>
      <c r="W190" s="56"/>
      <c r="X190" s="56"/>
      <c r="Y190" s="56"/>
      <c r="Z190" s="55"/>
      <c r="AA190" s="54"/>
      <c r="AB190" s="53"/>
      <c r="AC190" s="34"/>
      <c r="AD190" s="66"/>
    </row>
    <row r="191" spans="1:30" s="80" customFormat="1" ht="18">
      <c r="A191" s="45"/>
      <c r="B191" s="62"/>
      <c r="C191" s="79"/>
      <c r="D191" s="78"/>
      <c r="E191" s="64"/>
      <c r="G191" s="82"/>
      <c r="H191" s="58"/>
      <c r="I191" s="58"/>
      <c r="J191" s="58"/>
      <c r="K191" s="58"/>
      <c r="L191" s="57"/>
      <c r="M191" s="57"/>
      <c r="N191" s="57"/>
      <c r="O191" s="57"/>
      <c r="P191" s="57"/>
      <c r="R191" s="56"/>
      <c r="S191" s="56"/>
      <c r="T191" s="56"/>
      <c r="U191" s="56"/>
      <c r="V191" s="56"/>
      <c r="W191" s="56"/>
      <c r="X191" s="56"/>
      <c r="Y191" s="56"/>
      <c r="Z191" s="55"/>
      <c r="AA191" s="54"/>
      <c r="AB191" s="53"/>
      <c r="AC191" s="34"/>
      <c r="AD191" s="66"/>
    </row>
    <row r="192" spans="1:30" s="80" customFormat="1" ht="18">
      <c r="A192" s="45"/>
      <c r="B192" s="62"/>
      <c r="C192" s="79"/>
      <c r="D192" s="78"/>
      <c r="E192" s="64"/>
      <c r="G192" s="82"/>
      <c r="H192" s="58"/>
      <c r="I192" s="58"/>
      <c r="J192" s="58"/>
      <c r="K192" s="58"/>
      <c r="L192" s="57"/>
      <c r="M192" s="57"/>
      <c r="N192" s="57"/>
      <c r="O192" s="57"/>
      <c r="P192" s="57"/>
      <c r="R192" s="56"/>
      <c r="S192" s="56"/>
      <c r="T192" s="56"/>
      <c r="U192" s="56"/>
      <c r="V192" s="56"/>
      <c r="W192" s="56"/>
      <c r="X192" s="56"/>
      <c r="Y192" s="56"/>
      <c r="Z192" s="55"/>
      <c r="AA192" s="54"/>
      <c r="AB192" s="53"/>
      <c r="AC192" s="34"/>
      <c r="AD192" s="66"/>
    </row>
    <row r="193" spans="1:30" s="80" customFormat="1" ht="18">
      <c r="A193" s="45"/>
      <c r="B193" s="62"/>
      <c r="C193" s="79"/>
      <c r="D193" s="78"/>
      <c r="E193" s="64"/>
      <c r="G193" s="82"/>
      <c r="H193" s="58"/>
      <c r="I193" s="58"/>
      <c r="J193" s="58"/>
      <c r="K193" s="58"/>
      <c r="L193" s="57"/>
      <c r="M193" s="57"/>
      <c r="N193" s="57"/>
      <c r="O193" s="57"/>
      <c r="P193" s="57"/>
      <c r="R193" s="56"/>
      <c r="S193" s="56"/>
      <c r="T193" s="56"/>
      <c r="U193" s="56"/>
      <c r="V193" s="56"/>
      <c r="W193" s="56"/>
      <c r="X193" s="56"/>
      <c r="Y193" s="56"/>
      <c r="Z193" s="55"/>
      <c r="AA193" s="54"/>
      <c r="AB193" s="53"/>
      <c r="AC193" s="34"/>
      <c r="AD193" s="66"/>
    </row>
    <row r="194" spans="1:30" s="80" customFormat="1" ht="18">
      <c r="A194" s="45"/>
      <c r="B194" s="62"/>
      <c r="C194" s="79"/>
      <c r="D194" s="78"/>
      <c r="E194" s="64"/>
      <c r="G194" s="82"/>
      <c r="H194" s="58"/>
      <c r="I194" s="58"/>
      <c r="J194" s="58"/>
      <c r="K194" s="58"/>
      <c r="L194" s="57"/>
      <c r="M194" s="57"/>
      <c r="N194" s="57"/>
      <c r="O194" s="57"/>
      <c r="P194" s="57"/>
      <c r="R194" s="56"/>
      <c r="S194" s="56"/>
      <c r="T194" s="56"/>
      <c r="U194" s="56"/>
      <c r="V194" s="56"/>
      <c r="W194" s="56"/>
      <c r="X194" s="56"/>
      <c r="Y194" s="56"/>
      <c r="Z194" s="55"/>
      <c r="AA194" s="54"/>
      <c r="AB194" s="53"/>
      <c r="AC194" s="34"/>
      <c r="AD194" s="66"/>
    </row>
    <row r="195" spans="1:30" s="80" customFormat="1">
      <c r="A195" s="45"/>
      <c r="B195" s="62"/>
      <c r="C195" s="79"/>
      <c r="D195" s="78"/>
      <c r="E195" s="64"/>
      <c r="G195" s="58"/>
      <c r="H195" s="58"/>
      <c r="I195" s="58"/>
      <c r="J195" s="58"/>
      <c r="K195" s="58"/>
      <c r="L195" s="57"/>
      <c r="M195" s="57"/>
      <c r="N195" s="57"/>
      <c r="O195" s="57"/>
      <c r="P195" s="57"/>
      <c r="R195" s="56"/>
      <c r="S195" s="56"/>
      <c r="T195" s="56"/>
      <c r="U195" s="56"/>
      <c r="V195" s="56"/>
      <c r="W195" s="56"/>
      <c r="X195" s="56"/>
      <c r="Y195" s="56"/>
      <c r="Z195" s="55"/>
      <c r="AA195" s="67"/>
      <c r="AB195" s="53"/>
      <c r="AC195" s="34"/>
      <c r="AD195" s="66"/>
    </row>
    <row r="196" spans="1:30" s="80" customFormat="1" ht="18">
      <c r="A196" s="45"/>
      <c r="B196" s="62"/>
      <c r="C196" s="79"/>
      <c r="D196" s="78"/>
      <c r="E196" s="64"/>
      <c r="G196" s="58"/>
      <c r="H196" s="58"/>
      <c r="I196" s="58"/>
      <c r="J196" s="58"/>
      <c r="K196" s="81"/>
      <c r="L196" s="57"/>
      <c r="M196" s="57"/>
      <c r="N196" s="57"/>
      <c r="O196" s="57"/>
      <c r="P196" s="57"/>
      <c r="R196" s="56"/>
      <c r="S196" s="56"/>
      <c r="T196" s="56"/>
      <c r="U196" s="56"/>
      <c r="V196" s="56"/>
      <c r="W196" s="56"/>
      <c r="X196" s="56"/>
      <c r="Y196" s="56"/>
      <c r="Z196" s="55"/>
      <c r="AA196" s="67"/>
      <c r="AB196" s="53"/>
      <c r="AC196" s="34"/>
      <c r="AD196" s="66"/>
    </row>
    <row r="197" spans="1:30" s="80" customFormat="1" ht="18">
      <c r="A197" s="45"/>
      <c r="B197" s="62"/>
      <c r="C197" s="79"/>
      <c r="D197" s="78"/>
      <c r="E197" s="64"/>
      <c r="G197" s="58"/>
      <c r="H197" s="58"/>
      <c r="I197" s="58"/>
      <c r="J197" s="58"/>
      <c r="K197" s="81"/>
      <c r="L197" s="57"/>
      <c r="M197" s="57"/>
      <c r="N197" s="57"/>
      <c r="O197" s="57"/>
      <c r="P197" s="57"/>
      <c r="R197" s="56"/>
      <c r="S197" s="56"/>
      <c r="T197" s="56"/>
      <c r="U197" s="56"/>
      <c r="V197" s="56"/>
      <c r="W197" s="56"/>
      <c r="X197" s="56"/>
      <c r="Y197" s="56"/>
      <c r="Z197" s="55"/>
      <c r="AA197" s="67"/>
      <c r="AB197" s="53"/>
      <c r="AC197" s="34"/>
      <c r="AD197" s="66"/>
    </row>
    <row r="198" spans="1:30" s="80" customFormat="1">
      <c r="A198" s="45"/>
      <c r="B198" s="62"/>
      <c r="C198" s="79"/>
      <c r="D198" s="78"/>
      <c r="E198" s="64"/>
      <c r="G198" s="58"/>
      <c r="H198" s="58"/>
      <c r="I198" s="58"/>
      <c r="J198" s="58"/>
      <c r="K198" s="58"/>
      <c r="L198" s="57"/>
      <c r="M198" s="57"/>
      <c r="N198" s="57"/>
      <c r="O198" s="57"/>
      <c r="P198" s="57"/>
      <c r="R198" s="56"/>
      <c r="S198" s="56"/>
      <c r="T198" s="56"/>
      <c r="U198" s="56"/>
      <c r="V198" s="56"/>
      <c r="W198" s="56"/>
      <c r="X198" s="56"/>
      <c r="Y198" s="56"/>
      <c r="Z198" s="55"/>
      <c r="AA198" s="67"/>
      <c r="AB198" s="53"/>
      <c r="AC198" s="34"/>
      <c r="AD198" s="66"/>
    </row>
    <row r="199" spans="1:30" s="80" customFormat="1" ht="18">
      <c r="A199" s="45"/>
      <c r="B199" s="62"/>
      <c r="C199" s="79"/>
      <c r="D199" s="78"/>
      <c r="E199" s="64"/>
      <c r="G199" s="58"/>
      <c r="H199" s="58"/>
      <c r="I199" s="58"/>
      <c r="J199" s="58"/>
      <c r="K199" s="81"/>
      <c r="L199" s="57"/>
      <c r="M199" s="57"/>
      <c r="N199" s="57"/>
      <c r="O199" s="57"/>
      <c r="P199" s="57"/>
      <c r="R199" s="56"/>
      <c r="S199" s="56"/>
      <c r="T199" s="56"/>
      <c r="U199" s="56"/>
      <c r="V199" s="56"/>
      <c r="W199" s="56"/>
      <c r="X199" s="56"/>
      <c r="Y199" s="56"/>
      <c r="Z199" s="55"/>
      <c r="AA199" s="67"/>
      <c r="AB199" s="53"/>
      <c r="AC199" s="34"/>
      <c r="AD199" s="66"/>
    </row>
    <row r="200" spans="1:30">
      <c r="A200" s="45"/>
      <c r="B200" s="62"/>
      <c r="C200" s="79"/>
      <c r="D200" s="78"/>
      <c r="E200" s="64"/>
      <c r="G200" s="58"/>
      <c r="H200" s="58"/>
      <c r="I200" s="58"/>
      <c r="J200" s="58"/>
      <c r="K200" s="58"/>
      <c r="L200" s="57"/>
      <c r="M200" s="57"/>
      <c r="N200" s="57"/>
      <c r="O200" s="57"/>
      <c r="P200" s="57"/>
      <c r="R200" s="56"/>
      <c r="S200" s="56"/>
      <c r="T200" s="56"/>
      <c r="U200" s="56"/>
      <c r="V200" s="56"/>
      <c r="W200" s="56"/>
      <c r="X200" s="56"/>
      <c r="Y200" s="56"/>
      <c r="Z200" s="55"/>
      <c r="AA200" s="67"/>
      <c r="AB200" s="53"/>
      <c r="AC200" s="34"/>
      <c r="AD200" s="66"/>
    </row>
    <row r="201" spans="1:30">
      <c r="A201" s="45"/>
      <c r="B201" s="62"/>
      <c r="C201" s="79"/>
      <c r="D201" s="78"/>
      <c r="E201" s="64"/>
      <c r="G201" s="58"/>
      <c r="H201" s="58"/>
      <c r="I201" s="58"/>
      <c r="J201" s="58"/>
      <c r="K201" s="58"/>
      <c r="L201" s="57"/>
      <c r="M201" s="57"/>
      <c r="N201" s="57"/>
      <c r="O201" s="57"/>
      <c r="P201" s="57"/>
      <c r="R201" s="56"/>
      <c r="S201" s="56"/>
      <c r="T201" s="56"/>
      <c r="U201" s="56"/>
      <c r="V201" s="56"/>
      <c r="W201" s="56"/>
      <c r="X201" s="56"/>
      <c r="Y201" s="56"/>
      <c r="Z201" s="55"/>
      <c r="AA201" s="54"/>
      <c r="AB201" s="53"/>
      <c r="AC201" s="34"/>
      <c r="AD201" s="66"/>
    </row>
    <row r="202" spans="1:30">
      <c r="A202" s="45"/>
      <c r="B202" s="62"/>
      <c r="C202" s="79"/>
      <c r="D202" s="78"/>
      <c r="E202" s="64"/>
      <c r="G202" s="58"/>
      <c r="H202" s="58"/>
      <c r="I202" s="58"/>
      <c r="J202" s="58"/>
      <c r="K202" s="58"/>
      <c r="L202" s="57"/>
      <c r="M202" s="57"/>
      <c r="N202" s="57"/>
      <c r="O202" s="57"/>
      <c r="P202" s="57"/>
      <c r="R202" s="56"/>
      <c r="S202" s="56"/>
      <c r="T202" s="56"/>
      <c r="U202" s="56"/>
      <c r="V202" s="56"/>
      <c r="W202" s="56"/>
      <c r="X202" s="56"/>
      <c r="Y202" s="56"/>
      <c r="Z202" s="55"/>
      <c r="AA202" s="54"/>
      <c r="AB202" s="53"/>
      <c r="AC202" s="34"/>
      <c r="AD202" s="66"/>
    </row>
    <row r="203" spans="1:30">
      <c r="A203" s="45"/>
      <c r="B203" s="62"/>
      <c r="C203" s="79"/>
      <c r="D203" s="78"/>
      <c r="E203" s="64"/>
      <c r="G203" s="58"/>
      <c r="H203" s="58"/>
      <c r="I203" s="58"/>
      <c r="J203" s="58"/>
      <c r="K203" s="58"/>
      <c r="L203" s="57"/>
      <c r="M203" s="57"/>
      <c r="N203" s="57"/>
      <c r="O203" s="57"/>
      <c r="P203" s="57"/>
      <c r="R203" s="56"/>
      <c r="S203" s="56"/>
      <c r="T203" s="56"/>
      <c r="U203" s="56"/>
      <c r="V203" s="56"/>
      <c r="W203" s="56"/>
      <c r="X203" s="56"/>
      <c r="Y203" s="56"/>
      <c r="Z203" s="55"/>
      <c r="AA203" s="54"/>
      <c r="AB203" s="53"/>
      <c r="AC203" s="34"/>
      <c r="AD203" s="66"/>
    </row>
    <row r="204" spans="1:30">
      <c r="A204" s="45"/>
      <c r="B204" s="62"/>
      <c r="C204" s="79"/>
      <c r="D204" s="78"/>
      <c r="E204" s="64"/>
      <c r="G204" s="58"/>
      <c r="H204" s="58"/>
      <c r="I204" s="58"/>
      <c r="J204" s="58"/>
      <c r="K204" s="58"/>
      <c r="L204" s="57"/>
      <c r="M204" s="57"/>
      <c r="N204" s="57"/>
      <c r="O204" s="57"/>
      <c r="P204" s="57"/>
      <c r="R204" s="56"/>
      <c r="S204" s="56"/>
      <c r="T204" s="56"/>
      <c r="U204" s="56"/>
      <c r="V204" s="56"/>
      <c r="W204" s="56"/>
      <c r="X204" s="56"/>
      <c r="Y204" s="56"/>
      <c r="Z204" s="55"/>
      <c r="AA204" s="54"/>
      <c r="AB204" s="53"/>
      <c r="AC204" s="34"/>
      <c r="AD204" s="66"/>
    </row>
    <row r="205" spans="1:30">
      <c r="A205" s="45"/>
      <c r="B205" s="62"/>
      <c r="C205" s="79"/>
      <c r="D205" s="78"/>
      <c r="E205" s="64"/>
      <c r="G205" s="58"/>
      <c r="H205" s="58"/>
      <c r="I205" s="58"/>
      <c r="J205" s="58"/>
      <c r="K205" s="58"/>
      <c r="L205" s="57"/>
      <c r="M205" s="57"/>
      <c r="N205" s="57"/>
      <c r="O205" s="57"/>
      <c r="P205" s="57"/>
      <c r="R205" s="56"/>
      <c r="S205" s="56"/>
      <c r="T205" s="56"/>
      <c r="U205" s="56"/>
      <c r="V205" s="56"/>
      <c r="W205" s="56"/>
      <c r="X205" s="56"/>
      <c r="Y205" s="56"/>
      <c r="Z205" s="55"/>
      <c r="AA205" s="54"/>
      <c r="AB205" s="53"/>
      <c r="AC205" s="34"/>
      <c r="AD205" s="66"/>
    </row>
    <row r="206" spans="1:30">
      <c r="A206" s="45"/>
      <c r="B206" s="62"/>
      <c r="C206" s="79"/>
      <c r="D206" s="78"/>
      <c r="E206" s="64"/>
      <c r="G206" s="58"/>
      <c r="H206" s="58"/>
      <c r="I206" s="58"/>
      <c r="J206" s="58"/>
      <c r="K206" s="58"/>
      <c r="L206" s="57"/>
      <c r="M206" s="57"/>
      <c r="N206" s="57"/>
      <c r="O206" s="57"/>
      <c r="P206" s="57"/>
      <c r="R206" s="56"/>
      <c r="S206" s="56"/>
      <c r="T206" s="56"/>
      <c r="U206" s="56"/>
      <c r="V206" s="56"/>
      <c r="W206" s="56"/>
      <c r="X206" s="56"/>
      <c r="Y206" s="56"/>
      <c r="Z206" s="55"/>
      <c r="AA206" s="54"/>
      <c r="AB206" s="53"/>
      <c r="AC206" s="34"/>
      <c r="AD206" s="66"/>
    </row>
    <row r="207" spans="1:30">
      <c r="A207" s="45"/>
      <c r="B207" s="62"/>
      <c r="C207" s="79"/>
      <c r="D207" s="78"/>
      <c r="E207" s="64"/>
      <c r="G207" s="58"/>
      <c r="H207" s="58"/>
      <c r="I207" s="58"/>
      <c r="J207" s="58"/>
      <c r="K207" s="58"/>
      <c r="L207" s="57"/>
      <c r="M207" s="57"/>
      <c r="N207" s="57"/>
      <c r="O207" s="57"/>
      <c r="P207" s="57"/>
      <c r="R207" s="56"/>
      <c r="S207" s="56"/>
      <c r="T207" s="56"/>
      <c r="U207" s="56"/>
      <c r="V207" s="56"/>
      <c r="W207" s="56"/>
      <c r="X207" s="56"/>
      <c r="Y207" s="56"/>
      <c r="Z207" s="55"/>
      <c r="AA207" s="54"/>
      <c r="AB207" s="53"/>
      <c r="AC207" s="34"/>
      <c r="AD207" s="66"/>
    </row>
    <row r="208" spans="1:30">
      <c r="A208" s="45"/>
      <c r="B208" s="62"/>
      <c r="C208" s="79"/>
      <c r="D208" s="78"/>
      <c r="E208" s="64"/>
      <c r="G208" s="58"/>
      <c r="H208" s="58"/>
      <c r="I208" s="58"/>
      <c r="J208" s="58"/>
      <c r="K208" s="58"/>
      <c r="L208" s="57"/>
      <c r="M208" s="57"/>
      <c r="N208" s="57"/>
      <c r="O208" s="57"/>
      <c r="P208" s="57"/>
      <c r="R208" s="56"/>
      <c r="S208" s="56"/>
      <c r="T208" s="56"/>
      <c r="U208" s="56"/>
      <c r="V208" s="56"/>
      <c r="W208" s="56"/>
      <c r="X208" s="56"/>
      <c r="Y208" s="56"/>
      <c r="Z208" s="55"/>
      <c r="AA208" s="54"/>
      <c r="AB208" s="53"/>
      <c r="AC208" s="34"/>
      <c r="AD208" s="66"/>
    </row>
    <row r="209" spans="1:30">
      <c r="A209" s="45"/>
      <c r="B209" s="62"/>
      <c r="C209" s="79"/>
      <c r="D209" s="78"/>
      <c r="E209" s="64"/>
      <c r="G209" s="58"/>
      <c r="H209" s="58"/>
      <c r="I209" s="58"/>
      <c r="J209" s="58"/>
      <c r="K209" s="58"/>
      <c r="L209" s="57"/>
      <c r="M209" s="57"/>
      <c r="N209" s="57"/>
      <c r="O209" s="57"/>
      <c r="P209" s="57"/>
      <c r="R209" s="56"/>
      <c r="S209" s="56"/>
      <c r="T209" s="56"/>
      <c r="U209" s="56"/>
      <c r="V209" s="56"/>
      <c r="W209" s="56"/>
      <c r="X209" s="56"/>
      <c r="Y209" s="56"/>
      <c r="Z209" s="55"/>
      <c r="AA209" s="54"/>
      <c r="AB209" s="53"/>
      <c r="AC209" s="34"/>
      <c r="AD209" s="66"/>
    </row>
    <row r="210" spans="1:30">
      <c r="A210" s="45"/>
      <c r="B210" s="62"/>
      <c r="C210" s="79"/>
      <c r="D210" s="78"/>
      <c r="E210" s="64"/>
      <c r="G210" s="58"/>
      <c r="H210" s="58"/>
      <c r="I210" s="58"/>
      <c r="J210" s="58"/>
      <c r="K210" s="58"/>
      <c r="L210" s="57"/>
      <c r="M210" s="57"/>
      <c r="N210" s="57"/>
      <c r="O210" s="57"/>
      <c r="P210" s="57"/>
      <c r="R210" s="56"/>
      <c r="S210" s="56"/>
      <c r="T210" s="56"/>
      <c r="U210" s="56"/>
      <c r="V210" s="56"/>
      <c r="W210" s="56"/>
      <c r="X210" s="56"/>
      <c r="Y210" s="56"/>
      <c r="Z210" s="55"/>
      <c r="AA210" s="54"/>
      <c r="AB210" s="53"/>
      <c r="AC210" s="34"/>
      <c r="AD210" s="66"/>
    </row>
    <row r="211" spans="1:30">
      <c r="A211" s="45"/>
      <c r="B211" s="62"/>
      <c r="C211" s="79"/>
      <c r="D211" s="78"/>
      <c r="E211" s="64"/>
      <c r="G211" s="58"/>
      <c r="H211" s="58"/>
      <c r="I211" s="58"/>
      <c r="J211" s="58"/>
      <c r="K211" s="58"/>
      <c r="L211" s="57"/>
      <c r="M211" s="57"/>
      <c r="N211" s="57"/>
      <c r="O211" s="57"/>
      <c r="P211" s="57"/>
      <c r="R211" s="56"/>
      <c r="S211" s="56"/>
      <c r="T211" s="56"/>
      <c r="U211" s="56"/>
      <c r="V211" s="56"/>
      <c r="W211" s="56"/>
      <c r="X211" s="56"/>
      <c r="Y211" s="56"/>
      <c r="Z211" s="55"/>
      <c r="AA211" s="54"/>
      <c r="AB211" s="53"/>
      <c r="AC211" s="34"/>
      <c r="AD211" s="66"/>
    </row>
    <row r="212" spans="1:30">
      <c r="A212" s="45"/>
      <c r="B212" s="62"/>
      <c r="C212" s="79"/>
      <c r="D212" s="78"/>
      <c r="E212" s="64"/>
      <c r="G212" s="58"/>
      <c r="H212" s="58"/>
      <c r="I212" s="58"/>
      <c r="J212" s="58"/>
      <c r="K212" s="58"/>
      <c r="L212" s="57"/>
      <c r="M212" s="57"/>
      <c r="N212" s="57"/>
      <c r="O212" s="57"/>
      <c r="P212" s="57"/>
      <c r="R212" s="56"/>
      <c r="S212" s="56"/>
      <c r="T212" s="56"/>
      <c r="U212" s="56"/>
      <c r="V212" s="56"/>
      <c r="W212" s="56"/>
      <c r="X212" s="56"/>
      <c r="Y212" s="56"/>
      <c r="Z212" s="55"/>
      <c r="AA212" s="54"/>
      <c r="AB212" s="53"/>
      <c r="AC212" s="34"/>
      <c r="AD212" s="66"/>
    </row>
    <row r="213" spans="1:30">
      <c r="A213" s="70"/>
      <c r="B213" s="62"/>
      <c r="C213" s="79"/>
      <c r="D213" s="78"/>
      <c r="E213" s="64"/>
      <c r="G213" s="58"/>
      <c r="H213" s="58"/>
      <c r="I213" s="58"/>
      <c r="J213" s="58"/>
      <c r="K213" s="58"/>
      <c r="L213" s="57"/>
      <c r="M213" s="57"/>
      <c r="N213" s="57"/>
      <c r="O213" s="57"/>
      <c r="P213" s="57"/>
      <c r="R213" s="56"/>
      <c r="S213" s="56"/>
      <c r="T213" s="56"/>
      <c r="U213" s="56"/>
      <c r="V213" s="56"/>
      <c r="W213" s="56"/>
      <c r="X213" s="56"/>
      <c r="Y213" s="56"/>
      <c r="Z213" s="55"/>
      <c r="AA213" s="54"/>
      <c r="AB213" s="53"/>
      <c r="AC213" s="34"/>
      <c r="AD213" s="66"/>
    </row>
    <row r="214" spans="1:30">
      <c r="A214" s="70"/>
      <c r="B214" s="62"/>
      <c r="C214" s="79"/>
      <c r="D214" s="78"/>
      <c r="E214" s="64"/>
      <c r="G214" s="58"/>
      <c r="H214" s="58"/>
      <c r="I214" s="58"/>
      <c r="J214" s="58"/>
      <c r="K214" s="58"/>
      <c r="L214" s="57"/>
      <c r="M214" s="57"/>
      <c r="N214" s="57"/>
      <c r="O214" s="57"/>
      <c r="P214" s="57"/>
      <c r="R214" s="56"/>
      <c r="S214" s="56"/>
      <c r="T214" s="56"/>
      <c r="U214" s="56"/>
      <c r="V214" s="56"/>
      <c r="W214" s="56"/>
      <c r="X214" s="56"/>
      <c r="Y214" s="56"/>
      <c r="Z214" s="55"/>
      <c r="AA214" s="54"/>
      <c r="AB214" s="53"/>
      <c r="AC214" s="34"/>
      <c r="AD214" s="66"/>
    </row>
    <row r="215" spans="1:30">
      <c r="A215" s="70"/>
      <c r="B215" s="62"/>
      <c r="C215" s="79"/>
      <c r="D215" s="78"/>
      <c r="E215" s="64"/>
      <c r="G215" s="58"/>
      <c r="H215" s="58"/>
      <c r="I215" s="58"/>
      <c r="J215" s="58"/>
      <c r="K215" s="58"/>
      <c r="L215" s="57"/>
      <c r="M215" s="57"/>
      <c r="N215" s="57"/>
      <c r="O215" s="57"/>
      <c r="P215" s="57"/>
      <c r="R215" s="56"/>
      <c r="S215" s="56"/>
      <c r="T215" s="56"/>
      <c r="U215" s="56"/>
      <c r="V215" s="56"/>
      <c r="W215" s="56"/>
      <c r="X215" s="56"/>
      <c r="Y215" s="56"/>
      <c r="Z215" s="55"/>
      <c r="AA215" s="54"/>
      <c r="AB215" s="53"/>
      <c r="AC215" s="34"/>
      <c r="AD215" s="66"/>
    </row>
    <row r="216" spans="1:30">
      <c r="A216" s="70"/>
      <c r="B216" s="62"/>
      <c r="C216" s="79"/>
      <c r="D216" s="78"/>
      <c r="E216" s="64"/>
      <c r="G216" s="58"/>
      <c r="H216" s="58"/>
      <c r="I216" s="58"/>
      <c r="J216" s="58"/>
      <c r="K216" s="58"/>
      <c r="L216" s="57"/>
      <c r="M216" s="57"/>
      <c r="N216" s="57"/>
      <c r="O216" s="57"/>
      <c r="P216" s="57"/>
      <c r="R216" s="56"/>
      <c r="S216" s="56"/>
      <c r="T216" s="56"/>
      <c r="U216" s="56"/>
      <c r="V216" s="56"/>
      <c r="W216" s="56"/>
      <c r="X216" s="56"/>
      <c r="Y216" s="56"/>
      <c r="Z216" s="55"/>
      <c r="AA216" s="54"/>
      <c r="AB216" s="53"/>
      <c r="AC216" s="34"/>
      <c r="AD216" s="66"/>
    </row>
    <row r="217" spans="1:30">
      <c r="A217" s="70"/>
      <c r="B217" s="62"/>
      <c r="C217" s="79"/>
      <c r="D217" s="78"/>
      <c r="E217" s="64"/>
      <c r="G217" s="58"/>
      <c r="H217" s="58"/>
      <c r="I217" s="58"/>
      <c r="J217" s="58"/>
      <c r="K217" s="58"/>
      <c r="L217" s="57"/>
      <c r="M217" s="57"/>
      <c r="N217" s="57"/>
      <c r="O217" s="57"/>
      <c r="P217" s="57"/>
      <c r="R217" s="56"/>
      <c r="S217" s="56"/>
      <c r="T217" s="56"/>
      <c r="U217" s="56"/>
      <c r="V217" s="56"/>
      <c r="W217" s="56"/>
      <c r="X217" s="56"/>
      <c r="Y217" s="56"/>
      <c r="Z217" s="55"/>
      <c r="AA217" s="54"/>
      <c r="AB217" s="53"/>
      <c r="AC217" s="34"/>
      <c r="AD217" s="66"/>
    </row>
    <row r="218" spans="1:30">
      <c r="A218" s="70"/>
      <c r="B218" s="62"/>
      <c r="C218" s="79"/>
      <c r="D218" s="78"/>
      <c r="E218" s="64"/>
      <c r="G218" s="58"/>
      <c r="H218" s="58"/>
      <c r="I218" s="58"/>
      <c r="J218" s="58"/>
      <c r="K218" s="58"/>
      <c r="L218" s="57"/>
      <c r="M218" s="57"/>
      <c r="N218" s="57"/>
      <c r="O218" s="57"/>
      <c r="P218" s="57"/>
      <c r="R218" s="56"/>
      <c r="S218" s="56"/>
      <c r="T218" s="56"/>
      <c r="U218" s="56"/>
      <c r="V218" s="56"/>
      <c r="W218" s="56"/>
      <c r="X218" s="56"/>
      <c r="Y218" s="56"/>
      <c r="Z218" s="55"/>
      <c r="AA218" s="54"/>
      <c r="AB218" s="53"/>
      <c r="AC218" s="34"/>
      <c r="AD218" s="66"/>
    </row>
    <row r="219" spans="1:30">
      <c r="A219" s="70"/>
      <c r="B219" s="62"/>
      <c r="C219" s="79"/>
      <c r="D219" s="78"/>
      <c r="E219" s="64"/>
      <c r="G219" s="58"/>
      <c r="H219" s="58"/>
      <c r="I219" s="58"/>
      <c r="J219" s="58"/>
      <c r="K219" s="58"/>
      <c r="L219" s="57"/>
      <c r="M219" s="57"/>
      <c r="N219" s="57"/>
      <c r="O219" s="57"/>
      <c r="P219" s="57"/>
      <c r="R219" s="56"/>
      <c r="S219" s="56"/>
      <c r="T219" s="56"/>
      <c r="U219" s="56"/>
      <c r="V219" s="56"/>
      <c r="W219" s="56"/>
      <c r="X219" s="56"/>
      <c r="Y219" s="56"/>
      <c r="Z219" s="55"/>
      <c r="AA219" s="54"/>
      <c r="AB219" s="53"/>
      <c r="AC219" s="34"/>
      <c r="AD219" s="66"/>
    </row>
    <row r="220" spans="1:30">
      <c r="A220" s="70"/>
      <c r="B220" s="62"/>
      <c r="C220" s="79"/>
      <c r="D220" s="78"/>
      <c r="E220" s="64"/>
      <c r="G220" s="58"/>
      <c r="H220" s="58"/>
      <c r="I220" s="58"/>
      <c r="J220" s="58"/>
      <c r="K220" s="58"/>
      <c r="L220" s="57"/>
      <c r="M220" s="57"/>
      <c r="N220" s="57"/>
      <c r="O220" s="57"/>
      <c r="P220" s="57"/>
      <c r="R220" s="56"/>
      <c r="S220" s="56"/>
      <c r="T220" s="56"/>
      <c r="U220" s="56"/>
      <c r="V220" s="56"/>
      <c r="W220" s="56"/>
      <c r="X220" s="56"/>
      <c r="Y220" s="56"/>
      <c r="Z220" s="55"/>
      <c r="AA220" s="54"/>
      <c r="AB220" s="53"/>
      <c r="AC220" s="34"/>
      <c r="AD220" s="66"/>
    </row>
    <row r="221" spans="1:30">
      <c r="A221" s="70"/>
      <c r="B221" s="62"/>
      <c r="C221" s="79"/>
      <c r="D221" s="78"/>
      <c r="E221" s="64"/>
      <c r="G221" s="58"/>
      <c r="H221" s="58"/>
      <c r="I221" s="58"/>
      <c r="J221" s="58"/>
      <c r="K221" s="58"/>
      <c r="L221" s="57"/>
      <c r="M221" s="57"/>
      <c r="N221" s="57"/>
      <c r="O221" s="57"/>
      <c r="P221" s="57"/>
      <c r="R221" s="56"/>
      <c r="S221" s="56"/>
      <c r="T221" s="56"/>
      <c r="U221" s="56"/>
      <c r="V221" s="56"/>
      <c r="W221" s="56"/>
      <c r="X221" s="56"/>
      <c r="Y221" s="56"/>
      <c r="Z221" s="55"/>
      <c r="AA221" s="54"/>
      <c r="AB221" s="53"/>
      <c r="AC221" s="34"/>
      <c r="AD221" s="66"/>
    </row>
    <row r="222" spans="1:30">
      <c r="A222" s="70"/>
      <c r="B222" s="62"/>
      <c r="C222" s="79"/>
      <c r="D222" s="78"/>
      <c r="E222" s="64"/>
      <c r="G222" s="58"/>
      <c r="H222" s="58"/>
      <c r="I222" s="58"/>
      <c r="J222" s="58"/>
      <c r="K222" s="58"/>
      <c r="L222" s="57"/>
      <c r="M222" s="57"/>
      <c r="N222" s="57"/>
      <c r="O222" s="57"/>
      <c r="P222" s="57"/>
      <c r="R222" s="56"/>
      <c r="S222" s="56"/>
      <c r="T222" s="56"/>
      <c r="U222" s="56"/>
      <c r="V222" s="56"/>
      <c r="W222" s="56"/>
      <c r="X222" s="56"/>
      <c r="Y222" s="56"/>
      <c r="Z222" s="55"/>
      <c r="AA222" s="54"/>
      <c r="AB222" s="53"/>
      <c r="AC222" s="34"/>
      <c r="AD222" s="66"/>
    </row>
    <row r="223" spans="1:30">
      <c r="A223" s="70"/>
      <c r="B223" s="62"/>
      <c r="C223" s="79"/>
      <c r="D223" s="78"/>
      <c r="E223" s="64"/>
      <c r="G223" s="58"/>
      <c r="H223" s="58"/>
      <c r="I223" s="58"/>
      <c r="J223" s="58"/>
      <c r="K223" s="58"/>
      <c r="L223" s="57"/>
      <c r="M223" s="57"/>
      <c r="N223" s="57"/>
      <c r="O223" s="57"/>
      <c r="P223" s="57"/>
      <c r="R223" s="56"/>
      <c r="S223" s="56"/>
      <c r="T223" s="56"/>
      <c r="U223" s="56"/>
      <c r="V223" s="56"/>
      <c r="W223" s="56"/>
      <c r="X223" s="56"/>
      <c r="Y223" s="56"/>
      <c r="Z223" s="55"/>
      <c r="AA223" s="54"/>
      <c r="AB223" s="53"/>
      <c r="AC223" s="34"/>
      <c r="AD223" s="66"/>
    </row>
    <row r="224" spans="1:30">
      <c r="A224" s="70"/>
      <c r="B224" s="62"/>
      <c r="C224" s="79"/>
      <c r="D224" s="78"/>
      <c r="E224" s="64"/>
      <c r="G224" s="58"/>
      <c r="H224" s="58"/>
      <c r="I224" s="58"/>
      <c r="J224" s="58"/>
      <c r="K224" s="58"/>
      <c r="L224" s="57"/>
      <c r="M224" s="57"/>
      <c r="N224" s="57"/>
      <c r="O224" s="57"/>
      <c r="P224" s="57"/>
      <c r="R224" s="56"/>
      <c r="S224" s="56"/>
      <c r="T224" s="56"/>
      <c r="U224" s="56"/>
      <c r="V224" s="56"/>
      <c r="W224" s="56"/>
      <c r="X224" s="56"/>
      <c r="Y224" s="56"/>
      <c r="Z224" s="55"/>
      <c r="AA224" s="54"/>
      <c r="AB224" s="53"/>
      <c r="AC224" s="34"/>
      <c r="AD224" s="66"/>
    </row>
    <row r="225" spans="1:30">
      <c r="A225" s="70"/>
      <c r="B225" s="62"/>
      <c r="C225" s="79"/>
      <c r="D225" s="78"/>
      <c r="E225" s="64"/>
      <c r="G225" s="58"/>
      <c r="H225" s="58"/>
      <c r="I225" s="58"/>
      <c r="J225" s="58"/>
      <c r="K225" s="58"/>
      <c r="L225" s="57"/>
      <c r="M225" s="57"/>
      <c r="N225" s="57"/>
      <c r="O225" s="57"/>
      <c r="P225" s="57"/>
      <c r="R225" s="56"/>
      <c r="S225" s="56"/>
      <c r="T225" s="56"/>
      <c r="U225" s="56"/>
      <c r="V225" s="56"/>
      <c r="W225" s="56"/>
      <c r="X225" s="56"/>
      <c r="Y225" s="56"/>
      <c r="Z225" s="55"/>
      <c r="AA225" s="54"/>
      <c r="AB225" s="53"/>
      <c r="AC225" s="34"/>
      <c r="AD225" s="66"/>
    </row>
    <row r="226" spans="1:30">
      <c r="A226" s="70"/>
      <c r="B226" s="62"/>
      <c r="C226" s="79"/>
      <c r="D226" s="78"/>
      <c r="E226" s="64"/>
      <c r="G226" s="58"/>
      <c r="H226" s="58"/>
      <c r="I226" s="58"/>
      <c r="J226" s="58"/>
      <c r="K226" s="58"/>
      <c r="L226" s="57"/>
      <c r="M226" s="57"/>
      <c r="N226" s="57"/>
      <c r="O226" s="57"/>
      <c r="P226" s="57"/>
      <c r="R226" s="56"/>
      <c r="S226" s="56"/>
      <c r="T226" s="56"/>
      <c r="U226" s="56"/>
      <c r="V226" s="56"/>
      <c r="W226" s="56"/>
      <c r="X226" s="56"/>
      <c r="Y226" s="56"/>
      <c r="Z226" s="55"/>
      <c r="AA226" s="54"/>
      <c r="AB226" s="53"/>
      <c r="AC226" s="34"/>
      <c r="AD226" s="66"/>
    </row>
    <row r="227" spans="1:30">
      <c r="A227" s="70"/>
      <c r="B227" s="62"/>
      <c r="C227" s="79"/>
      <c r="D227" s="78"/>
      <c r="E227" s="64"/>
      <c r="G227" s="58"/>
      <c r="H227" s="58"/>
      <c r="I227" s="58"/>
      <c r="J227" s="58"/>
      <c r="K227" s="58"/>
      <c r="L227" s="57"/>
      <c r="M227" s="57"/>
      <c r="N227" s="57"/>
      <c r="O227" s="57"/>
      <c r="P227" s="57"/>
      <c r="R227" s="56"/>
      <c r="S227" s="56"/>
      <c r="T227" s="56"/>
      <c r="U227" s="56"/>
      <c r="V227" s="56"/>
      <c r="W227" s="56"/>
      <c r="X227" s="56"/>
      <c r="Y227" s="56"/>
      <c r="Z227" s="55"/>
      <c r="AA227" s="54"/>
      <c r="AB227" s="53"/>
      <c r="AC227" s="34"/>
      <c r="AD227" s="66"/>
    </row>
    <row r="228" spans="1:30">
      <c r="A228" s="70"/>
      <c r="B228" s="62"/>
      <c r="C228" s="79"/>
      <c r="D228" s="78"/>
      <c r="E228" s="64"/>
      <c r="G228" s="58"/>
      <c r="H228" s="58"/>
      <c r="I228" s="58"/>
      <c r="J228" s="58"/>
      <c r="K228" s="58"/>
      <c r="L228" s="57"/>
      <c r="M228" s="57"/>
      <c r="N228" s="57"/>
      <c r="O228" s="57"/>
      <c r="P228" s="57"/>
      <c r="R228" s="56"/>
      <c r="S228" s="56"/>
      <c r="T228" s="56"/>
      <c r="U228" s="56"/>
      <c r="V228" s="56"/>
      <c r="W228" s="56"/>
      <c r="X228" s="56"/>
      <c r="Y228" s="56"/>
      <c r="Z228" s="55"/>
      <c r="AA228" s="54"/>
      <c r="AB228" s="53"/>
      <c r="AC228" s="34"/>
      <c r="AD228" s="66"/>
    </row>
    <row r="229" spans="1:30">
      <c r="A229" s="70"/>
      <c r="B229" s="62"/>
      <c r="C229" s="79"/>
      <c r="D229" s="78"/>
      <c r="E229" s="64"/>
      <c r="G229" s="58"/>
      <c r="H229" s="58"/>
      <c r="I229" s="58"/>
      <c r="J229" s="58"/>
      <c r="K229" s="58"/>
      <c r="L229" s="57"/>
      <c r="M229" s="57"/>
      <c r="N229" s="57"/>
      <c r="O229" s="57"/>
      <c r="P229" s="57"/>
      <c r="R229" s="56"/>
      <c r="S229" s="56"/>
      <c r="T229" s="56"/>
      <c r="U229" s="56"/>
      <c r="V229" s="56"/>
      <c r="W229" s="56"/>
      <c r="X229" s="56"/>
      <c r="Y229" s="56"/>
      <c r="Z229" s="55"/>
      <c r="AA229" s="54"/>
      <c r="AB229" s="53"/>
      <c r="AC229" s="34"/>
      <c r="AD229" s="66"/>
    </row>
    <row r="230" spans="1:30">
      <c r="A230" s="70"/>
      <c r="B230" s="62"/>
      <c r="C230" s="79"/>
      <c r="D230" s="78"/>
      <c r="E230" s="64"/>
      <c r="G230" s="58"/>
      <c r="H230" s="58"/>
      <c r="I230" s="58"/>
      <c r="J230" s="58"/>
      <c r="K230" s="58"/>
      <c r="L230" s="57"/>
      <c r="M230" s="57"/>
      <c r="N230" s="57"/>
      <c r="O230" s="57"/>
      <c r="P230" s="57"/>
      <c r="R230" s="56"/>
      <c r="S230" s="56"/>
      <c r="T230" s="56"/>
      <c r="U230" s="56"/>
      <c r="V230" s="56"/>
      <c r="W230" s="56"/>
      <c r="X230" s="56"/>
      <c r="Y230" s="56"/>
      <c r="Z230" s="55"/>
      <c r="AA230" s="54"/>
      <c r="AB230" s="53"/>
      <c r="AC230" s="34"/>
      <c r="AD230" s="66"/>
    </row>
    <row r="231" spans="1:30">
      <c r="A231" s="70"/>
      <c r="B231" s="62"/>
      <c r="C231" s="79"/>
      <c r="D231" s="78"/>
      <c r="E231" s="64"/>
      <c r="G231" s="58"/>
      <c r="H231" s="58"/>
      <c r="I231" s="58"/>
      <c r="J231" s="58"/>
      <c r="K231" s="58"/>
      <c r="L231" s="57"/>
      <c r="M231" s="57"/>
      <c r="N231" s="57"/>
      <c r="O231" s="57"/>
      <c r="P231" s="57"/>
      <c r="R231" s="56"/>
      <c r="S231" s="56"/>
      <c r="T231" s="56"/>
      <c r="U231" s="56"/>
      <c r="V231" s="56"/>
      <c r="W231" s="56"/>
      <c r="X231" s="56"/>
      <c r="Y231" s="56"/>
      <c r="Z231" s="55"/>
      <c r="AA231" s="54"/>
      <c r="AB231" s="53"/>
      <c r="AC231" s="34"/>
      <c r="AD231" s="66"/>
    </row>
    <row r="232" spans="1:30">
      <c r="A232" s="70"/>
      <c r="B232" s="62"/>
      <c r="C232" s="79"/>
      <c r="D232" s="78"/>
      <c r="E232" s="64"/>
      <c r="G232" s="58"/>
      <c r="H232" s="58"/>
      <c r="I232" s="58"/>
      <c r="J232" s="58"/>
      <c r="K232" s="58"/>
      <c r="L232" s="57"/>
      <c r="M232" s="57"/>
      <c r="N232" s="57"/>
      <c r="O232" s="57"/>
      <c r="P232" s="57"/>
      <c r="R232" s="56"/>
      <c r="S232" s="56"/>
      <c r="T232" s="56"/>
      <c r="U232" s="56"/>
      <c r="V232" s="56"/>
      <c r="W232" s="56"/>
      <c r="X232" s="56"/>
      <c r="Y232" s="56"/>
      <c r="Z232" s="55"/>
      <c r="AA232" s="54"/>
      <c r="AB232" s="53"/>
      <c r="AC232" s="34"/>
      <c r="AD232" s="66"/>
    </row>
    <row r="233" spans="1:30">
      <c r="A233" s="70"/>
      <c r="B233" s="62"/>
      <c r="C233" s="79"/>
      <c r="D233" s="78"/>
      <c r="E233" s="64"/>
      <c r="G233" s="58"/>
      <c r="H233" s="58"/>
      <c r="I233" s="58"/>
      <c r="J233" s="58"/>
      <c r="K233" s="58"/>
      <c r="L233" s="57"/>
      <c r="M233" s="57"/>
      <c r="N233" s="57"/>
      <c r="O233" s="57"/>
      <c r="P233" s="57"/>
      <c r="R233" s="56"/>
      <c r="S233" s="56"/>
      <c r="T233" s="56"/>
      <c r="U233" s="56"/>
      <c r="V233" s="56"/>
      <c r="W233" s="56"/>
      <c r="X233" s="56"/>
      <c r="Y233" s="56"/>
      <c r="Z233" s="55"/>
      <c r="AA233" s="54"/>
      <c r="AB233" s="53"/>
      <c r="AC233" s="34"/>
      <c r="AD233" s="66"/>
    </row>
    <row r="234" spans="1:30">
      <c r="A234" s="70"/>
      <c r="B234" s="62"/>
      <c r="C234" s="79"/>
      <c r="D234" s="78"/>
      <c r="E234" s="64"/>
      <c r="G234" s="58"/>
      <c r="H234" s="58"/>
      <c r="I234" s="58"/>
      <c r="J234" s="58"/>
      <c r="K234" s="58"/>
      <c r="L234" s="57"/>
      <c r="M234" s="57"/>
      <c r="N234" s="57"/>
      <c r="O234" s="57"/>
      <c r="P234" s="57"/>
      <c r="R234" s="56"/>
      <c r="S234" s="56"/>
      <c r="T234" s="56"/>
      <c r="U234" s="56"/>
      <c r="V234" s="56"/>
      <c r="W234" s="56"/>
      <c r="X234" s="56"/>
      <c r="Y234" s="56"/>
      <c r="Z234" s="55"/>
      <c r="AA234" s="54"/>
      <c r="AB234" s="53"/>
      <c r="AC234" s="34"/>
      <c r="AD234" s="66"/>
    </row>
    <row r="235" spans="1:30">
      <c r="A235" s="70"/>
      <c r="B235" s="62"/>
      <c r="C235" s="79"/>
      <c r="D235" s="78"/>
      <c r="E235" s="64"/>
      <c r="G235" s="58"/>
      <c r="H235" s="58"/>
      <c r="I235" s="58"/>
      <c r="J235" s="58"/>
      <c r="K235" s="58"/>
      <c r="L235" s="57"/>
      <c r="M235" s="57"/>
      <c r="N235" s="57"/>
      <c r="O235" s="57"/>
      <c r="P235" s="57"/>
      <c r="R235" s="56"/>
      <c r="S235" s="56"/>
      <c r="T235" s="56"/>
      <c r="U235" s="56"/>
      <c r="V235" s="56"/>
      <c r="W235" s="56"/>
      <c r="X235" s="56"/>
      <c r="Y235" s="56"/>
      <c r="Z235" s="55"/>
      <c r="AA235" s="54"/>
      <c r="AB235" s="53"/>
      <c r="AC235" s="34"/>
      <c r="AD235" s="66"/>
    </row>
    <row r="236" spans="1:30">
      <c r="A236" s="70"/>
      <c r="B236" s="62"/>
      <c r="C236" s="79"/>
      <c r="D236" s="78"/>
      <c r="E236" s="64"/>
      <c r="G236" s="58"/>
      <c r="H236" s="58"/>
      <c r="I236" s="58"/>
      <c r="J236" s="58"/>
      <c r="K236" s="58"/>
      <c r="L236" s="57"/>
      <c r="M236" s="57"/>
      <c r="N236" s="57"/>
      <c r="O236" s="57"/>
      <c r="P236" s="57"/>
      <c r="R236" s="56"/>
      <c r="S236" s="56"/>
      <c r="T236" s="56"/>
      <c r="U236" s="56"/>
      <c r="V236" s="56"/>
      <c r="W236" s="56"/>
      <c r="X236" s="56"/>
      <c r="Y236" s="56"/>
      <c r="Z236" s="55"/>
      <c r="AA236" s="54"/>
      <c r="AB236" s="53"/>
      <c r="AC236" s="34"/>
      <c r="AD236" s="66"/>
    </row>
    <row r="237" spans="1:30">
      <c r="A237" s="70"/>
      <c r="B237" s="62"/>
      <c r="C237" s="79"/>
      <c r="D237" s="78"/>
      <c r="E237" s="64"/>
      <c r="G237" s="58"/>
      <c r="H237" s="58"/>
      <c r="I237" s="58"/>
      <c r="J237" s="58"/>
      <c r="K237" s="58"/>
      <c r="L237" s="57"/>
      <c r="M237" s="57"/>
      <c r="N237" s="57"/>
      <c r="O237" s="57"/>
      <c r="P237" s="57"/>
      <c r="R237" s="56"/>
      <c r="S237" s="56"/>
      <c r="T237" s="56"/>
      <c r="U237" s="56"/>
      <c r="V237" s="56"/>
      <c r="W237" s="56"/>
      <c r="X237" s="56"/>
      <c r="Y237" s="56"/>
      <c r="Z237" s="55"/>
      <c r="AA237" s="54"/>
      <c r="AB237" s="53"/>
      <c r="AC237" s="34"/>
      <c r="AD237" s="66"/>
    </row>
    <row r="238" spans="1:30">
      <c r="A238" s="70"/>
      <c r="B238" s="62"/>
      <c r="C238" s="79"/>
      <c r="D238" s="78"/>
      <c r="E238" s="64"/>
      <c r="G238" s="58"/>
      <c r="H238" s="58"/>
      <c r="I238" s="58"/>
      <c r="J238" s="58"/>
      <c r="K238" s="58"/>
      <c r="L238" s="57"/>
      <c r="M238" s="57"/>
      <c r="N238" s="57"/>
      <c r="O238" s="57"/>
      <c r="P238" s="57"/>
      <c r="R238" s="56"/>
      <c r="S238" s="56"/>
      <c r="T238" s="56"/>
      <c r="U238" s="56"/>
      <c r="V238" s="56"/>
      <c r="W238" s="56"/>
      <c r="X238" s="56"/>
      <c r="Y238" s="56"/>
      <c r="Z238" s="55"/>
      <c r="AA238" s="54"/>
      <c r="AB238" s="53"/>
      <c r="AC238" s="34"/>
      <c r="AD238" s="66"/>
    </row>
    <row r="239" spans="1:30">
      <c r="A239" s="70"/>
      <c r="B239" s="62"/>
      <c r="C239" s="79"/>
      <c r="D239" s="78"/>
      <c r="E239" s="64"/>
      <c r="G239" s="58"/>
      <c r="H239" s="58"/>
      <c r="I239" s="58"/>
      <c r="J239" s="58"/>
      <c r="K239" s="58"/>
      <c r="L239" s="57"/>
      <c r="M239" s="57"/>
      <c r="N239" s="57"/>
      <c r="O239" s="57"/>
      <c r="P239" s="57"/>
      <c r="R239" s="56"/>
      <c r="S239" s="56"/>
      <c r="T239" s="56"/>
      <c r="U239" s="56"/>
      <c r="V239" s="56"/>
      <c r="W239" s="56"/>
      <c r="X239" s="56"/>
      <c r="Y239" s="56"/>
      <c r="Z239" s="55"/>
      <c r="AA239" s="54"/>
      <c r="AB239" s="53"/>
      <c r="AC239" s="34"/>
      <c r="AD239" s="66"/>
    </row>
    <row r="240" spans="1:30">
      <c r="A240" s="70"/>
      <c r="B240" s="62"/>
      <c r="C240" s="79"/>
      <c r="D240" s="78"/>
      <c r="E240" s="64"/>
      <c r="G240" s="58"/>
      <c r="H240" s="58"/>
      <c r="I240" s="58"/>
      <c r="J240" s="58"/>
      <c r="K240" s="58"/>
      <c r="L240" s="57"/>
      <c r="M240" s="57"/>
      <c r="N240" s="57"/>
      <c r="O240" s="57"/>
      <c r="P240" s="57"/>
      <c r="R240" s="56"/>
      <c r="S240" s="56"/>
      <c r="T240" s="56"/>
      <c r="U240" s="56"/>
      <c r="V240" s="56"/>
      <c r="W240" s="56"/>
      <c r="X240" s="56"/>
      <c r="Y240" s="56"/>
      <c r="Z240" s="55"/>
      <c r="AA240" s="67"/>
      <c r="AB240" s="53"/>
      <c r="AC240" s="34"/>
      <c r="AD240" s="66"/>
    </row>
    <row r="241" spans="1:30">
      <c r="A241" s="45"/>
      <c r="B241" s="62"/>
      <c r="C241" s="79"/>
      <c r="D241" s="78"/>
      <c r="E241" s="64"/>
      <c r="G241" s="58"/>
      <c r="H241" s="58"/>
      <c r="I241" s="58"/>
      <c r="J241" s="58"/>
      <c r="K241" s="58"/>
      <c r="L241" s="57"/>
      <c r="M241" s="57"/>
      <c r="N241" s="57"/>
      <c r="O241" s="57"/>
      <c r="P241" s="57"/>
      <c r="R241" s="56"/>
      <c r="S241" s="56"/>
      <c r="T241" s="56"/>
      <c r="U241" s="56"/>
      <c r="V241" s="56"/>
      <c r="W241" s="56"/>
      <c r="X241" s="56"/>
      <c r="Y241" s="56"/>
      <c r="Z241" s="55"/>
      <c r="AA241" s="54"/>
      <c r="AB241" s="53"/>
      <c r="AC241" s="34"/>
      <c r="AD241" s="66"/>
    </row>
    <row r="242" spans="1:30">
      <c r="A242" s="70"/>
      <c r="B242" s="62"/>
      <c r="C242" s="79"/>
      <c r="D242" s="78"/>
      <c r="E242" s="64"/>
      <c r="G242" s="58"/>
      <c r="H242" s="58"/>
      <c r="I242" s="58"/>
      <c r="J242" s="58"/>
      <c r="K242" s="58"/>
      <c r="L242" s="57"/>
      <c r="M242" s="57"/>
      <c r="N242" s="57"/>
      <c r="O242" s="57"/>
      <c r="P242" s="57"/>
      <c r="R242" s="56"/>
      <c r="S242" s="56"/>
      <c r="T242" s="56"/>
      <c r="U242" s="56"/>
      <c r="V242" s="56"/>
      <c r="W242" s="56"/>
      <c r="X242" s="56"/>
      <c r="Y242" s="56"/>
      <c r="Z242" s="55"/>
      <c r="AA242" s="54"/>
      <c r="AB242" s="53"/>
      <c r="AC242" s="34"/>
      <c r="AD242" s="66"/>
    </row>
    <row r="243" spans="1:30">
      <c r="A243" s="73"/>
      <c r="B243" s="62"/>
      <c r="C243" s="79"/>
      <c r="D243" s="78"/>
      <c r="E243" s="64"/>
      <c r="G243" s="58"/>
      <c r="H243" s="58"/>
      <c r="I243" s="58"/>
      <c r="J243" s="58"/>
      <c r="K243" s="58"/>
      <c r="L243" s="57"/>
      <c r="M243" s="57"/>
      <c r="N243" s="57"/>
      <c r="O243" s="57"/>
      <c r="P243" s="57"/>
      <c r="R243" s="56"/>
      <c r="S243" s="56"/>
      <c r="T243" s="56"/>
      <c r="U243" s="56"/>
      <c r="V243" s="56"/>
      <c r="W243" s="56"/>
      <c r="X243" s="56"/>
      <c r="Y243" s="56"/>
      <c r="Z243" s="55"/>
      <c r="AA243" s="54"/>
      <c r="AB243" s="53"/>
      <c r="AC243" s="34"/>
      <c r="AD243" s="66"/>
    </row>
    <row r="244" spans="1:30">
      <c r="A244" s="73"/>
      <c r="B244" s="62"/>
      <c r="C244" s="79"/>
      <c r="D244" s="78"/>
      <c r="E244" s="64"/>
      <c r="G244" s="58"/>
      <c r="H244" s="58"/>
      <c r="I244" s="58"/>
      <c r="J244" s="58"/>
      <c r="K244" s="58"/>
      <c r="L244" s="57"/>
      <c r="M244" s="57"/>
      <c r="N244" s="57"/>
      <c r="O244" s="57"/>
      <c r="P244" s="57"/>
      <c r="R244" s="56"/>
      <c r="S244" s="56"/>
      <c r="T244" s="56"/>
      <c r="U244" s="56"/>
      <c r="V244" s="56"/>
      <c r="W244" s="56"/>
      <c r="X244" s="56"/>
      <c r="Y244" s="56"/>
      <c r="Z244" s="55"/>
      <c r="AA244" s="67"/>
      <c r="AB244" s="53"/>
      <c r="AC244" s="34"/>
      <c r="AD244" s="66"/>
    </row>
    <row r="245" spans="1:30">
      <c r="A245" s="73"/>
      <c r="B245" s="62"/>
      <c r="C245" s="79"/>
      <c r="D245" s="78"/>
      <c r="E245" s="64"/>
      <c r="G245" s="58"/>
      <c r="H245" s="58"/>
      <c r="I245" s="58"/>
      <c r="J245" s="58"/>
      <c r="K245" s="58"/>
      <c r="L245" s="57"/>
      <c r="M245" s="57"/>
      <c r="N245" s="57"/>
      <c r="O245" s="57"/>
      <c r="P245" s="57"/>
      <c r="R245" s="56"/>
      <c r="S245" s="56"/>
      <c r="T245" s="56"/>
      <c r="U245" s="56"/>
      <c r="V245" s="56"/>
      <c r="W245" s="56"/>
      <c r="X245" s="56"/>
      <c r="Y245" s="56"/>
      <c r="Z245" s="55"/>
      <c r="AA245" s="54"/>
      <c r="AB245" s="53"/>
      <c r="AC245" s="34"/>
      <c r="AD245" s="66"/>
    </row>
    <row r="246" spans="1:30">
      <c r="A246" s="73"/>
      <c r="B246" s="62"/>
      <c r="C246" s="71"/>
      <c r="D246" s="68"/>
      <c r="E246" s="64"/>
      <c r="G246" s="58"/>
      <c r="H246" s="58"/>
      <c r="I246" s="58"/>
      <c r="J246" s="58"/>
      <c r="K246" s="58"/>
      <c r="L246" s="57"/>
      <c r="M246" s="57"/>
      <c r="N246" s="57"/>
      <c r="O246" s="57"/>
      <c r="P246" s="57"/>
      <c r="R246" s="56"/>
      <c r="S246" s="56"/>
      <c r="T246" s="56"/>
      <c r="U246" s="56"/>
      <c r="V246" s="56"/>
      <c r="W246" s="56"/>
      <c r="X246" s="56"/>
      <c r="Y246" s="56"/>
      <c r="Z246" s="55"/>
      <c r="AA246" s="54"/>
      <c r="AB246" s="53"/>
      <c r="AC246" s="34"/>
      <c r="AD246" s="66"/>
    </row>
    <row r="247" spans="1:30">
      <c r="A247" s="73"/>
      <c r="B247" s="62"/>
      <c r="C247" s="71"/>
      <c r="D247" s="68"/>
      <c r="E247" s="64"/>
      <c r="G247" s="58"/>
      <c r="H247" s="58"/>
      <c r="I247" s="58"/>
      <c r="J247" s="58"/>
      <c r="K247" s="58"/>
      <c r="L247" s="57"/>
      <c r="M247" s="57"/>
      <c r="N247" s="57"/>
      <c r="O247" s="57"/>
      <c r="P247" s="57"/>
      <c r="R247" s="56"/>
      <c r="S247" s="56"/>
      <c r="T247" s="56"/>
      <c r="U247" s="56"/>
      <c r="V247" s="56"/>
      <c r="W247" s="56"/>
      <c r="X247" s="56"/>
      <c r="Y247" s="56"/>
      <c r="Z247" s="55"/>
      <c r="AA247" s="54"/>
      <c r="AB247" s="53"/>
      <c r="AC247" s="34"/>
      <c r="AD247" s="66"/>
    </row>
    <row r="248" spans="1:30">
      <c r="A248" s="73"/>
      <c r="B248" s="62"/>
      <c r="C248" s="71"/>
      <c r="D248" s="68"/>
      <c r="E248" s="64"/>
      <c r="G248" s="58"/>
      <c r="H248" s="58"/>
      <c r="I248" s="58"/>
      <c r="J248" s="58"/>
      <c r="K248" s="58"/>
      <c r="L248" s="57"/>
      <c r="M248" s="57"/>
      <c r="N248" s="57"/>
      <c r="O248" s="57"/>
      <c r="P248" s="57"/>
      <c r="R248" s="56"/>
      <c r="S248" s="56"/>
      <c r="T248" s="56"/>
      <c r="U248" s="56"/>
      <c r="V248" s="56"/>
      <c r="W248" s="56"/>
      <c r="X248" s="56"/>
      <c r="Y248" s="56"/>
      <c r="Z248" s="55"/>
      <c r="AA248" s="54"/>
      <c r="AB248" s="53"/>
      <c r="AC248" s="34"/>
      <c r="AD248" s="66"/>
    </row>
    <row r="249" spans="1:30">
      <c r="A249" s="73"/>
      <c r="B249" s="62"/>
      <c r="C249" s="71"/>
      <c r="D249" s="68"/>
      <c r="E249" s="64"/>
      <c r="G249" s="58"/>
      <c r="H249" s="58"/>
      <c r="I249" s="58"/>
      <c r="J249" s="58"/>
      <c r="K249" s="58"/>
      <c r="L249" s="57"/>
      <c r="M249" s="57"/>
      <c r="N249" s="57"/>
      <c r="O249" s="57"/>
      <c r="P249" s="57"/>
      <c r="R249" s="56"/>
      <c r="S249" s="56"/>
      <c r="T249" s="56"/>
      <c r="U249" s="56"/>
      <c r="V249" s="56"/>
      <c r="W249" s="56"/>
      <c r="X249" s="56"/>
      <c r="Y249" s="56"/>
      <c r="Z249" s="55"/>
      <c r="AA249" s="54"/>
      <c r="AB249" s="53"/>
      <c r="AC249" s="34"/>
      <c r="AD249" s="66"/>
    </row>
    <row r="250" spans="1:30">
      <c r="A250" s="73"/>
      <c r="B250" s="62"/>
      <c r="C250" s="71"/>
      <c r="D250" s="68"/>
      <c r="E250" s="64"/>
      <c r="G250" s="58"/>
      <c r="H250" s="58"/>
      <c r="I250" s="58"/>
      <c r="J250" s="58"/>
      <c r="K250" s="58"/>
      <c r="L250" s="57"/>
      <c r="M250" s="57"/>
      <c r="N250" s="57"/>
      <c r="O250" s="57"/>
      <c r="P250" s="57"/>
      <c r="R250" s="56"/>
      <c r="S250" s="56"/>
      <c r="T250" s="56"/>
      <c r="U250" s="56"/>
      <c r="V250" s="56"/>
      <c r="W250" s="56"/>
      <c r="X250" s="56"/>
      <c r="Y250" s="56"/>
      <c r="Z250" s="55"/>
      <c r="AA250" s="67"/>
      <c r="AB250" s="53"/>
      <c r="AC250" s="34"/>
      <c r="AD250" s="66"/>
    </row>
    <row r="251" spans="1:30">
      <c r="A251" s="73"/>
      <c r="B251" s="62"/>
      <c r="C251" s="71"/>
      <c r="D251" s="68"/>
      <c r="E251" s="64"/>
      <c r="G251" s="58"/>
      <c r="H251" s="58"/>
      <c r="I251" s="58"/>
      <c r="J251" s="58"/>
      <c r="K251" s="58"/>
      <c r="L251" s="57"/>
      <c r="M251" s="57"/>
      <c r="N251" s="57"/>
      <c r="O251" s="57"/>
      <c r="P251" s="57"/>
      <c r="R251" s="56"/>
      <c r="S251" s="56"/>
      <c r="T251" s="56"/>
      <c r="U251" s="56"/>
      <c r="V251" s="56"/>
      <c r="W251" s="56"/>
      <c r="X251" s="56"/>
      <c r="Y251" s="56"/>
      <c r="Z251" s="55"/>
      <c r="AA251" s="54"/>
      <c r="AB251" s="53"/>
      <c r="AC251" s="34"/>
      <c r="AD251" s="66"/>
    </row>
    <row r="252" spans="1:30">
      <c r="A252" s="73"/>
      <c r="B252" s="62"/>
      <c r="C252" s="71"/>
      <c r="D252" s="68"/>
      <c r="E252" s="64"/>
      <c r="G252" s="58"/>
      <c r="H252" s="58"/>
      <c r="I252" s="58"/>
      <c r="J252" s="58"/>
      <c r="K252" s="58"/>
      <c r="L252" s="57"/>
      <c r="M252" s="57"/>
      <c r="N252" s="57"/>
      <c r="O252" s="57"/>
      <c r="P252" s="57"/>
      <c r="R252" s="56"/>
      <c r="S252" s="56"/>
      <c r="T252" s="56"/>
      <c r="U252" s="56"/>
      <c r="V252" s="56"/>
      <c r="W252" s="56"/>
      <c r="X252" s="56"/>
      <c r="Y252" s="56"/>
      <c r="Z252" s="55"/>
      <c r="AA252" s="54"/>
      <c r="AB252" s="53"/>
      <c r="AC252" s="34"/>
      <c r="AD252" s="66"/>
    </row>
    <row r="253" spans="1:30">
      <c r="A253" s="73"/>
      <c r="B253" s="62"/>
      <c r="C253" s="71"/>
      <c r="D253" s="68"/>
      <c r="E253" s="64"/>
      <c r="G253" s="58"/>
      <c r="H253" s="58"/>
      <c r="I253" s="58"/>
      <c r="J253" s="58"/>
      <c r="K253" s="58"/>
      <c r="L253" s="57"/>
      <c r="M253" s="57"/>
      <c r="N253" s="57"/>
      <c r="O253" s="57"/>
      <c r="P253" s="57"/>
      <c r="R253" s="56"/>
      <c r="S253" s="56"/>
      <c r="T253" s="56"/>
      <c r="U253" s="56"/>
      <c r="V253" s="56"/>
      <c r="W253" s="56"/>
      <c r="X253" s="56"/>
      <c r="Y253" s="56"/>
      <c r="Z253" s="55"/>
      <c r="AA253" s="67"/>
      <c r="AB253" s="53"/>
      <c r="AC253" s="34"/>
      <c r="AD253" s="66"/>
    </row>
    <row r="254" spans="1:30">
      <c r="A254" s="73"/>
      <c r="B254" s="62"/>
      <c r="C254" s="71"/>
      <c r="D254" s="68"/>
      <c r="E254" s="64"/>
      <c r="G254" s="58"/>
      <c r="H254" s="58"/>
      <c r="I254" s="58"/>
      <c r="J254" s="58"/>
      <c r="K254" s="58"/>
      <c r="L254" s="57"/>
      <c r="M254" s="57"/>
      <c r="N254" s="57"/>
      <c r="O254" s="57"/>
      <c r="P254" s="57"/>
      <c r="R254" s="56"/>
      <c r="S254" s="56"/>
      <c r="T254" s="56"/>
      <c r="U254" s="56"/>
      <c r="V254" s="56"/>
      <c r="W254" s="56"/>
      <c r="X254" s="56"/>
      <c r="Y254" s="56"/>
      <c r="Z254" s="55"/>
      <c r="AA254" s="67"/>
      <c r="AB254" s="53"/>
      <c r="AC254" s="34"/>
      <c r="AD254" s="66"/>
    </row>
    <row r="255" spans="1:30">
      <c r="A255" s="73"/>
      <c r="B255" s="62"/>
      <c r="C255" s="71"/>
      <c r="D255" s="68"/>
      <c r="E255" s="64"/>
      <c r="G255" s="58"/>
      <c r="H255" s="58"/>
      <c r="I255" s="58"/>
      <c r="J255" s="58"/>
      <c r="K255" s="58"/>
      <c r="L255" s="57"/>
      <c r="M255" s="57"/>
      <c r="N255" s="57"/>
      <c r="O255" s="57"/>
      <c r="P255" s="57"/>
      <c r="R255" s="56"/>
      <c r="S255" s="56"/>
      <c r="T255" s="56"/>
      <c r="U255" s="56"/>
      <c r="V255" s="56"/>
      <c r="W255" s="56"/>
      <c r="X255" s="56"/>
      <c r="Y255" s="56"/>
      <c r="Z255" s="55"/>
      <c r="AA255" s="67"/>
      <c r="AB255" s="53"/>
      <c r="AC255" s="34"/>
      <c r="AD255" s="66"/>
    </row>
    <row r="256" spans="1:30">
      <c r="A256" s="73"/>
      <c r="B256" s="62"/>
      <c r="C256" s="71"/>
      <c r="D256" s="68"/>
      <c r="E256" s="64"/>
      <c r="G256" s="58"/>
      <c r="H256" s="58"/>
      <c r="I256" s="58"/>
      <c r="J256" s="58"/>
      <c r="K256" s="58"/>
      <c r="L256" s="57"/>
      <c r="M256" s="57"/>
      <c r="N256" s="57"/>
      <c r="O256" s="57"/>
      <c r="P256" s="57"/>
      <c r="R256" s="56"/>
      <c r="S256" s="56"/>
      <c r="T256" s="56"/>
      <c r="U256" s="56"/>
      <c r="V256" s="56"/>
      <c r="W256" s="56"/>
      <c r="X256" s="56"/>
      <c r="Y256" s="56"/>
      <c r="Z256" s="55"/>
      <c r="AA256" s="67"/>
      <c r="AB256" s="53"/>
      <c r="AC256" s="34"/>
      <c r="AD256" s="66"/>
    </row>
    <row r="257" spans="1:30">
      <c r="A257" s="73"/>
      <c r="B257" s="62"/>
      <c r="C257" s="71"/>
      <c r="D257" s="68"/>
      <c r="E257" s="64"/>
      <c r="G257" s="58"/>
      <c r="H257" s="58"/>
      <c r="I257" s="58"/>
      <c r="J257" s="58"/>
      <c r="K257" s="58"/>
      <c r="L257" s="57"/>
      <c r="M257" s="57"/>
      <c r="N257" s="57"/>
      <c r="O257" s="57"/>
      <c r="P257" s="57"/>
      <c r="R257" s="56"/>
      <c r="S257" s="56"/>
      <c r="T257" s="56"/>
      <c r="U257" s="56"/>
      <c r="V257" s="56"/>
      <c r="W257" s="56"/>
      <c r="X257" s="56"/>
      <c r="Y257" s="56"/>
      <c r="Z257" s="55"/>
      <c r="AA257" s="67"/>
      <c r="AB257" s="53"/>
      <c r="AC257" s="34"/>
      <c r="AD257" s="66"/>
    </row>
    <row r="258" spans="1:30">
      <c r="A258" s="70"/>
      <c r="B258" s="62"/>
      <c r="C258" s="71"/>
      <c r="D258" s="68"/>
      <c r="E258" s="64"/>
      <c r="G258" s="58"/>
      <c r="H258" s="58"/>
      <c r="I258" s="58"/>
      <c r="J258" s="58"/>
      <c r="K258" s="58"/>
      <c r="L258" s="57"/>
      <c r="M258" s="57"/>
      <c r="N258" s="57"/>
      <c r="O258" s="57"/>
      <c r="P258" s="57"/>
      <c r="R258" s="56"/>
      <c r="S258" s="56"/>
      <c r="T258" s="56"/>
      <c r="U258" s="56"/>
      <c r="V258" s="56"/>
      <c r="W258" s="56"/>
      <c r="X258" s="56"/>
      <c r="Y258" s="56"/>
      <c r="Z258" s="55"/>
      <c r="AA258" s="67"/>
      <c r="AB258" s="53"/>
      <c r="AC258" s="34"/>
      <c r="AD258" s="66"/>
    </row>
    <row r="259" spans="1:30">
      <c r="A259" s="73"/>
      <c r="B259" s="62"/>
      <c r="C259" s="71"/>
      <c r="D259" s="68"/>
      <c r="E259" s="64"/>
      <c r="G259" s="58"/>
      <c r="H259" s="58"/>
      <c r="I259" s="58"/>
      <c r="J259" s="58"/>
      <c r="K259" s="58"/>
      <c r="L259" s="57"/>
      <c r="M259" s="57"/>
      <c r="N259" s="57"/>
      <c r="O259" s="57"/>
      <c r="P259" s="57"/>
      <c r="R259" s="56"/>
      <c r="S259" s="56"/>
      <c r="T259" s="56"/>
      <c r="U259" s="56"/>
      <c r="V259" s="56"/>
      <c r="W259" s="56"/>
      <c r="X259" s="56"/>
      <c r="Y259" s="56"/>
      <c r="Z259" s="55"/>
      <c r="AA259" s="54"/>
      <c r="AB259" s="53"/>
      <c r="AC259" s="34"/>
      <c r="AD259" s="66"/>
    </row>
    <row r="260" spans="1:30">
      <c r="A260" s="73"/>
      <c r="B260" s="62"/>
      <c r="C260" s="71"/>
      <c r="D260" s="68"/>
      <c r="E260" s="64"/>
      <c r="G260" s="58"/>
      <c r="H260" s="58"/>
      <c r="I260" s="58"/>
      <c r="J260" s="58"/>
      <c r="K260" s="58"/>
      <c r="L260" s="57"/>
      <c r="M260" s="57"/>
      <c r="N260" s="57"/>
      <c r="O260" s="57"/>
      <c r="P260" s="57"/>
      <c r="R260" s="56"/>
      <c r="S260" s="56"/>
      <c r="T260" s="56"/>
      <c r="U260" s="56"/>
      <c r="V260" s="56"/>
      <c r="W260" s="56"/>
      <c r="X260" s="56"/>
      <c r="Y260" s="56"/>
      <c r="Z260" s="55"/>
      <c r="AA260" s="67"/>
      <c r="AB260" s="53"/>
      <c r="AC260" s="77"/>
      <c r="AD260" s="66"/>
    </row>
    <row r="261" spans="1:30">
      <c r="A261" s="73"/>
      <c r="B261" s="62"/>
      <c r="C261" s="71"/>
      <c r="D261" s="68"/>
      <c r="E261" s="64"/>
      <c r="G261" s="58"/>
      <c r="H261" s="58"/>
      <c r="I261" s="58"/>
      <c r="J261" s="58"/>
      <c r="K261" s="58"/>
      <c r="L261" s="57"/>
      <c r="M261" s="57"/>
      <c r="N261" s="57"/>
      <c r="O261" s="57"/>
      <c r="P261" s="57"/>
      <c r="R261" s="56"/>
      <c r="S261" s="56"/>
      <c r="T261" s="56"/>
      <c r="U261" s="56"/>
      <c r="V261" s="56"/>
      <c r="W261" s="56"/>
      <c r="X261" s="56"/>
      <c r="Y261" s="56"/>
      <c r="Z261" s="55"/>
      <c r="AA261" s="67"/>
      <c r="AB261" s="53"/>
      <c r="AC261" s="77"/>
      <c r="AD261" s="66"/>
    </row>
    <row r="262" spans="1:30">
      <c r="A262" s="73"/>
      <c r="B262" s="62"/>
      <c r="C262" s="71"/>
      <c r="D262" s="68"/>
      <c r="E262" s="64"/>
      <c r="G262" s="58"/>
      <c r="H262" s="58"/>
      <c r="I262" s="58"/>
      <c r="J262" s="58"/>
      <c r="K262" s="58"/>
      <c r="L262" s="57"/>
      <c r="M262" s="57"/>
      <c r="N262" s="57"/>
      <c r="O262" s="57"/>
      <c r="P262" s="57"/>
      <c r="R262" s="56"/>
      <c r="S262" s="56"/>
      <c r="T262" s="56"/>
      <c r="U262" s="56"/>
      <c r="V262" s="56"/>
      <c r="W262" s="56"/>
      <c r="X262" s="56"/>
      <c r="Y262" s="56"/>
      <c r="Z262" s="55"/>
      <c r="AA262" s="67"/>
      <c r="AB262" s="53"/>
      <c r="AC262" s="34"/>
      <c r="AD262" s="66"/>
    </row>
    <row r="263" spans="1:30">
      <c r="A263" s="73"/>
      <c r="B263" s="62"/>
      <c r="C263" s="71"/>
      <c r="D263" s="68"/>
      <c r="E263" s="64"/>
      <c r="G263" s="58"/>
      <c r="H263" s="58"/>
      <c r="I263" s="58"/>
      <c r="J263" s="58"/>
      <c r="K263" s="58"/>
      <c r="L263" s="57"/>
      <c r="M263" s="57"/>
      <c r="N263" s="57"/>
      <c r="O263" s="57"/>
      <c r="P263" s="57"/>
      <c r="R263" s="56"/>
      <c r="S263" s="56"/>
      <c r="T263" s="56"/>
      <c r="U263" s="56"/>
      <c r="V263" s="56"/>
      <c r="W263" s="56"/>
      <c r="X263" s="56"/>
      <c r="Y263" s="56"/>
      <c r="Z263" s="55"/>
      <c r="AA263" s="67"/>
      <c r="AB263" s="53"/>
      <c r="AC263" s="34"/>
      <c r="AD263" s="66"/>
    </row>
    <row r="264" spans="1:30">
      <c r="A264" s="73"/>
      <c r="B264" s="62"/>
      <c r="C264" s="71"/>
      <c r="D264" s="68"/>
      <c r="E264" s="64"/>
      <c r="G264" s="58"/>
      <c r="H264" s="58"/>
      <c r="I264" s="58"/>
      <c r="J264" s="58"/>
      <c r="K264" s="58"/>
      <c r="L264" s="57"/>
      <c r="M264" s="57"/>
      <c r="N264" s="57"/>
      <c r="O264" s="57"/>
      <c r="P264" s="57"/>
      <c r="R264" s="56"/>
      <c r="S264" s="56"/>
      <c r="T264" s="56"/>
      <c r="U264" s="56"/>
      <c r="V264" s="56"/>
      <c r="W264" s="56"/>
      <c r="X264" s="56"/>
      <c r="Y264" s="56"/>
      <c r="Z264" s="55"/>
      <c r="AA264" s="67"/>
      <c r="AB264" s="53"/>
      <c r="AC264" s="34"/>
      <c r="AD264" s="66"/>
    </row>
    <row r="265" spans="1:30">
      <c r="A265" s="73"/>
      <c r="B265" s="62"/>
      <c r="C265" s="71"/>
      <c r="D265" s="68"/>
      <c r="E265" s="64"/>
      <c r="G265" s="58"/>
      <c r="H265" s="58"/>
      <c r="I265" s="58"/>
      <c r="J265" s="58"/>
      <c r="K265" s="58"/>
      <c r="L265" s="57"/>
      <c r="M265" s="57"/>
      <c r="N265" s="57"/>
      <c r="O265" s="57"/>
      <c r="P265" s="57"/>
      <c r="R265" s="56"/>
      <c r="S265" s="56"/>
      <c r="T265" s="56"/>
      <c r="U265" s="56"/>
      <c r="V265" s="56"/>
      <c r="W265" s="56"/>
      <c r="X265" s="56"/>
      <c r="Y265" s="56"/>
      <c r="Z265" s="55"/>
      <c r="AA265" s="67"/>
      <c r="AB265" s="53"/>
      <c r="AC265" s="34"/>
      <c r="AD265" s="66"/>
    </row>
    <row r="266" spans="1:30">
      <c r="A266" s="73"/>
      <c r="B266" s="62"/>
      <c r="C266" s="71"/>
      <c r="D266" s="68"/>
      <c r="E266" s="64"/>
      <c r="G266" s="58"/>
      <c r="H266" s="58"/>
      <c r="I266" s="58"/>
      <c r="J266" s="58"/>
      <c r="K266" s="58"/>
      <c r="L266" s="57"/>
      <c r="M266" s="57"/>
      <c r="N266" s="57"/>
      <c r="O266" s="57"/>
      <c r="P266" s="57"/>
      <c r="R266" s="56"/>
      <c r="S266" s="56"/>
      <c r="T266" s="56"/>
      <c r="U266" s="56"/>
      <c r="V266" s="56"/>
      <c r="W266" s="56"/>
      <c r="X266" s="56"/>
      <c r="Y266" s="56"/>
      <c r="Z266" s="55"/>
      <c r="AA266" s="67"/>
      <c r="AB266" s="53"/>
      <c r="AC266" s="34"/>
      <c r="AD266" s="66"/>
    </row>
    <row r="267" spans="1:30">
      <c r="A267" s="73"/>
      <c r="B267" s="62"/>
      <c r="C267" s="71"/>
      <c r="D267" s="68"/>
      <c r="E267" s="64"/>
      <c r="G267" s="58"/>
      <c r="H267" s="58"/>
      <c r="I267" s="58"/>
      <c r="J267" s="58"/>
      <c r="K267" s="58"/>
      <c r="L267" s="57"/>
      <c r="M267" s="57"/>
      <c r="N267" s="57"/>
      <c r="O267" s="57"/>
      <c r="P267" s="57"/>
      <c r="R267" s="56"/>
      <c r="S267" s="56"/>
      <c r="T267" s="56"/>
      <c r="U267" s="56"/>
      <c r="V267" s="56"/>
      <c r="W267" s="56"/>
      <c r="X267" s="56"/>
      <c r="Y267" s="56"/>
      <c r="Z267" s="55"/>
      <c r="AA267" s="67"/>
      <c r="AB267" s="53"/>
      <c r="AC267" s="34"/>
      <c r="AD267" s="66"/>
    </row>
    <row r="268" spans="1:30">
      <c r="A268" s="73"/>
      <c r="B268" s="62"/>
      <c r="C268" s="71"/>
      <c r="D268" s="68"/>
      <c r="E268" s="64"/>
      <c r="G268" s="58"/>
      <c r="H268" s="58"/>
      <c r="I268" s="58"/>
      <c r="J268" s="58"/>
      <c r="K268" s="58"/>
      <c r="L268" s="57"/>
      <c r="M268" s="57"/>
      <c r="N268" s="57"/>
      <c r="O268" s="57"/>
      <c r="P268" s="57"/>
      <c r="R268" s="56"/>
      <c r="S268" s="56"/>
      <c r="T268" s="56"/>
      <c r="U268" s="56"/>
      <c r="V268" s="56"/>
      <c r="W268" s="56"/>
      <c r="X268" s="56"/>
      <c r="Y268" s="56"/>
      <c r="Z268" s="55"/>
      <c r="AA268" s="67"/>
      <c r="AB268" s="53"/>
      <c r="AC268" s="34"/>
      <c r="AD268" s="66"/>
    </row>
    <row r="269" spans="1:30">
      <c r="A269" s="76"/>
      <c r="B269" s="62"/>
      <c r="C269" s="43"/>
      <c r="D269" s="68"/>
      <c r="E269" s="64"/>
      <c r="G269" s="58"/>
      <c r="H269" s="58"/>
      <c r="I269" s="58"/>
      <c r="J269" s="58"/>
      <c r="K269" s="58"/>
      <c r="L269" s="57"/>
      <c r="M269" s="57"/>
      <c r="N269" s="57"/>
      <c r="O269" s="57"/>
      <c r="P269" s="57"/>
      <c r="R269" s="56"/>
      <c r="S269" s="56"/>
      <c r="T269" s="56"/>
      <c r="U269" s="56"/>
      <c r="V269" s="56"/>
      <c r="W269" s="56"/>
      <c r="X269" s="56"/>
      <c r="Y269" s="56"/>
      <c r="Z269" s="55"/>
      <c r="AA269" s="67"/>
      <c r="AB269" s="53"/>
      <c r="AC269" s="34"/>
      <c r="AD269" s="66"/>
    </row>
    <row r="270" spans="1:30">
      <c r="A270" s="70"/>
      <c r="B270" s="62"/>
      <c r="C270" s="43"/>
      <c r="D270" s="68"/>
      <c r="E270" s="64"/>
      <c r="G270" s="58"/>
      <c r="H270" s="58"/>
      <c r="I270" s="58"/>
      <c r="J270" s="58"/>
      <c r="K270" s="58"/>
      <c r="L270" s="57"/>
      <c r="M270" s="57"/>
      <c r="N270" s="57"/>
      <c r="O270" s="57"/>
      <c r="P270" s="57"/>
      <c r="R270" s="56"/>
      <c r="S270" s="56"/>
      <c r="T270" s="56"/>
      <c r="U270" s="56"/>
      <c r="V270" s="56"/>
      <c r="W270" s="56"/>
      <c r="X270" s="56"/>
      <c r="Y270" s="56"/>
      <c r="Z270" s="55"/>
      <c r="AA270" s="67"/>
      <c r="AB270" s="53"/>
      <c r="AC270" s="34"/>
      <c r="AD270" s="66"/>
    </row>
    <row r="271" spans="1:30">
      <c r="A271" s="73"/>
      <c r="B271" s="62"/>
      <c r="C271" s="43"/>
      <c r="D271" s="68"/>
      <c r="E271" s="64"/>
      <c r="G271" s="58"/>
      <c r="H271" s="58"/>
      <c r="I271" s="58"/>
      <c r="J271" s="58"/>
      <c r="K271" s="58"/>
      <c r="L271" s="57"/>
      <c r="M271" s="57"/>
      <c r="N271" s="57"/>
      <c r="O271" s="57"/>
      <c r="P271" s="57"/>
      <c r="R271" s="56"/>
      <c r="S271" s="56"/>
      <c r="T271" s="56"/>
      <c r="U271" s="56"/>
      <c r="V271" s="56"/>
      <c r="W271" s="56"/>
      <c r="X271" s="56"/>
      <c r="Y271" s="56"/>
      <c r="Z271" s="55"/>
      <c r="AA271" s="67"/>
      <c r="AB271" s="53"/>
      <c r="AC271" s="34"/>
      <c r="AD271" s="74"/>
    </row>
    <row r="272" spans="1:30">
      <c r="A272" s="73"/>
      <c r="B272" s="62"/>
      <c r="C272" s="43"/>
      <c r="D272" s="68"/>
      <c r="E272" s="64"/>
      <c r="G272" s="58"/>
      <c r="H272" s="58"/>
      <c r="I272" s="58"/>
      <c r="J272" s="58"/>
      <c r="K272" s="58"/>
      <c r="L272" s="57"/>
      <c r="M272" s="57"/>
      <c r="N272" s="57"/>
      <c r="O272" s="57"/>
      <c r="P272" s="57"/>
      <c r="R272" s="56"/>
      <c r="S272" s="56"/>
      <c r="T272" s="56"/>
      <c r="U272" s="56"/>
      <c r="V272" s="56"/>
      <c r="W272" s="56"/>
      <c r="X272" s="56"/>
      <c r="Y272" s="56"/>
      <c r="Z272" s="55"/>
      <c r="AA272" s="67"/>
      <c r="AB272" s="53"/>
      <c r="AC272" s="34"/>
      <c r="AD272" s="74"/>
    </row>
    <row r="273" spans="1:30">
      <c r="A273" s="73"/>
      <c r="B273" s="62"/>
      <c r="C273" s="43"/>
      <c r="D273" s="68"/>
      <c r="E273" s="64"/>
      <c r="G273" s="58"/>
      <c r="H273" s="58"/>
      <c r="I273" s="58"/>
      <c r="J273" s="58"/>
      <c r="K273" s="58"/>
      <c r="L273" s="57"/>
      <c r="M273" s="57"/>
      <c r="N273" s="57"/>
      <c r="O273" s="57"/>
      <c r="P273" s="57"/>
      <c r="R273" s="56"/>
      <c r="S273" s="56"/>
      <c r="T273" s="56"/>
      <c r="U273" s="56"/>
      <c r="V273" s="56"/>
      <c r="W273" s="56"/>
      <c r="X273" s="56"/>
      <c r="Y273" s="56"/>
      <c r="Z273" s="55"/>
      <c r="AA273" s="67"/>
      <c r="AB273" s="53"/>
      <c r="AC273" s="34"/>
      <c r="AD273" s="74"/>
    </row>
    <row r="274" spans="1:30">
      <c r="A274" s="73"/>
      <c r="B274" s="62"/>
      <c r="C274" s="43"/>
      <c r="D274" s="68"/>
      <c r="E274" s="64"/>
      <c r="G274" s="58"/>
      <c r="H274" s="58"/>
      <c r="I274" s="58"/>
      <c r="J274" s="58"/>
      <c r="K274" s="58"/>
      <c r="L274" s="57"/>
      <c r="M274" s="57"/>
      <c r="N274" s="57"/>
      <c r="O274" s="57"/>
      <c r="P274" s="57"/>
      <c r="R274" s="56"/>
      <c r="S274" s="56"/>
      <c r="T274" s="56"/>
      <c r="U274" s="56"/>
      <c r="V274" s="56"/>
      <c r="W274" s="56"/>
      <c r="X274" s="56"/>
      <c r="Y274" s="56"/>
      <c r="Z274" s="55"/>
      <c r="AA274" s="67"/>
      <c r="AB274" s="53"/>
      <c r="AC274" s="34"/>
      <c r="AD274" s="74"/>
    </row>
    <row r="275" spans="1:30">
      <c r="A275" s="73"/>
      <c r="B275" s="62"/>
      <c r="C275" s="43"/>
      <c r="D275" s="68"/>
      <c r="E275" s="64"/>
      <c r="G275" s="58"/>
      <c r="H275" s="58"/>
      <c r="I275" s="58"/>
      <c r="J275" s="58"/>
      <c r="K275" s="58"/>
      <c r="L275" s="57"/>
      <c r="M275" s="57"/>
      <c r="N275" s="57"/>
      <c r="O275" s="57"/>
      <c r="P275" s="57"/>
      <c r="R275" s="56"/>
      <c r="S275" s="56"/>
      <c r="T275" s="56"/>
      <c r="U275" s="56"/>
      <c r="V275" s="56"/>
      <c r="W275" s="56"/>
      <c r="X275" s="56"/>
      <c r="Y275" s="56"/>
      <c r="Z275" s="55"/>
      <c r="AA275" s="67"/>
      <c r="AB275" s="53"/>
      <c r="AC275" s="34"/>
      <c r="AD275" s="74"/>
    </row>
    <row r="276" spans="1:30">
      <c r="A276" s="73"/>
      <c r="B276" s="62"/>
      <c r="C276" s="43"/>
      <c r="D276" s="68"/>
      <c r="E276" s="64"/>
      <c r="G276" s="58"/>
      <c r="H276" s="58"/>
      <c r="I276" s="58"/>
      <c r="J276" s="58"/>
      <c r="K276" s="58"/>
      <c r="L276" s="57"/>
      <c r="M276" s="57"/>
      <c r="N276" s="57"/>
      <c r="O276" s="57"/>
      <c r="P276" s="57"/>
      <c r="R276" s="56"/>
      <c r="S276" s="56"/>
      <c r="T276" s="56"/>
      <c r="U276" s="56"/>
      <c r="V276" s="56"/>
      <c r="W276" s="56"/>
      <c r="X276" s="56"/>
      <c r="Y276" s="56"/>
      <c r="Z276" s="55"/>
      <c r="AA276" s="67"/>
      <c r="AB276" s="53"/>
      <c r="AC276" s="34"/>
      <c r="AD276" s="74"/>
    </row>
    <row r="277" spans="1:30">
      <c r="A277" s="73"/>
      <c r="B277" s="62"/>
      <c r="C277" s="43"/>
      <c r="D277" s="68"/>
      <c r="E277" s="64"/>
      <c r="G277" s="58"/>
      <c r="H277" s="58"/>
      <c r="I277" s="58"/>
      <c r="J277" s="58"/>
      <c r="K277" s="58"/>
      <c r="L277" s="57"/>
      <c r="M277" s="57"/>
      <c r="N277" s="57"/>
      <c r="O277" s="57"/>
      <c r="P277" s="57"/>
      <c r="R277" s="56"/>
      <c r="S277" s="56"/>
      <c r="T277" s="56"/>
      <c r="U277" s="56"/>
      <c r="V277" s="56"/>
      <c r="W277" s="56"/>
      <c r="X277" s="56"/>
      <c r="Y277" s="56"/>
      <c r="Z277" s="55"/>
      <c r="AA277" s="67"/>
      <c r="AB277" s="53"/>
      <c r="AC277" s="34"/>
      <c r="AD277" s="74"/>
    </row>
    <row r="278" spans="1:30">
      <c r="A278" s="73"/>
      <c r="B278" s="62"/>
      <c r="C278" s="43"/>
      <c r="D278" s="68"/>
      <c r="E278" s="64"/>
      <c r="G278" s="58"/>
      <c r="H278" s="58"/>
      <c r="I278" s="58"/>
      <c r="J278" s="58"/>
      <c r="K278" s="58"/>
      <c r="L278" s="57"/>
      <c r="M278" s="57"/>
      <c r="N278" s="57"/>
      <c r="O278" s="57"/>
      <c r="P278" s="57"/>
      <c r="R278" s="56"/>
      <c r="S278" s="56"/>
      <c r="T278" s="56"/>
      <c r="U278" s="56"/>
      <c r="V278" s="56"/>
      <c r="W278" s="56"/>
      <c r="X278" s="56"/>
      <c r="Y278" s="56"/>
      <c r="Z278" s="55"/>
      <c r="AA278" s="67"/>
      <c r="AB278" s="53"/>
      <c r="AC278" s="34"/>
      <c r="AD278" s="74"/>
    </row>
    <row r="279" spans="1:30">
      <c r="A279" s="73"/>
      <c r="B279" s="62"/>
      <c r="C279" s="43"/>
      <c r="D279" s="68"/>
      <c r="E279" s="64"/>
      <c r="G279" s="58"/>
      <c r="H279" s="58"/>
      <c r="I279" s="58"/>
      <c r="J279" s="58"/>
      <c r="K279" s="58"/>
      <c r="L279" s="57"/>
      <c r="M279" s="57"/>
      <c r="N279" s="57"/>
      <c r="O279" s="57"/>
      <c r="P279" s="57"/>
      <c r="R279" s="56"/>
      <c r="S279" s="56"/>
      <c r="T279" s="56"/>
      <c r="U279" s="56"/>
      <c r="V279" s="56"/>
      <c r="W279" s="56"/>
      <c r="X279" s="56"/>
      <c r="Y279" s="56"/>
      <c r="Z279" s="55"/>
      <c r="AA279" s="67"/>
      <c r="AB279" s="53"/>
      <c r="AC279" s="34"/>
      <c r="AD279" s="74"/>
    </row>
    <row r="280" spans="1:30">
      <c r="A280" s="73"/>
      <c r="B280" s="62"/>
      <c r="C280" s="43"/>
      <c r="D280" s="68"/>
      <c r="E280" s="64"/>
      <c r="G280" s="58"/>
      <c r="H280" s="58"/>
      <c r="I280" s="58"/>
      <c r="J280" s="58"/>
      <c r="K280" s="58"/>
      <c r="L280" s="57"/>
      <c r="M280" s="57"/>
      <c r="N280" s="57"/>
      <c r="O280" s="57"/>
      <c r="P280" s="57"/>
      <c r="R280" s="56"/>
      <c r="S280" s="56"/>
      <c r="T280" s="56"/>
      <c r="U280" s="56"/>
      <c r="V280" s="56"/>
      <c r="W280" s="56"/>
      <c r="X280" s="56"/>
      <c r="Y280" s="56"/>
      <c r="Z280" s="55"/>
      <c r="AA280" s="67"/>
      <c r="AB280" s="53"/>
      <c r="AC280" s="34"/>
      <c r="AD280" s="74"/>
    </row>
    <row r="281" spans="1:30">
      <c r="A281" s="70"/>
      <c r="B281" s="72"/>
      <c r="C281" s="43"/>
      <c r="D281" s="68"/>
      <c r="E281" s="64"/>
      <c r="G281" s="58"/>
      <c r="H281" s="58"/>
      <c r="I281" s="58"/>
      <c r="J281" s="58"/>
      <c r="K281" s="58"/>
      <c r="L281" s="57"/>
      <c r="M281" s="57"/>
      <c r="N281" s="57"/>
      <c r="O281" s="57"/>
      <c r="P281" s="57"/>
      <c r="R281" s="56"/>
      <c r="S281" s="56"/>
      <c r="T281" s="56"/>
      <c r="U281" s="56"/>
      <c r="V281" s="56"/>
      <c r="W281" s="56"/>
      <c r="X281" s="56"/>
      <c r="Y281" s="56"/>
      <c r="Z281" s="55"/>
      <c r="AA281" s="67"/>
      <c r="AB281" s="53"/>
      <c r="AC281" s="34"/>
      <c r="AD281" s="66"/>
    </row>
    <row r="282" spans="1:30">
      <c r="A282" s="70"/>
      <c r="B282" s="72"/>
      <c r="C282" s="43"/>
      <c r="D282" s="68"/>
      <c r="E282" s="64"/>
      <c r="G282" s="58"/>
      <c r="H282" s="58"/>
      <c r="I282" s="58"/>
      <c r="J282" s="58"/>
      <c r="K282" s="58"/>
      <c r="L282" s="57"/>
      <c r="M282" s="57"/>
      <c r="N282" s="57"/>
      <c r="O282" s="57"/>
      <c r="P282" s="57"/>
      <c r="R282" s="56"/>
      <c r="S282" s="56"/>
      <c r="T282" s="56"/>
      <c r="U282" s="56"/>
      <c r="V282" s="56"/>
      <c r="W282" s="56"/>
      <c r="X282" s="56"/>
      <c r="Y282" s="56"/>
      <c r="Z282" s="55"/>
      <c r="AA282" s="67"/>
      <c r="AB282" s="53"/>
      <c r="AC282" s="34"/>
      <c r="AD282" s="66"/>
    </row>
    <row r="283" spans="1:30">
      <c r="A283" s="73"/>
      <c r="B283" s="72"/>
      <c r="C283" s="43"/>
      <c r="D283" s="68"/>
      <c r="E283" s="64"/>
      <c r="G283" s="58"/>
      <c r="H283" s="58"/>
      <c r="I283" s="58"/>
      <c r="J283" s="58"/>
      <c r="K283" s="58"/>
      <c r="L283" s="57"/>
      <c r="M283" s="57"/>
      <c r="N283" s="57"/>
      <c r="O283" s="57"/>
      <c r="P283" s="57"/>
      <c r="R283" s="56"/>
      <c r="S283" s="56"/>
      <c r="T283" s="56"/>
      <c r="U283" s="56"/>
      <c r="V283" s="56"/>
      <c r="W283" s="56"/>
      <c r="X283" s="56"/>
      <c r="Y283" s="56"/>
      <c r="Z283" s="55"/>
      <c r="AA283" s="67"/>
      <c r="AB283" s="53"/>
      <c r="AC283" s="34"/>
      <c r="AD283" s="66"/>
    </row>
    <row r="284" spans="1:30">
      <c r="A284" s="70"/>
      <c r="B284" s="72"/>
      <c r="C284" s="43"/>
      <c r="D284" s="68"/>
      <c r="E284" s="64"/>
      <c r="G284" s="58"/>
      <c r="H284" s="58"/>
      <c r="I284" s="58"/>
      <c r="J284" s="58"/>
      <c r="K284" s="58"/>
      <c r="L284" s="57"/>
      <c r="M284" s="57"/>
      <c r="N284" s="57"/>
      <c r="O284" s="57"/>
      <c r="P284" s="57"/>
      <c r="R284" s="56"/>
      <c r="S284" s="56"/>
      <c r="T284" s="56"/>
      <c r="U284" s="56"/>
      <c r="V284" s="56"/>
      <c r="W284" s="56"/>
      <c r="X284" s="56"/>
      <c r="Y284" s="56"/>
      <c r="Z284" s="55"/>
      <c r="AA284" s="67"/>
      <c r="AB284" s="53"/>
      <c r="AC284" s="34"/>
      <c r="AD284" s="66"/>
    </row>
    <row r="285" spans="1:30">
      <c r="A285" s="70"/>
      <c r="B285" s="72"/>
      <c r="C285" s="43"/>
      <c r="D285" s="68"/>
      <c r="E285" s="64"/>
      <c r="G285" s="58"/>
      <c r="H285" s="58"/>
      <c r="I285" s="58"/>
      <c r="J285" s="58"/>
      <c r="K285" s="58"/>
      <c r="L285" s="57"/>
      <c r="M285" s="57"/>
      <c r="N285" s="57"/>
      <c r="O285" s="57"/>
      <c r="P285" s="57"/>
      <c r="R285" s="56"/>
      <c r="S285" s="56"/>
      <c r="T285" s="56"/>
      <c r="U285" s="56"/>
      <c r="V285" s="56"/>
      <c r="W285" s="56"/>
      <c r="X285" s="56"/>
      <c r="Y285" s="56"/>
      <c r="Z285" s="55"/>
      <c r="AA285" s="67"/>
      <c r="AB285" s="53"/>
      <c r="AC285" s="34"/>
      <c r="AD285" s="66"/>
    </row>
    <row r="286" spans="1:30">
      <c r="A286" s="73"/>
      <c r="B286" s="72"/>
      <c r="C286" s="43"/>
      <c r="D286" s="68"/>
      <c r="E286" s="64"/>
      <c r="G286" s="58"/>
      <c r="H286" s="58"/>
      <c r="I286" s="58"/>
      <c r="J286" s="58"/>
      <c r="K286" s="58"/>
      <c r="L286" s="57"/>
      <c r="M286" s="57"/>
      <c r="N286" s="57"/>
      <c r="O286" s="57"/>
      <c r="P286" s="57"/>
      <c r="R286" s="56"/>
      <c r="S286" s="56"/>
      <c r="T286" s="56"/>
      <c r="U286" s="56"/>
      <c r="V286" s="56"/>
      <c r="W286" s="56"/>
      <c r="X286" s="56"/>
      <c r="Y286" s="56"/>
      <c r="Z286" s="55"/>
      <c r="AA286" s="67"/>
      <c r="AB286" s="53"/>
      <c r="AC286" s="34"/>
      <c r="AD286" s="74"/>
    </row>
    <row r="287" spans="1:30">
      <c r="A287" s="73"/>
      <c r="B287" s="72"/>
      <c r="C287" s="43"/>
      <c r="D287" s="68"/>
      <c r="E287" s="64"/>
      <c r="G287" s="58"/>
      <c r="H287" s="58"/>
      <c r="I287" s="58"/>
      <c r="J287" s="58"/>
      <c r="K287" s="58"/>
      <c r="L287" s="57"/>
      <c r="M287" s="57"/>
      <c r="N287" s="57"/>
      <c r="O287" s="57"/>
      <c r="P287" s="57"/>
      <c r="R287" s="56"/>
      <c r="S287" s="56"/>
      <c r="T287" s="56"/>
      <c r="U287" s="56"/>
      <c r="V287" s="56"/>
      <c r="W287" s="56"/>
      <c r="X287" s="56"/>
      <c r="Y287" s="56"/>
      <c r="Z287" s="55"/>
      <c r="AA287" s="67"/>
      <c r="AB287" s="53"/>
      <c r="AC287" s="34"/>
      <c r="AD287" s="74"/>
    </row>
    <row r="288" spans="1:30">
      <c r="A288" s="73"/>
      <c r="B288" s="72"/>
      <c r="C288" s="43"/>
      <c r="D288" s="68"/>
      <c r="E288" s="64"/>
      <c r="G288" s="58"/>
      <c r="H288" s="58"/>
      <c r="I288" s="58"/>
      <c r="J288" s="58"/>
      <c r="K288" s="58"/>
      <c r="L288" s="57"/>
      <c r="M288" s="57"/>
      <c r="N288" s="57"/>
      <c r="O288" s="57"/>
      <c r="P288" s="57"/>
      <c r="R288" s="56"/>
      <c r="S288" s="56"/>
      <c r="T288" s="56"/>
      <c r="U288" s="56"/>
      <c r="V288" s="56"/>
      <c r="W288" s="56"/>
      <c r="X288" s="56"/>
      <c r="Y288" s="56"/>
      <c r="Z288" s="55"/>
      <c r="AA288" s="67"/>
      <c r="AB288" s="53"/>
      <c r="AC288" s="34"/>
      <c r="AD288" s="74"/>
    </row>
    <row r="289" spans="1:30">
      <c r="A289" s="73"/>
      <c r="B289" s="72"/>
      <c r="C289" s="43"/>
      <c r="D289" s="68"/>
      <c r="E289" s="64"/>
      <c r="G289" s="58"/>
      <c r="H289" s="58"/>
      <c r="I289" s="58"/>
      <c r="J289" s="58"/>
      <c r="K289" s="58"/>
      <c r="L289" s="57"/>
      <c r="M289" s="57"/>
      <c r="N289" s="57"/>
      <c r="O289" s="57"/>
      <c r="P289" s="57"/>
      <c r="R289" s="56"/>
      <c r="S289" s="56"/>
      <c r="T289" s="56"/>
      <c r="U289" s="56"/>
      <c r="V289" s="56"/>
      <c r="W289" s="56"/>
      <c r="X289" s="56"/>
      <c r="Y289" s="56"/>
      <c r="Z289" s="55"/>
      <c r="AA289" s="67"/>
      <c r="AB289" s="53"/>
      <c r="AC289" s="34"/>
      <c r="AD289" s="74"/>
    </row>
    <row r="290" spans="1:30">
      <c r="A290" s="73"/>
      <c r="B290" s="72"/>
      <c r="C290" s="43"/>
      <c r="D290" s="68"/>
      <c r="E290" s="64"/>
      <c r="G290" s="58"/>
      <c r="H290" s="58"/>
      <c r="I290" s="58"/>
      <c r="J290" s="58"/>
      <c r="K290" s="58"/>
      <c r="L290" s="57"/>
      <c r="M290" s="57"/>
      <c r="N290" s="57"/>
      <c r="O290" s="57"/>
      <c r="P290" s="57"/>
      <c r="R290" s="56"/>
      <c r="S290" s="56"/>
      <c r="T290" s="56"/>
      <c r="U290" s="56"/>
      <c r="V290" s="56"/>
      <c r="W290" s="56"/>
      <c r="X290" s="56"/>
      <c r="Y290" s="56"/>
      <c r="Z290" s="55"/>
      <c r="AA290" s="67"/>
      <c r="AB290" s="53"/>
      <c r="AC290" s="34"/>
      <c r="AD290" s="74"/>
    </row>
    <row r="291" spans="1:30">
      <c r="A291" s="73"/>
      <c r="B291" s="72"/>
      <c r="C291" s="43"/>
      <c r="D291" s="68"/>
      <c r="E291" s="64"/>
      <c r="G291" s="58"/>
      <c r="H291" s="58"/>
      <c r="I291" s="58"/>
      <c r="J291" s="58"/>
      <c r="K291" s="58"/>
      <c r="L291" s="57"/>
      <c r="M291" s="57"/>
      <c r="N291" s="57"/>
      <c r="O291" s="57"/>
      <c r="P291" s="57"/>
      <c r="R291" s="56"/>
      <c r="S291" s="56"/>
      <c r="T291" s="56"/>
      <c r="U291" s="56"/>
      <c r="V291" s="56"/>
      <c r="W291" s="56"/>
      <c r="X291" s="56"/>
      <c r="Y291" s="56"/>
      <c r="Z291" s="55"/>
      <c r="AA291" s="67"/>
      <c r="AB291" s="53"/>
      <c r="AC291" s="34"/>
      <c r="AD291" s="74"/>
    </row>
    <row r="292" spans="1:30">
      <c r="A292" s="73"/>
      <c r="B292" s="72"/>
      <c r="C292" s="43"/>
      <c r="D292" s="68"/>
      <c r="E292" s="64"/>
      <c r="G292" s="58"/>
      <c r="H292" s="58"/>
      <c r="I292" s="58"/>
      <c r="J292" s="58"/>
      <c r="K292" s="58"/>
      <c r="L292" s="57"/>
      <c r="M292" s="57"/>
      <c r="N292" s="57"/>
      <c r="O292" s="57"/>
      <c r="P292" s="57"/>
      <c r="R292" s="56"/>
      <c r="S292" s="56"/>
      <c r="T292" s="56"/>
      <c r="U292" s="56"/>
      <c r="V292" s="56"/>
      <c r="W292" s="56"/>
      <c r="X292" s="56"/>
      <c r="Y292" s="56"/>
      <c r="Z292" s="55"/>
      <c r="AA292" s="67"/>
      <c r="AB292" s="53"/>
      <c r="AC292" s="34"/>
      <c r="AD292" s="74"/>
    </row>
    <row r="293" spans="1:30">
      <c r="A293" s="73"/>
      <c r="B293" s="72"/>
      <c r="C293" s="75"/>
      <c r="D293" s="68"/>
      <c r="E293" s="64"/>
      <c r="G293" s="58"/>
      <c r="H293" s="58"/>
      <c r="I293" s="58"/>
      <c r="J293" s="58"/>
      <c r="K293" s="58"/>
      <c r="L293" s="57"/>
      <c r="M293" s="57"/>
      <c r="N293" s="57"/>
      <c r="O293" s="57"/>
      <c r="P293" s="57"/>
      <c r="R293" s="56"/>
      <c r="S293" s="56"/>
      <c r="T293" s="56"/>
      <c r="U293" s="56"/>
      <c r="V293" s="56"/>
      <c r="W293" s="56"/>
      <c r="X293" s="56"/>
      <c r="Y293" s="56"/>
      <c r="Z293" s="55"/>
      <c r="AA293" s="67"/>
      <c r="AB293" s="53"/>
      <c r="AC293" s="34"/>
      <c r="AD293" s="74"/>
    </row>
    <row r="294" spans="1:30">
      <c r="A294" s="73"/>
      <c r="B294" s="72"/>
      <c r="C294" s="71"/>
      <c r="D294" s="68"/>
      <c r="E294" s="64"/>
      <c r="G294" s="58"/>
      <c r="H294" s="58"/>
      <c r="I294" s="58"/>
      <c r="J294" s="58"/>
      <c r="K294" s="58"/>
      <c r="L294" s="57"/>
      <c r="M294" s="57"/>
      <c r="N294" s="57"/>
      <c r="O294" s="57"/>
      <c r="P294" s="57"/>
      <c r="R294" s="56"/>
      <c r="S294" s="56"/>
      <c r="T294" s="56"/>
      <c r="U294" s="56"/>
      <c r="V294" s="56"/>
      <c r="W294" s="56"/>
      <c r="X294" s="56"/>
      <c r="Y294" s="56"/>
      <c r="Z294" s="55"/>
      <c r="AA294" s="67"/>
      <c r="AB294" s="53"/>
      <c r="AC294" s="34"/>
      <c r="AD294" s="66"/>
    </row>
    <row r="295" spans="1:30">
      <c r="A295" s="70"/>
      <c r="B295" s="72"/>
      <c r="C295" s="71"/>
      <c r="D295" s="68"/>
      <c r="E295" s="64"/>
      <c r="G295" s="58"/>
      <c r="H295" s="58"/>
      <c r="I295" s="58"/>
      <c r="J295" s="58"/>
      <c r="K295" s="58"/>
      <c r="L295" s="57"/>
      <c r="M295" s="57"/>
      <c r="N295" s="57"/>
      <c r="O295" s="57"/>
      <c r="P295" s="57"/>
      <c r="R295" s="56"/>
      <c r="S295" s="56"/>
      <c r="T295" s="56"/>
      <c r="U295" s="56"/>
      <c r="V295" s="56"/>
      <c r="W295" s="56"/>
      <c r="X295" s="56"/>
      <c r="Y295" s="56"/>
      <c r="Z295" s="55"/>
      <c r="AA295" s="67"/>
      <c r="AB295" s="53"/>
      <c r="AC295" s="34"/>
      <c r="AD295" s="66"/>
    </row>
    <row r="296" spans="1:30">
      <c r="A296" s="65"/>
      <c r="B296" s="72"/>
      <c r="C296" s="71"/>
      <c r="D296" s="68"/>
      <c r="E296" s="64"/>
      <c r="G296" s="58"/>
      <c r="H296" s="58"/>
      <c r="I296" s="58"/>
      <c r="J296" s="58"/>
      <c r="K296" s="58"/>
      <c r="L296" s="57"/>
      <c r="M296" s="57"/>
      <c r="N296" s="57"/>
      <c r="O296" s="57"/>
      <c r="P296" s="57"/>
      <c r="R296" s="56"/>
      <c r="S296" s="56"/>
      <c r="T296" s="56"/>
      <c r="U296" s="56"/>
      <c r="V296" s="56"/>
      <c r="W296" s="56"/>
      <c r="X296" s="56"/>
      <c r="Y296" s="56"/>
      <c r="Z296" s="55"/>
      <c r="AA296" s="67"/>
      <c r="AB296" s="53"/>
      <c r="AC296" s="34"/>
      <c r="AD296" s="66"/>
    </row>
    <row r="297" spans="1:30">
      <c r="A297" s="70"/>
      <c r="B297" s="72"/>
      <c r="C297" s="71"/>
      <c r="D297" s="68"/>
      <c r="E297" s="64"/>
      <c r="G297" s="58"/>
      <c r="H297" s="58"/>
      <c r="I297" s="58"/>
      <c r="J297" s="58"/>
      <c r="K297" s="58"/>
      <c r="L297" s="57"/>
      <c r="M297" s="57"/>
      <c r="N297" s="57"/>
      <c r="O297" s="57"/>
      <c r="P297" s="57"/>
      <c r="R297" s="56"/>
      <c r="S297" s="56"/>
      <c r="T297" s="56"/>
      <c r="U297" s="56"/>
      <c r="V297" s="56"/>
      <c r="W297" s="56"/>
      <c r="X297" s="56"/>
      <c r="Y297" s="56"/>
      <c r="Z297" s="55"/>
      <c r="AA297" s="67"/>
      <c r="AB297" s="53"/>
      <c r="AC297" s="34"/>
      <c r="AD297" s="66"/>
    </row>
    <row r="298" spans="1:30">
      <c r="A298" s="70"/>
      <c r="B298" s="72"/>
      <c r="C298" s="71"/>
      <c r="D298" s="68"/>
      <c r="E298" s="64"/>
      <c r="G298" s="58"/>
      <c r="H298" s="58"/>
      <c r="I298" s="58"/>
      <c r="J298" s="58"/>
      <c r="K298" s="58"/>
      <c r="L298" s="57"/>
      <c r="M298" s="57"/>
      <c r="N298" s="57"/>
      <c r="O298" s="57"/>
      <c r="P298" s="57"/>
      <c r="R298" s="56"/>
      <c r="S298" s="56"/>
      <c r="T298" s="56"/>
      <c r="U298" s="56"/>
      <c r="V298" s="56"/>
      <c r="W298" s="56"/>
      <c r="X298" s="56"/>
      <c r="Y298" s="56"/>
      <c r="Z298" s="55"/>
      <c r="AA298" s="67"/>
      <c r="AB298" s="53"/>
      <c r="AC298" s="34"/>
      <c r="AD298" s="66"/>
    </row>
    <row r="299" spans="1:30">
      <c r="A299" s="70"/>
      <c r="B299" s="72"/>
      <c r="C299" s="71"/>
      <c r="D299" s="68"/>
      <c r="E299" s="64"/>
      <c r="G299" s="58"/>
      <c r="H299" s="58"/>
      <c r="I299" s="58"/>
      <c r="J299" s="58"/>
      <c r="K299" s="58"/>
      <c r="L299" s="57"/>
      <c r="M299" s="57"/>
      <c r="N299" s="57"/>
      <c r="O299" s="57"/>
      <c r="P299" s="57"/>
      <c r="R299" s="56"/>
      <c r="S299" s="56"/>
      <c r="T299" s="56"/>
      <c r="U299" s="56"/>
      <c r="V299" s="56"/>
      <c r="W299" s="56"/>
      <c r="X299" s="56"/>
      <c r="Y299" s="56"/>
      <c r="Z299" s="55"/>
      <c r="AA299" s="67"/>
      <c r="AB299" s="53"/>
      <c r="AC299" s="34"/>
      <c r="AD299" s="66"/>
    </row>
    <row r="300" spans="1:30">
      <c r="A300" s="70"/>
      <c r="B300" s="72"/>
      <c r="C300" s="71"/>
      <c r="D300" s="68"/>
      <c r="E300" s="64"/>
      <c r="G300" s="58"/>
      <c r="H300" s="58"/>
      <c r="I300" s="58"/>
      <c r="J300" s="58"/>
      <c r="K300" s="58"/>
      <c r="L300" s="57"/>
      <c r="M300" s="57"/>
      <c r="N300" s="57"/>
      <c r="O300" s="57"/>
      <c r="P300" s="57"/>
      <c r="R300" s="56"/>
      <c r="S300" s="56"/>
      <c r="T300" s="56"/>
      <c r="U300" s="56"/>
      <c r="V300" s="56"/>
      <c r="W300" s="56"/>
      <c r="X300" s="56"/>
      <c r="Y300" s="56"/>
      <c r="Z300" s="55"/>
      <c r="AA300" s="67"/>
      <c r="AB300" s="53"/>
      <c r="AC300" s="34"/>
      <c r="AD300" s="66"/>
    </row>
    <row r="301" spans="1:30">
      <c r="A301" s="70"/>
      <c r="B301" s="72"/>
      <c r="C301" s="71"/>
      <c r="D301" s="68"/>
      <c r="E301" s="64"/>
      <c r="G301" s="58"/>
      <c r="H301" s="58"/>
      <c r="I301" s="58"/>
      <c r="J301" s="58"/>
      <c r="K301" s="58"/>
      <c r="L301" s="57"/>
      <c r="M301" s="57"/>
      <c r="N301" s="57"/>
      <c r="O301" s="57"/>
      <c r="P301" s="57"/>
      <c r="R301" s="56"/>
      <c r="S301" s="56"/>
      <c r="T301" s="56"/>
      <c r="U301" s="56"/>
      <c r="V301" s="56"/>
      <c r="W301" s="56"/>
      <c r="X301" s="56"/>
      <c r="Y301" s="56"/>
      <c r="Z301" s="55"/>
      <c r="AA301" s="67"/>
      <c r="AB301" s="53"/>
      <c r="AC301" s="34"/>
      <c r="AD301" s="66"/>
    </row>
    <row r="302" spans="1:30">
      <c r="A302" s="73"/>
      <c r="B302" s="72"/>
      <c r="C302" s="71"/>
      <c r="D302" s="68"/>
      <c r="E302" s="64"/>
      <c r="G302" s="58"/>
      <c r="H302" s="58"/>
      <c r="I302" s="58"/>
      <c r="J302" s="58"/>
      <c r="K302" s="58"/>
      <c r="L302" s="57"/>
      <c r="M302" s="57"/>
      <c r="N302" s="57"/>
      <c r="O302" s="57"/>
      <c r="P302" s="57"/>
      <c r="R302" s="56"/>
      <c r="S302" s="56"/>
      <c r="T302" s="56"/>
      <c r="U302" s="56"/>
      <c r="V302" s="56"/>
      <c r="W302" s="56"/>
      <c r="X302" s="56"/>
      <c r="Y302" s="56"/>
      <c r="Z302" s="55"/>
      <c r="AA302" s="67"/>
      <c r="AB302" s="53"/>
      <c r="AC302" s="34"/>
      <c r="AD302" s="66"/>
    </row>
    <row r="303" spans="1:30">
      <c r="A303" s="65"/>
      <c r="B303" s="72"/>
      <c r="C303" s="71"/>
      <c r="D303" s="68"/>
      <c r="E303" s="64"/>
      <c r="G303" s="58"/>
      <c r="H303" s="58"/>
      <c r="I303" s="58"/>
      <c r="J303" s="58"/>
      <c r="K303" s="58"/>
      <c r="L303" s="57"/>
      <c r="M303" s="57"/>
      <c r="N303" s="57"/>
      <c r="O303" s="57"/>
      <c r="P303" s="57"/>
      <c r="R303" s="56"/>
      <c r="S303" s="56"/>
      <c r="T303" s="56"/>
      <c r="U303" s="56"/>
      <c r="V303" s="56"/>
      <c r="W303" s="56"/>
      <c r="X303" s="56"/>
      <c r="Y303" s="56"/>
      <c r="Z303" s="55"/>
      <c r="AA303" s="67"/>
      <c r="AB303" s="53"/>
      <c r="AC303" s="34"/>
      <c r="AD303" s="66"/>
    </row>
    <row r="304" spans="1:30">
      <c r="A304" s="70"/>
      <c r="B304" s="72"/>
      <c r="C304" s="71"/>
      <c r="D304" s="68"/>
      <c r="E304" s="64"/>
      <c r="G304" s="58"/>
      <c r="H304" s="58"/>
      <c r="I304" s="58"/>
      <c r="J304" s="58"/>
      <c r="K304" s="58"/>
      <c r="L304" s="57"/>
      <c r="M304" s="57"/>
      <c r="N304" s="57"/>
      <c r="O304" s="57"/>
      <c r="P304" s="57"/>
      <c r="R304" s="56"/>
      <c r="S304" s="56"/>
      <c r="T304" s="56"/>
      <c r="U304" s="56"/>
      <c r="V304" s="56"/>
      <c r="W304" s="56"/>
      <c r="X304" s="56"/>
      <c r="Y304" s="56"/>
      <c r="Z304" s="55"/>
      <c r="AA304" s="67"/>
      <c r="AB304" s="53"/>
      <c r="AC304" s="34"/>
      <c r="AD304" s="66"/>
    </row>
    <row r="305" spans="1:30">
      <c r="A305" s="70"/>
      <c r="B305" s="72"/>
      <c r="C305" s="71"/>
      <c r="D305" s="68"/>
      <c r="E305" s="64"/>
      <c r="G305" s="58"/>
      <c r="H305" s="58"/>
      <c r="I305" s="58"/>
      <c r="J305" s="58"/>
      <c r="K305" s="58"/>
      <c r="L305" s="57"/>
      <c r="M305" s="57"/>
      <c r="N305" s="57"/>
      <c r="O305" s="57"/>
      <c r="P305" s="57"/>
      <c r="R305" s="56"/>
      <c r="S305" s="56"/>
      <c r="T305" s="56"/>
      <c r="U305" s="56"/>
      <c r="V305" s="56"/>
      <c r="W305" s="56"/>
      <c r="X305" s="56"/>
      <c r="Y305" s="56"/>
      <c r="Z305" s="55"/>
      <c r="AA305" s="67"/>
      <c r="AB305" s="53"/>
      <c r="AC305" s="34"/>
      <c r="AD305" s="66"/>
    </row>
    <row r="306" spans="1:30">
      <c r="A306" s="70"/>
      <c r="B306" s="72"/>
      <c r="C306" s="71"/>
      <c r="D306" s="68"/>
      <c r="E306" s="64"/>
      <c r="G306" s="58"/>
      <c r="H306" s="58"/>
      <c r="I306" s="58"/>
      <c r="J306" s="58"/>
      <c r="K306" s="58"/>
      <c r="L306" s="57"/>
      <c r="M306" s="57"/>
      <c r="N306" s="57"/>
      <c r="O306" s="57"/>
      <c r="P306" s="57"/>
      <c r="R306" s="56"/>
      <c r="S306" s="56"/>
      <c r="T306" s="56"/>
      <c r="U306" s="56"/>
      <c r="V306" s="56"/>
      <c r="W306" s="56"/>
      <c r="X306" s="56"/>
      <c r="Y306" s="56"/>
      <c r="Z306" s="55"/>
      <c r="AA306" s="67"/>
      <c r="AB306" s="53"/>
      <c r="AC306" s="34"/>
      <c r="AD306" s="66"/>
    </row>
    <row r="307" spans="1:30">
      <c r="A307" s="70"/>
      <c r="B307" s="72"/>
      <c r="C307" s="71"/>
      <c r="D307" s="68"/>
      <c r="E307" s="64"/>
      <c r="G307" s="58"/>
      <c r="H307" s="58"/>
      <c r="I307" s="58"/>
      <c r="J307" s="58"/>
      <c r="K307" s="58"/>
      <c r="L307" s="57"/>
      <c r="M307" s="57"/>
      <c r="N307" s="57"/>
      <c r="O307" s="57"/>
      <c r="P307" s="57"/>
      <c r="R307" s="56"/>
      <c r="S307" s="56"/>
      <c r="T307" s="56"/>
      <c r="U307" s="56"/>
      <c r="V307" s="56"/>
      <c r="W307" s="56"/>
      <c r="X307" s="56"/>
      <c r="Y307" s="56"/>
      <c r="Z307" s="55"/>
      <c r="AA307" s="67"/>
      <c r="AB307" s="53"/>
      <c r="AC307" s="34"/>
      <c r="AD307" s="66"/>
    </row>
    <row r="308" spans="1:30">
      <c r="A308" s="70"/>
      <c r="B308" s="72"/>
      <c r="C308" s="71"/>
      <c r="D308" s="68"/>
      <c r="E308" s="64"/>
      <c r="G308" s="58"/>
      <c r="H308" s="58"/>
      <c r="I308" s="58"/>
      <c r="J308" s="58"/>
      <c r="K308" s="58"/>
      <c r="L308" s="57"/>
      <c r="M308" s="57"/>
      <c r="N308" s="57"/>
      <c r="O308" s="57"/>
      <c r="P308" s="57"/>
      <c r="R308" s="56"/>
      <c r="S308" s="56"/>
      <c r="T308" s="56"/>
      <c r="U308" s="56"/>
      <c r="V308" s="56"/>
      <c r="W308" s="56"/>
      <c r="X308" s="56"/>
      <c r="Y308" s="56"/>
      <c r="Z308" s="55"/>
      <c r="AA308" s="67"/>
      <c r="AB308" s="53"/>
      <c r="AC308" s="34"/>
      <c r="AD308" s="66"/>
    </row>
    <row r="309" spans="1:30">
      <c r="A309" s="70"/>
      <c r="B309" s="72"/>
      <c r="C309" s="71"/>
      <c r="D309" s="68"/>
      <c r="E309" s="64"/>
      <c r="G309" s="58"/>
      <c r="H309" s="58"/>
      <c r="I309" s="58"/>
      <c r="J309" s="58"/>
      <c r="K309" s="58"/>
      <c r="L309" s="57"/>
      <c r="M309" s="57"/>
      <c r="N309" s="57"/>
      <c r="O309" s="57"/>
      <c r="P309" s="57"/>
      <c r="R309" s="56"/>
      <c r="S309" s="56"/>
      <c r="T309" s="56"/>
      <c r="U309" s="56"/>
      <c r="V309" s="56"/>
      <c r="W309" s="56"/>
      <c r="X309" s="56"/>
      <c r="Y309" s="56"/>
      <c r="Z309" s="55"/>
      <c r="AA309" s="67"/>
      <c r="AB309" s="53"/>
      <c r="AC309" s="34"/>
      <c r="AD309" s="66"/>
    </row>
    <row r="310" spans="1:30">
      <c r="A310" s="70"/>
      <c r="B310" s="62"/>
      <c r="C310" s="69"/>
      <c r="D310" s="68"/>
      <c r="E310" s="64"/>
      <c r="G310" s="58"/>
      <c r="H310" s="58"/>
      <c r="I310" s="58"/>
      <c r="J310" s="58"/>
      <c r="K310" s="58"/>
      <c r="L310" s="57"/>
      <c r="M310" s="57"/>
      <c r="N310" s="57"/>
      <c r="O310" s="57"/>
      <c r="P310" s="57"/>
      <c r="R310" s="56"/>
      <c r="S310" s="56"/>
      <c r="T310" s="56"/>
      <c r="U310" s="56"/>
      <c r="V310" s="56"/>
      <c r="W310" s="56"/>
      <c r="X310" s="56"/>
      <c r="Y310" s="56"/>
      <c r="Z310" s="55"/>
      <c r="AA310" s="67"/>
      <c r="AB310" s="53"/>
      <c r="AC310" s="34"/>
      <c r="AD310" s="66"/>
    </row>
    <row r="311" spans="1:30">
      <c r="A311" s="65"/>
      <c r="B311" s="62"/>
      <c r="C311" s="43"/>
      <c r="D311" s="42"/>
      <c r="E311" s="64"/>
      <c r="G311" s="58"/>
      <c r="H311" s="58"/>
      <c r="I311" s="58"/>
      <c r="J311" s="58"/>
      <c r="K311" s="58"/>
      <c r="L311" s="57"/>
      <c r="M311" s="57"/>
      <c r="N311" s="57"/>
      <c r="O311" s="57"/>
      <c r="P311" s="57"/>
      <c r="R311" s="56"/>
      <c r="S311" s="56"/>
      <c r="T311" s="56"/>
      <c r="U311" s="56"/>
      <c r="V311" s="56"/>
      <c r="W311" s="56"/>
      <c r="X311" s="56"/>
      <c r="Y311" s="56"/>
      <c r="Z311" s="55"/>
      <c r="AA311" s="54"/>
      <c r="AB311" s="63"/>
      <c r="AC311" s="34"/>
      <c r="AD311" s="33"/>
    </row>
    <row r="312" spans="1:30">
      <c r="A312" s="45"/>
      <c r="B312" s="62"/>
      <c r="C312" s="43"/>
      <c r="D312" s="42"/>
      <c r="E312" s="41"/>
      <c r="G312" s="49"/>
      <c r="H312" s="49"/>
      <c r="I312" s="49"/>
      <c r="J312" s="49"/>
      <c r="K312" s="49"/>
      <c r="L312" s="48"/>
      <c r="M312" s="48"/>
      <c r="N312" s="48"/>
      <c r="O312" s="48"/>
      <c r="P312" s="48"/>
      <c r="R312" s="47"/>
      <c r="S312" s="47"/>
      <c r="T312" s="47"/>
      <c r="U312" s="47"/>
      <c r="V312" s="47"/>
      <c r="W312" s="47"/>
      <c r="X312" s="47"/>
      <c r="Y312" s="47"/>
      <c r="Z312" s="46"/>
      <c r="AA312" s="61"/>
      <c r="AB312" s="35"/>
      <c r="AC312" s="34"/>
      <c r="AD312" s="33"/>
    </row>
    <row r="313" spans="1:30">
      <c r="A313" s="45"/>
      <c r="B313" s="44"/>
      <c r="C313" s="43"/>
      <c r="D313" s="60"/>
      <c r="E313" s="59"/>
      <c r="G313" s="58"/>
      <c r="H313" s="58"/>
      <c r="I313" s="58"/>
      <c r="J313" s="58"/>
      <c r="K313" s="58"/>
      <c r="L313" s="57"/>
      <c r="M313" s="57"/>
      <c r="N313" s="57"/>
      <c r="O313" s="57"/>
      <c r="P313" s="57"/>
      <c r="R313" s="56"/>
      <c r="S313" s="56"/>
      <c r="T313" s="56"/>
      <c r="U313" s="56"/>
      <c r="V313" s="56"/>
      <c r="W313" s="56"/>
      <c r="X313" s="56"/>
      <c r="Y313" s="56"/>
      <c r="Z313" s="55"/>
      <c r="AA313" s="54"/>
      <c r="AB313" s="53"/>
      <c r="AC313" s="34"/>
      <c r="AD313" s="33"/>
    </row>
    <row r="314" spans="1:30">
      <c r="A314" s="45"/>
      <c r="B314" s="44"/>
      <c r="C314" s="43"/>
      <c r="D314" s="42"/>
      <c r="E314" s="41"/>
      <c r="G314" s="40"/>
      <c r="H314" s="40"/>
      <c r="I314" s="40"/>
      <c r="J314" s="40"/>
      <c r="K314" s="40"/>
      <c r="L314" s="39"/>
      <c r="M314" s="39"/>
      <c r="N314" s="39"/>
      <c r="O314" s="39"/>
      <c r="P314" s="39"/>
      <c r="R314" s="38"/>
      <c r="S314" s="38"/>
      <c r="T314" s="38"/>
      <c r="U314" s="38"/>
      <c r="V314" s="38"/>
      <c r="W314" s="38"/>
      <c r="X314" s="38"/>
      <c r="Y314" s="38"/>
      <c r="Z314" s="37"/>
      <c r="AA314" s="36"/>
      <c r="AB314" s="35"/>
      <c r="AC314" s="34"/>
      <c r="AD314" s="33"/>
    </row>
    <row r="315" spans="1:30">
      <c r="A315" s="52"/>
      <c r="B315" s="51"/>
      <c r="C315" s="43"/>
      <c r="D315" s="42"/>
      <c r="E315" s="50"/>
      <c r="G315" s="49"/>
      <c r="H315" s="49"/>
      <c r="I315" s="49"/>
      <c r="J315" s="49"/>
      <c r="K315" s="49"/>
      <c r="L315" s="48"/>
      <c r="M315" s="48"/>
      <c r="N315" s="48"/>
      <c r="O315" s="48"/>
      <c r="P315" s="48"/>
      <c r="R315" s="47"/>
      <c r="S315" s="47"/>
      <c r="T315" s="47"/>
      <c r="U315" s="47"/>
      <c r="V315" s="47"/>
      <c r="W315" s="47"/>
      <c r="X315" s="47"/>
      <c r="Y315" s="47"/>
      <c r="Z315" s="46"/>
      <c r="AA315" s="36"/>
      <c r="AB315" s="35"/>
      <c r="AC315" s="34"/>
      <c r="AD315" s="33"/>
    </row>
    <row r="316" spans="1:30">
      <c r="A316" s="45"/>
      <c r="B316" s="44"/>
      <c r="C316" s="43"/>
      <c r="D316" s="42"/>
      <c r="E316" s="41"/>
      <c r="G316" s="40"/>
      <c r="H316" s="40"/>
      <c r="I316" s="40"/>
      <c r="J316" s="40"/>
      <c r="K316" s="40"/>
      <c r="L316" s="39"/>
      <c r="M316" s="39"/>
      <c r="N316" s="39"/>
      <c r="O316" s="39"/>
      <c r="P316" s="39"/>
      <c r="R316" s="38"/>
      <c r="S316" s="38"/>
      <c r="T316" s="38"/>
      <c r="U316" s="38"/>
      <c r="V316" s="38"/>
      <c r="W316" s="38"/>
      <c r="X316" s="38"/>
      <c r="Y316" s="38"/>
      <c r="Z316" s="37"/>
      <c r="AA316" s="36"/>
      <c r="AB316" s="35"/>
      <c r="AC316" s="34"/>
      <c r="AD316" s="33"/>
    </row>
    <row r="317" spans="1:30">
      <c r="A317" s="45"/>
      <c r="B317" s="44"/>
      <c r="C317" s="43"/>
      <c r="D317" s="42"/>
      <c r="E317" s="41"/>
      <c r="G317" s="40"/>
      <c r="H317" s="40"/>
      <c r="I317" s="40"/>
      <c r="J317" s="40"/>
      <c r="K317" s="40"/>
      <c r="L317" s="39"/>
      <c r="M317" s="39"/>
      <c r="N317" s="39"/>
      <c r="O317" s="39"/>
      <c r="P317" s="39"/>
      <c r="R317" s="38"/>
      <c r="S317" s="38"/>
      <c r="T317" s="38"/>
      <c r="U317" s="38"/>
      <c r="V317" s="38"/>
      <c r="W317" s="38"/>
      <c r="X317" s="38"/>
      <c r="Y317" s="38"/>
      <c r="Z317" s="37"/>
      <c r="AA317" s="36"/>
      <c r="AB317" s="35"/>
      <c r="AC317" s="34"/>
      <c r="AD317" s="33"/>
    </row>
    <row r="318" spans="1:30">
      <c r="A318" s="20"/>
      <c r="B318" s="11"/>
      <c r="C318" s="28"/>
      <c r="D318" s="26"/>
      <c r="E318" s="29"/>
      <c r="G318" s="19"/>
      <c r="H318" s="19"/>
      <c r="I318" s="19"/>
      <c r="J318" s="19"/>
      <c r="K318" s="19"/>
      <c r="L318" s="18"/>
      <c r="M318" s="18"/>
      <c r="N318" s="18"/>
      <c r="O318" s="18"/>
      <c r="P318" s="18"/>
      <c r="R318" s="17"/>
      <c r="S318" s="17"/>
      <c r="T318" s="17"/>
      <c r="U318" s="17"/>
      <c r="V318" s="17"/>
      <c r="W318" s="17"/>
      <c r="X318" s="17"/>
      <c r="Y318" s="17"/>
      <c r="Z318" s="16"/>
      <c r="AA318" s="15"/>
      <c r="AB318" s="30"/>
      <c r="AC318" s="14"/>
      <c r="AD318" s="13"/>
    </row>
    <row r="319" spans="1:30">
      <c r="A319" s="20"/>
      <c r="B319" s="11"/>
      <c r="C319" s="28"/>
      <c r="D319" s="26"/>
      <c r="E319" s="29"/>
      <c r="G319" s="19"/>
      <c r="H319" s="19"/>
      <c r="I319" s="19"/>
      <c r="J319" s="19"/>
      <c r="K319" s="19"/>
      <c r="L319" s="18"/>
      <c r="M319" s="18"/>
      <c r="N319" s="18"/>
      <c r="O319" s="18"/>
      <c r="P319" s="18"/>
      <c r="R319" s="17"/>
      <c r="S319" s="17"/>
      <c r="T319" s="17"/>
      <c r="U319" s="17"/>
      <c r="V319" s="17"/>
      <c r="W319" s="17"/>
      <c r="X319" s="17"/>
      <c r="Y319" s="17"/>
      <c r="Z319" s="16"/>
      <c r="AA319" s="15"/>
      <c r="AB319" s="30"/>
      <c r="AC319" s="14"/>
      <c r="AD319" s="13"/>
    </row>
    <row r="320" spans="1:30">
      <c r="A320" s="20"/>
      <c r="B320" s="11"/>
      <c r="C320" s="28"/>
      <c r="D320" s="26"/>
      <c r="E320" s="29"/>
      <c r="G320" s="19"/>
      <c r="H320" s="19"/>
      <c r="I320" s="19"/>
      <c r="J320" s="19"/>
      <c r="K320" s="19"/>
      <c r="L320" s="18"/>
      <c r="M320" s="18"/>
      <c r="N320" s="18"/>
      <c r="O320" s="18"/>
      <c r="P320" s="18"/>
      <c r="R320" s="17"/>
      <c r="S320" s="17"/>
      <c r="T320" s="17"/>
      <c r="U320" s="17"/>
      <c r="V320" s="17"/>
      <c r="W320" s="17"/>
      <c r="X320" s="17"/>
      <c r="Y320" s="17"/>
      <c r="Z320" s="16"/>
      <c r="AA320" s="15"/>
      <c r="AB320" s="30"/>
      <c r="AC320" s="14"/>
      <c r="AD320" s="13"/>
    </row>
    <row r="321" spans="1:30">
      <c r="A321" s="20"/>
      <c r="B321" s="11"/>
      <c r="C321" s="28"/>
      <c r="D321" s="26"/>
      <c r="E321" s="29"/>
      <c r="G321" s="19"/>
      <c r="H321" s="19"/>
      <c r="I321" s="19"/>
      <c r="J321" s="19"/>
      <c r="K321" s="19"/>
      <c r="L321" s="18"/>
      <c r="M321" s="18"/>
      <c r="N321" s="18"/>
      <c r="O321" s="18"/>
      <c r="P321" s="18"/>
      <c r="R321" s="17"/>
      <c r="S321" s="17"/>
      <c r="T321" s="17"/>
      <c r="U321" s="17"/>
      <c r="V321" s="17"/>
      <c r="W321" s="17"/>
      <c r="X321" s="17"/>
      <c r="Y321" s="17"/>
      <c r="Z321" s="16"/>
      <c r="AA321" s="15"/>
      <c r="AB321" s="30"/>
      <c r="AC321" s="14"/>
      <c r="AD321" s="13"/>
    </row>
    <row r="322" spans="1:30">
      <c r="A322" s="20"/>
      <c r="B322" s="11"/>
      <c r="C322" s="28"/>
      <c r="D322" s="26"/>
      <c r="E322" s="29"/>
      <c r="G322" s="19"/>
      <c r="H322" s="19"/>
      <c r="I322" s="19"/>
      <c r="J322" s="19"/>
      <c r="K322" s="19"/>
      <c r="L322" s="18"/>
      <c r="M322" s="18"/>
      <c r="N322" s="18"/>
      <c r="O322" s="18"/>
      <c r="P322" s="18"/>
      <c r="R322" s="17"/>
      <c r="S322" s="17"/>
      <c r="T322" s="17"/>
      <c r="U322" s="17"/>
      <c r="V322" s="17"/>
      <c r="W322" s="17"/>
      <c r="X322" s="17"/>
      <c r="Y322" s="17"/>
      <c r="Z322" s="16"/>
      <c r="AA322" s="31"/>
      <c r="AB322" s="30"/>
      <c r="AC322" s="14"/>
      <c r="AD322" s="13"/>
    </row>
    <row r="323" spans="1:30">
      <c r="A323" s="20"/>
      <c r="B323" s="11"/>
      <c r="C323" s="28"/>
      <c r="D323" s="26"/>
      <c r="E323" s="29"/>
      <c r="G323" s="19"/>
      <c r="H323" s="19"/>
      <c r="I323" s="19"/>
      <c r="J323" s="19"/>
      <c r="K323" s="19"/>
      <c r="L323" s="18"/>
      <c r="M323" s="18"/>
      <c r="N323" s="18"/>
      <c r="O323" s="18"/>
      <c r="P323" s="18"/>
      <c r="R323" s="17"/>
      <c r="S323" s="17"/>
      <c r="T323" s="17"/>
      <c r="U323" s="17"/>
      <c r="V323" s="17"/>
      <c r="W323" s="17"/>
      <c r="X323" s="17"/>
      <c r="Y323" s="17"/>
      <c r="Z323" s="16"/>
      <c r="AA323" s="31"/>
      <c r="AB323" s="30"/>
      <c r="AC323" s="14"/>
      <c r="AD323" s="13"/>
    </row>
    <row r="324" spans="1:30">
      <c r="A324" s="20"/>
      <c r="B324" s="11"/>
      <c r="C324" s="28"/>
      <c r="D324" s="26"/>
      <c r="E324" s="29"/>
      <c r="G324" s="19"/>
      <c r="H324" s="19"/>
      <c r="I324" s="19"/>
      <c r="J324" s="19"/>
      <c r="K324" s="19"/>
      <c r="L324" s="18"/>
      <c r="M324" s="18"/>
      <c r="N324" s="18"/>
      <c r="O324" s="18"/>
      <c r="P324" s="18"/>
      <c r="R324" s="17"/>
      <c r="S324" s="17"/>
      <c r="T324" s="17"/>
      <c r="U324" s="17"/>
      <c r="V324" s="17"/>
      <c r="W324" s="17"/>
      <c r="X324" s="17"/>
      <c r="Y324" s="17"/>
      <c r="Z324" s="16"/>
      <c r="AA324" s="15"/>
      <c r="AB324" s="30"/>
      <c r="AC324" s="14"/>
      <c r="AD324" s="13"/>
    </row>
    <row r="325" spans="1:30">
      <c r="A325" s="20"/>
      <c r="B325" s="11"/>
      <c r="C325" s="28"/>
      <c r="D325" s="26"/>
      <c r="E325" s="29"/>
      <c r="G325" s="19"/>
      <c r="H325" s="19"/>
      <c r="I325" s="19"/>
      <c r="J325" s="19"/>
      <c r="K325" s="19"/>
      <c r="L325" s="18"/>
      <c r="M325" s="18"/>
      <c r="N325" s="18"/>
      <c r="O325" s="18"/>
      <c r="P325" s="18"/>
      <c r="R325" s="17"/>
      <c r="S325" s="17"/>
      <c r="T325" s="17"/>
      <c r="U325" s="17"/>
      <c r="V325" s="17"/>
      <c r="W325" s="17"/>
      <c r="X325" s="17"/>
      <c r="Y325" s="17"/>
      <c r="Z325" s="16"/>
      <c r="AA325" s="15"/>
      <c r="AB325" s="30"/>
      <c r="AC325" s="14"/>
      <c r="AD325" s="13"/>
    </row>
    <row r="326" spans="1:30">
      <c r="A326" s="20"/>
      <c r="B326" s="11"/>
      <c r="C326" s="28"/>
      <c r="D326" s="26"/>
      <c r="E326" s="29"/>
      <c r="G326" s="19"/>
      <c r="H326" s="19"/>
      <c r="I326" s="19"/>
      <c r="J326" s="19"/>
      <c r="K326" s="19"/>
      <c r="L326" s="18"/>
      <c r="M326" s="18"/>
      <c r="N326" s="18"/>
      <c r="O326" s="18"/>
      <c r="P326" s="18"/>
      <c r="R326" s="17"/>
      <c r="S326" s="17"/>
      <c r="T326" s="17"/>
      <c r="U326" s="17"/>
      <c r="V326" s="17"/>
      <c r="W326" s="17"/>
      <c r="X326" s="17"/>
      <c r="Y326" s="17"/>
      <c r="Z326" s="16"/>
      <c r="AA326" s="31"/>
      <c r="AB326" s="30"/>
      <c r="AC326" s="14"/>
      <c r="AD326" s="13"/>
    </row>
    <row r="327" spans="1:30">
      <c r="A327" s="20"/>
      <c r="B327" s="11"/>
      <c r="C327" s="28"/>
      <c r="D327" s="26"/>
      <c r="E327" s="29"/>
      <c r="G327" s="19"/>
      <c r="H327" s="19"/>
      <c r="I327" s="19"/>
      <c r="J327" s="19"/>
      <c r="K327" s="19"/>
      <c r="L327" s="18"/>
      <c r="M327" s="18"/>
      <c r="N327" s="18"/>
      <c r="O327" s="18"/>
      <c r="P327" s="18"/>
      <c r="R327" s="17"/>
      <c r="S327" s="17"/>
      <c r="T327" s="17"/>
      <c r="U327" s="17"/>
      <c r="V327" s="17"/>
      <c r="W327" s="17"/>
      <c r="X327" s="17"/>
      <c r="Y327" s="17"/>
      <c r="Z327" s="16"/>
      <c r="AA327" s="31"/>
      <c r="AB327" s="30"/>
      <c r="AC327" s="14"/>
      <c r="AD327" s="13"/>
    </row>
    <row r="328" spans="1:30">
      <c r="A328" s="20"/>
      <c r="B328" s="11"/>
      <c r="C328" s="28"/>
      <c r="D328" s="26"/>
      <c r="E328" s="29"/>
      <c r="G328" s="19"/>
      <c r="H328" s="19"/>
      <c r="I328" s="19"/>
      <c r="J328" s="19"/>
      <c r="K328" s="19"/>
      <c r="L328" s="18"/>
      <c r="M328" s="18"/>
      <c r="N328" s="18"/>
      <c r="O328" s="18"/>
      <c r="P328" s="18"/>
      <c r="R328" s="17"/>
      <c r="S328" s="17"/>
      <c r="T328" s="17"/>
      <c r="U328" s="17"/>
      <c r="V328" s="17"/>
      <c r="W328" s="17"/>
      <c r="X328" s="17"/>
      <c r="Y328" s="17"/>
      <c r="Z328" s="16"/>
      <c r="AA328" s="15"/>
      <c r="AB328" s="30"/>
      <c r="AC328" s="14"/>
      <c r="AD328" s="13"/>
    </row>
    <row r="329" spans="1:30">
      <c r="A329" s="20"/>
      <c r="B329" s="11"/>
      <c r="C329" s="28"/>
      <c r="D329" s="26"/>
      <c r="E329" s="29"/>
      <c r="G329" s="19"/>
      <c r="H329" s="19"/>
      <c r="I329" s="19"/>
      <c r="J329" s="19"/>
      <c r="K329" s="19"/>
      <c r="L329" s="18"/>
      <c r="M329" s="18"/>
      <c r="N329" s="18"/>
      <c r="O329" s="18"/>
      <c r="P329" s="18"/>
      <c r="R329" s="17"/>
      <c r="S329" s="17"/>
      <c r="T329" s="17"/>
      <c r="U329" s="17"/>
      <c r="V329" s="17"/>
      <c r="W329" s="17"/>
      <c r="X329" s="17"/>
      <c r="Y329" s="17"/>
      <c r="Z329" s="16"/>
      <c r="AA329" s="15"/>
      <c r="AB329" s="30"/>
      <c r="AC329" s="14"/>
      <c r="AD329" s="13"/>
    </row>
    <row r="330" spans="1:30">
      <c r="A330" s="20"/>
      <c r="B330" s="11"/>
      <c r="C330" s="28"/>
      <c r="D330" s="26"/>
      <c r="E330" s="29"/>
      <c r="G330" s="19"/>
      <c r="H330" s="19"/>
      <c r="I330" s="19"/>
      <c r="J330" s="19"/>
      <c r="K330" s="19"/>
      <c r="L330" s="18"/>
      <c r="M330" s="18"/>
      <c r="N330" s="18"/>
      <c r="O330" s="18"/>
      <c r="P330" s="18"/>
      <c r="R330" s="17"/>
      <c r="S330" s="17"/>
      <c r="T330" s="17"/>
      <c r="U330" s="17"/>
      <c r="V330" s="17"/>
      <c r="W330" s="17"/>
      <c r="X330" s="17"/>
      <c r="Y330" s="17"/>
      <c r="Z330" s="16"/>
      <c r="AA330" s="31"/>
      <c r="AB330" s="30"/>
      <c r="AC330" s="14"/>
      <c r="AD330" s="13"/>
    </row>
    <row r="331" spans="1:30">
      <c r="A331" s="20"/>
      <c r="B331" s="11"/>
      <c r="C331" s="28"/>
      <c r="D331" s="26"/>
      <c r="E331" s="29"/>
      <c r="G331" s="19"/>
      <c r="H331" s="19"/>
      <c r="I331" s="19"/>
      <c r="J331" s="19"/>
      <c r="K331" s="19"/>
      <c r="L331" s="18"/>
      <c r="M331" s="18"/>
      <c r="N331" s="18"/>
      <c r="O331" s="18"/>
      <c r="P331" s="18"/>
      <c r="R331" s="17"/>
      <c r="S331" s="17"/>
      <c r="T331" s="17"/>
      <c r="U331" s="17"/>
      <c r="V331" s="17"/>
      <c r="W331" s="17"/>
      <c r="X331" s="17"/>
      <c r="Y331" s="17"/>
      <c r="Z331" s="16"/>
      <c r="AA331" s="31"/>
      <c r="AB331" s="30"/>
      <c r="AC331" s="14"/>
      <c r="AD331" s="13"/>
    </row>
    <row r="332" spans="1:30">
      <c r="A332" s="20"/>
      <c r="B332" s="11"/>
      <c r="C332" s="28"/>
      <c r="D332" s="26"/>
      <c r="E332" s="29"/>
      <c r="G332" s="19"/>
      <c r="H332" s="19"/>
      <c r="I332" s="19"/>
      <c r="J332" s="19"/>
      <c r="K332" s="19"/>
      <c r="L332" s="18"/>
      <c r="M332" s="18"/>
      <c r="N332" s="18"/>
      <c r="O332" s="18"/>
      <c r="P332" s="18"/>
      <c r="R332" s="17"/>
      <c r="S332" s="17"/>
      <c r="T332" s="17"/>
      <c r="U332" s="17"/>
      <c r="V332" s="17"/>
      <c r="W332" s="17"/>
      <c r="X332" s="17"/>
      <c r="Y332" s="17"/>
      <c r="Z332" s="16"/>
      <c r="AA332" s="15"/>
      <c r="AB332" s="30"/>
      <c r="AC332" s="14"/>
      <c r="AD332" s="13"/>
    </row>
    <row r="333" spans="1:30">
      <c r="A333" s="20"/>
      <c r="B333" s="11"/>
      <c r="C333" s="28"/>
      <c r="D333" s="26"/>
      <c r="E333" s="29"/>
      <c r="G333" s="19"/>
      <c r="H333" s="19"/>
      <c r="I333" s="19"/>
      <c r="J333" s="19"/>
      <c r="K333" s="19"/>
      <c r="L333" s="18"/>
      <c r="M333" s="18"/>
      <c r="N333" s="18"/>
      <c r="O333" s="18"/>
      <c r="P333" s="18"/>
      <c r="R333" s="17"/>
      <c r="S333" s="17"/>
      <c r="T333" s="17"/>
      <c r="U333" s="17"/>
      <c r="V333" s="17"/>
      <c r="W333" s="17"/>
      <c r="X333" s="17"/>
      <c r="Y333" s="17"/>
      <c r="Z333" s="16"/>
      <c r="AA333" s="15"/>
      <c r="AB333" s="30"/>
      <c r="AC333" s="14"/>
      <c r="AD333" s="13"/>
    </row>
    <row r="334" spans="1:30">
      <c r="A334" s="20"/>
      <c r="B334" s="11"/>
      <c r="C334" s="28"/>
      <c r="D334" s="26"/>
      <c r="E334" s="29"/>
      <c r="G334" s="19"/>
      <c r="H334" s="19"/>
      <c r="I334" s="19"/>
      <c r="J334" s="19"/>
      <c r="K334" s="19"/>
      <c r="L334" s="18"/>
      <c r="M334" s="18"/>
      <c r="N334" s="18"/>
      <c r="O334" s="18"/>
      <c r="P334" s="18"/>
      <c r="R334" s="17"/>
      <c r="S334" s="17"/>
      <c r="T334" s="17"/>
      <c r="U334" s="17"/>
      <c r="V334" s="17"/>
      <c r="W334" s="17"/>
      <c r="X334" s="17"/>
      <c r="Y334" s="17"/>
      <c r="Z334" s="16"/>
      <c r="AA334" s="31"/>
      <c r="AB334" s="30"/>
      <c r="AC334" s="14"/>
      <c r="AD334" s="13"/>
    </row>
    <row r="335" spans="1:30">
      <c r="A335" s="20"/>
      <c r="B335" s="11"/>
      <c r="C335" s="28"/>
      <c r="D335" s="26"/>
      <c r="E335" s="29"/>
      <c r="G335" s="19"/>
      <c r="H335" s="19"/>
      <c r="I335" s="19"/>
      <c r="J335" s="19"/>
      <c r="K335" s="19"/>
      <c r="L335" s="18"/>
      <c r="M335" s="18"/>
      <c r="N335" s="18"/>
      <c r="O335" s="18"/>
      <c r="P335" s="18"/>
      <c r="R335" s="17"/>
      <c r="S335" s="17"/>
      <c r="T335" s="17"/>
      <c r="U335" s="17"/>
      <c r="V335" s="17"/>
      <c r="W335" s="17"/>
      <c r="X335" s="17"/>
      <c r="Y335" s="17"/>
      <c r="Z335" s="16"/>
      <c r="AA335" s="31"/>
      <c r="AB335" s="30"/>
      <c r="AC335" s="14"/>
      <c r="AD335" s="13"/>
    </row>
    <row r="336" spans="1:30">
      <c r="A336" s="20"/>
      <c r="B336" s="11"/>
      <c r="C336" s="28"/>
      <c r="D336" s="26"/>
      <c r="E336" s="29"/>
      <c r="G336" s="19"/>
      <c r="H336" s="19"/>
      <c r="I336" s="19"/>
      <c r="J336" s="19"/>
      <c r="K336" s="19"/>
      <c r="L336" s="18"/>
      <c r="M336" s="18"/>
      <c r="N336" s="18"/>
      <c r="O336" s="18"/>
      <c r="P336" s="18"/>
      <c r="R336" s="17"/>
      <c r="S336" s="17"/>
      <c r="T336" s="17"/>
      <c r="U336" s="17"/>
      <c r="V336" s="17"/>
      <c r="W336" s="17"/>
      <c r="X336" s="17"/>
      <c r="Y336" s="17"/>
      <c r="Z336" s="16"/>
      <c r="AA336" s="15"/>
      <c r="AB336" s="30"/>
      <c r="AC336" s="14"/>
      <c r="AD336" s="13"/>
    </row>
    <row r="337" spans="1:30">
      <c r="A337" s="20"/>
      <c r="B337" s="11"/>
      <c r="C337" s="28"/>
      <c r="D337" s="26"/>
      <c r="E337" s="29"/>
      <c r="G337" s="19"/>
      <c r="H337" s="19"/>
      <c r="I337" s="19"/>
      <c r="J337" s="19"/>
      <c r="K337" s="19"/>
      <c r="L337" s="18"/>
      <c r="M337" s="18"/>
      <c r="N337" s="18"/>
      <c r="O337" s="18"/>
      <c r="P337" s="18"/>
      <c r="R337" s="17"/>
      <c r="S337" s="17"/>
      <c r="T337" s="17"/>
      <c r="U337" s="17"/>
      <c r="V337" s="17"/>
      <c r="W337" s="17"/>
      <c r="X337" s="17"/>
      <c r="Y337" s="17"/>
      <c r="Z337" s="16"/>
      <c r="AA337" s="15"/>
      <c r="AB337" s="30"/>
      <c r="AC337" s="14"/>
      <c r="AD337" s="13"/>
    </row>
    <row r="338" spans="1:30">
      <c r="A338" s="20"/>
      <c r="B338" s="11"/>
      <c r="C338" s="28"/>
      <c r="D338" s="26"/>
      <c r="E338" s="29"/>
      <c r="G338" s="19"/>
      <c r="H338" s="19"/>
      <c r="I338" s="19"/>
      <c r="J338" s="19"/>
      <c r="K338" s="19"/>
      <c r="L338" s="18"/>
      <c r="M338" s="18"/>
      <c r="N338" s="18"/>
      <c r="O338" s="18"/>
      <c r="P338" s="18"/>
      <c r="R338" s="17"/>
      <c r="S338" s="17"/>
      <c r="T338" s="17"/>
      <c r="U338" s="17"/>
      <c r="V338" s="17"/>
      <c r="W338" s="17"/>
      <c r="X338" s="17"/>
      <c r="Y338" s="17"/>
      <c r="Z338" s="16"/>
      <c r="AA338" s="31"/>
      <c r="AB338" s="30"/>
      <c r="AC338" s="14"/>
      <c r="AD338" s="13"/>
    </row>
    <row r="339" spans="1:30">
      <c r="A339" s="20"/>
      <c r="B339" s="11"/>
      <c r="C339" s="28"/>
      <c r="D339" s="26"/>
      <c r="E339" s="29"/>
      <c r="G339" s="19"/>
      <c r="H339" s="19"/>
      <c r="I339" s="19"/>
      <c r="J339" s="19"/>
      <c r="K339" s="19"/>
      <c r="L339" s="18"/>
      <c r="M339" s="18"/>
      <c r="N339" s="18"/>
      <c r="O339" s="18"/>
      <c r="P339" s="18"/>
      <c r="R339" s="17"/>
      <c r="S339" s="17"/>
      <c r="T339" s="17"/>
      <c r="U339" s="17"/>
      <c r="V339" s="17"/>
      <c r="W339" s="17"/>
      <c r="X339" s="17"/>
      <c r="Y339" s="17"/>
      <c r="Z339" s="16"/>
      <c r="AA339" s="31"/>
      <c r="AB339" s="30"/>
      <c r="AC339" s="14"/>
      <c r="AD339" s="13"/>
    </row>
    <row r="340" spans="1:30">
      <c r="A340" s="20"/>
      <c r="B340" s="11"/>
      <c r="C340" s="28"/>
      <c r="D340" s="26"/>
      <c r="E340" s="29"/>
      <c r="G340" s="19"/>
      <c r="H340" s="19"/>
      <c r="I340" s="19"/>
      <c r="J340" s="19"/>
      <c r="K340" s="19"/>
      <c r="L340" s="18"/>
      <c r="M340" s="18"/>
      <c r="N340" s="18"/>
      <c r="O340" s="18"/>
      <c r="P340" s="18"/>
      <c r="R340" s="17"/>
      <c r="S340" s="17"/>
      <c r="T340" s="17"/>
      <c r="U340" s="17"/>
      <c r="V340" s="17"/>
      <c r="W340" s="17"/>
      <c r="X340" s="17"/>
      <c r="Y340" s="17"/>
      <c r="Z340" s="16"/>
      <c r="AA340" s="15"/>
      <c r="AB340" s="30"/>
      <c r="AC340" s="14"/>
      <c r="AD340" s="13"/>
    </row>
    <row r="341" spans="1:30">
      <c r="A341" s="20"/>
      <c r="B341" s="11"/>
      <c r="C341" s="28"/>
      <c r="D341" s="26"/>
      <c r="E341" s="29"/>
      <c r="G341" s="19"/>
      <c r="H341" s="19"/>
      <c r="I341" s="19"/>
      <c r="J341" s="19"/>
      <c r="K341" s="19"/>
      <c r="L341" s="18"/>
      <c r="M341" s="18"/>
      <c r="N341" s="18"/>
      <c r="O341" s="18"/>
      <c r="P341" s="18"/>
      <c r="R341" s="17"/>
      <c r="S341" s="17"/>
      <c r="T341" s="17"/>
      <c r="U341" s="17"/>
      <c r="V341" s="17"/>
      <c r="W341" s="17"/>
      <c r="X341" s="17"/>
      <c r="Y341" s="17"/>
      <c r="Z341" s="16"/>
      <c r="AA341" s="15"/>
      <c r="AB341" s="30"/>
      <c r="AC341" s="14"/>
      <c r="AD341" s="13"/>
    </row>
    <row r="342" spans="1:30">
      <c r="A342" s="20"/>
      <c r="B342" s="11"/>
      <c r="C342" s="28"/>
      <c r="D342" s="26"/>
      <c r="E342" s="29"/>
      <c r="G342" s="19"/>
      <c r="H342" s="19"/>
      <c r="I342" s="19"/>
      <c r="J342" s="19"/>
      <c r="K342" s="19"/>
      <c r="L342" s="18"/>
      <c r="M342" s="18"/>
      <c r="N342" s="18"/>
      <c r="O342" s="18"/>
      <c r="P342" s="18"/>
      <c r="R342" s="17"/>
      <c r="S342" s="17"/>
      <c r="T342" s="17"/>
      <c r="U342" s="17"/>
      <c r="V342" s="17"/>
      <c r="W342" s="17"/>
      <c r="X342" s="17"/>
      <c r="Y342" s="17"/>
      <c r="Z342" s="16"/>
      <c r="AA342" s="31"/>
      <c r="AB342" s="30"/>
      <c r="AC342" s="14"/>
      <c r="AD342" s="13"/>
    </row>
    <row r="343" spans="1:30">
      <c r="A343" s="20"/>
      <c r="B343" s="11"/>
      <c r="C343" s="28"/>
      <c r="D343" s="26"/>
      <c r="E343" s="29"/>
      <c r="G343" s="19"/>
      <c r="H343" s="19"/>
      <c r="I343" s="19"/>
      <c r="J343" s="19"/>
      <c r="K343" s="19"/>
      <c r="L343" s="18"/>
      <c r="M343" s="18"/>
      <c r="N343" s="18"/>
      <c r="O343" s="18"/>
      <c r="P343" s="18"/>
      <c r="R343" s="17"/>
      <c r="S343" s="17"/>
      <c r="T343" s="17"/>
      <c r="U343" s="17"/>
      <c r="V343" s="17"/>
      <c r="W343" s="17"/>
      <c r="X343" s="17"/>
      <c r="Y343" s="17"/>
      <c r="Z343" s="16"/>
      <c r="AA343" s="31"/>
      <c r="AB343" s="30"/>
      <c r="AC343" s="14"/>
      <c r="AD343" s="13"/>
    </row>
    <row r="344" spans="1:30">
      <c r="A344" s="20"/>
      <c r="B344" s="11"/>
      <c r="C344" s="28"/>
      <c r="D344" s="26"/>
      <c r="E344" s="29"/>
      <c r="G344" s="19"/>
      <c r="H344" s="19"/>
      <c r="I344" s="19"/>
      <c r="J344" s="19"/>
      <c r="K344" s="19"/>
      <c r="L344" s="18"/>
      <c r="M344" s="18"/>
      <c r="N344" s="18"/>
      <c r="O344" s="18"/>
      <c r="P344" s="18"/>
      <c r="R344" s="17"/>
      <c r="S344" s="17"/>
      <c r="T344" s="17"/>
      <c r="U344" s="17"/>
      <c r="V344" s="17"/>
      <c r="W344" s="17"/>
      <c r="X344" s="17"/>
      <c r="Y344" s="17"/>
      <c r="Z344" s="16"/>
      <c r="AA344" s="31"/>
      <c r="AB344" s="30"/>
      <c r="AC344" s="14"/>
      <c r="AD344" s="13"/>
    </row>
    <row r="345" spans="1:30">
      <c r="A345" s="20"/>
      <c r="B345" s="11"/>
      <c r="C345" s="28"/>
      <c r="D345" s="26"/>
      <c r="E345" s="29"/>
      <c r="G345" s="19"/>
      <c r="H345" s="19"/>
      <c r="I345" s="19"/>
      <c r="J345" s="19"/>
      <c r="K345" s="19"/>
      <c r="L345" s="18"/>
      <c r="M345" s="18"/>
      <c r="N345" s="18"/>
      <c r="O345" s="18"/>
      <c r="P345" s="18"/>
      <c r="R345" s="17"/>
      <c r="S345" s="17"/>
      <c r="T345" s="17"/>
      <c r="U345" s="17"/>
      <c r="V345" s="17"/>
      <c r="W345" s="17"/>
      <c r="X345" s="17"/>
      <c r="Y345" s="17"/>
      <c r="Z345" s="16"/>
      <c r="AA345" s="15"/>
      <c r="AB345" s="30"/>
      <c r="AC345" s="14"/>
      <c r="AD345" s="13"/>
    </row>
    <row r="346" spans="1:30">
      <c r="A346" s="20"/>
      <c r="B346" s="11"/>
      <c r="C346" s="28"/>
      <c r="D346" s="26"/>
      <c r="E346" s="29"/>
      <c r="G346" s="19"/>
      <c r="H346" s="19"/>
      <c r="I346" s="19"/>
      <c r="J346" s="19"/>
      <c r="K346" s="19"/>
      <c r="L346" s="18"/>
      <c r="M346" s="18"/>
      <c r="N346" s="18"/>
      <c r="O346" s="18"/>
      <c r="P346" s="18"/>
      <c r="R346" s="17"/>
      <c r="S346" s="17"/>
      <c r="T346" s="17"/>
      <c r="U346" s="17"/>
      <c r="V346" s="17"/>
      <c r="W346" s="17"/>
      <c r="X346" s="17"/>
      <c r="Y346" s="17"/>
      <c r="Z346" s="16"/>
      <c r="AA346" s="31"/>
      <c r="AB346" s="30"/>
      <c r="AC346" s="32"/>
      <c r="AD346" s="13"/>
    </row>
    <row r="347" spans="1:30">
      <c r="A347" s="20"/>
      <c r="B347" s="11"/>
      <c r="C347" s="28"/>
      <c r="D347" s="26"/>
      <c r="E347" s="29"/>
      <c r="G347" s="19"/>
      <c r="H347" s="19"/>
      <c r="I347" s="19"/>
      <c r="J347" s="19"/>
      <c r="K347" s="19"/>
      <c r="L347" s="18"/>
      <c r="M347" s="18"/>
      <c r="N347" s="18"/>
      <c r="O347" s="18"/>
      <c r="P347" s="18"/>
      <c r="R347" s="17"/>
      <c r="S347" s="17"/>
      <c r="T347" s="17"/>
      <c r="U347" s="17"/>
      <c r="V347" s="17"/>
      <c r="W347" s="17"/>
      <c r="X347" s="17"/>
      <c r="Y347" s="17"/>
      <c r="Z347" s="16"/>
      <c r="AA347" s="15"/>
      <c r="AB347" s="30"/>
      <c r="AC347" s="14"/>
      <c r="AD347" s="13"/>
    </row>
    <row r="348" spans="1:30">
      <c r="A348" s="20"/>
      <c r="B348" s="11"/>
      <c r="C348" s="28"/>
      <c r="D348" s="26"/>
      <c r="E348" s="29"/>
      <c r="G348" s="19"/>
      <c r="H348" s="19"/>
      <c r="I348" s="19"/>
      <c r="J348" s="19"/>
      <c r="K348" s="19"/>
      <c r="L348" s="18"/>
      <c r="M348" s="18"/>
      <c r="N348" s="18"/>
      <c r="O348" s="18"/>
      <c r="P348" s="18"/>
      <c r="R348" s="17"/>
      <c r="S348" s="17"/>
      <c r="T348" s="17"/>
      <c r="U348" s="17"/>
      <c r="V348" s="17"/>
      <c r="W348" s="17"/>
      <c r="X348" s="17"/>
      <c r="Y348" s="17"/>
      <c r="Z348" s="16"/>
      <c r="AA348" s="31"/>
      <c r="AB348" s="30"/>
      <c r="AC348" s="14"/>
      <c r="AD348" s="13"/>
    </row>
    <row r="349" spans="1:30">
      <c r="A349" s="20"/>
      <c r="B349" s="11"/>
      <c r="C349" s="28"/>
      <c r="D349" s="26"/>
      <c r="E349" s="29"/>
      <c r="G349" s="19"/>
      <c r="H349" s="19"/>
      <c r="I349" s="19"/>
      <c r="J349" s="19"/>
      <c r="K349" s="19"/>
      <c r="L349" s="18"/>
      <c r="M349" s="18"/>
      <c r="N349" s="18"/>
      <c r="O349" s="18"/>
      <c r="P349" s="18"/>
      <c r="R349" s="17"/>
      <c r="S349" s="17"/>
      <c r="T349" s="17"/>
      <c r="U349" s="17"/>
      <c r="V349" s="17"/>
      <c r="W349" s="17"/>
      <c r="X349" s="17"/>
      <c r="Y349" s="17"/>
      <c r="Z349" s="16"/>
      <c r="AA349" s="15"/>
      <c r="AB349" s="30"/>
      <c r="AC349" s="14"/>
      <c r="AD349" s="13"/>
    </row>
    <row r="350" spans="1:30">
      <c r="A350" s="20"/>
      <c r="B350" s="11"/>
      <c r="C350" s="28"/>
      <c r="D350" s="26"/>
      <c r="E350" s="29"/>
      <c r="G350" s="19"/>
      <c r="H350" s="19"/>
      <c r="I350" s="19"/>
      <c r="J350" s="19"/>
      <c r="K350" s="19"/>
      <c r="L350" s="18"/>
      <c r="M350" s="18"/>
      <c r="N350" s="18"/>
      <c r="O350" s="18"/>
      <c r="P350" s="18"/>
      <c r="R350" s="17"/>
      <c r="S350" s="17"/>
      <c r="T350" s="17"/>
      <c r="U350" s="17"/>
      <c r="V350" s="17"/>
      <c r="W350" s="17"/>
      <c r="X350" s="17"/>
      <c r="Y350" s="17"/>
      <c r="Z350" s="16"/>
      <c r="AA350" s="31"/>
      <c r="AB350" s="30"/>
      <c r="AC350" s="14"/>
      <c r="AD350" s="13"/>
    </row>
    <row r="351" spans="1:30">
      <c r="A351" s="20"/>
      <c r="B351" s="11"/>
      <c r="C351" s="28"/>
      <c r="D351" s="26"/>
      <c r="E351" s="29"/>
      <c r="G351" s="19"/>
      <c r="H351" s="19"/>
      <c r="I351" s="19"/>
      <c r="J351" s="19"/>
      <c r="K351" s="19"/>
      <c r="L351" s="18"/>
      <c r="M351" s="18"/>
      <c r="N351" s="18"/>
      <c r="O351" s="18"/>
      <c r="P351" s="18"/>
      <c r="R351" s="17"/>
      <c r="S351" s="17"/>
      <c r="T351" s="17"/>
      <c r="U351" s="17"/>
      <c r="V351" s="17"/>
      <c r="W351" s="17"/>
      <c r="X351" s="17"/>
      <c r="Y351" s="17"/>
      <c r="Z351" s="16"/>
      <c r="AA351" s="15"/>
      <c r="AB351" s="26"/>
      <c r="AC351" s="14"/>
      <c r="AD351" s="13"/>
    </row>
    <row r="352" spans="1:30">
      <c r="A352" s="20"/>
      <c r="B352" s="11"/>
      <c r="C352" s="28"/>
      <c r="D352" s="26"/>
      <c r="E352" s="27"/>
      <c r="G352" s="25"/>
      <c r="H352" s="25"/>
      <c r="I352" s="25"/>
      <c r="J352" s="25"/>
      <c r="K352" s="25"/>
      <c r="L352" s="24"/>
      <c r="M352" s="24"/>
      <c r="N352" s="24"/>
      <c r="O352" s="24"/>
      <c r="P352" s="24"/>
      <c r="R352" s="23"/>
      <c r="S352" s="23"/>
      <c r="T352" s="23"/>
      <c r="U352" s="23"/>
      <c r="V352" s="23"/>
      <c r="W352" s="23"/>
      <c r="X352" s="23"/>
      <c r="Y352" s="23"/>
      <c r="Z352" s="22"/>
      <c r="AA352" s="21"/>
      <c r="AB352" s="26"/>
      <c r="AC352" s="14"/>
      <c r="AD352" s="13"/>
    </row>
    <row r="353" spans="1:30">
      <c r="A353" s="20"/>
      <c r="B353" s="11"/>
      <c r="C353" s="10"/>
      <c r="D353" s="10"/>
      <c r="E353" s="10"/>
      <c r="G353" s="25"/>
      <c r="H353" s="25"/>
      <c r="I353" s="25"/>
      <c r="J353" s="25"/>
      <c r="K353" s="25"/>
      <c r="L353" s="24"/>
      <c r="M353" s="24"/>
      <c r="N353" s="24"/>
      <c r="O353" s="24"/>
      <c r="P353" s="24"/>
      <c r="R353" s="23"/>
      <c r="S353" s="23"/>
      <c r="T353" s="23"/>
      <c r="U353" s="23"/>
      <c r="V353" s="23"/>
      <c r="W353" s="23"/>
      <c r="X353" s="23"/>
      <c r="Y353" s="23"/>
      <c r="Z353" s="22"/>
      <c r="AA353" s="21"/>
      <c r="AB353" s="4"/>
      <c r="AC353" s="14"/>
      <c r="AD353" s="13"/>
    </row>
    <row r="354" spans="1:30">
      <c r="A354" s="20"/>
      <c r="B354" s="11"/>
      <c r="C354" s="10"/>
      <c r="D354" s="10"/>
      <c r="E354" s="10"/>
      <c r="G354" s="19"/>
      <c r="H354" s="19"/>
      <c r="I354" s="19"/>
      <c r="J354" s="19"/>
      <c r="K354" s="19"/>
      <c r="L354" s="18"/>
      <c r="M354" s="18"/>
      <c r="N354" s="18"/>
      <c r="O354" s="18"/>
      <c r="P354" s="18"/>
      <c r="R354" s="17"/>
      <c r="S354" s="17"/>
      <c r="T354" s="17"/>
      <c r="U354" s="17"/>
      <c r="V354" s="17"/>
      <c r="W354" s="17"/>
      <c r="X354" s="17"/>
      <c r="Y354" s="17"/>
      <c r="Z354" s="16"/>
      <c r="AA354" s="15"/>
      <c r="AB354" s="4"/>
      <c r="AC354" s="14"/>
      <c r="AD354" s="13"/>
    </row>
    <row r="355" spans="1:30">
      <c r="A355" s="20"/>
      <c r="B355" s="11"/>
      <c r="C355" s="10"/>
      <c r="D355" s="10"/>
      <c r="E355" s="10"/>
      <c r="G355" s="19"/>
      <c r="H355" s="19"/>
      <c r="I355" s="19"/>
      <c r="J355" s="19"/>
      <c r="K355" s="19"/>
      <c r="L355" s="18"/>
      <c r="M355" s="18"/>
      <c r="N355" s="18"/>
      <c r="O355" s="18"/>
      <c r="P355" s="18"/>
      <c r="R355" s="17"/>
      <c r="S355" s="17"/>
      <c r="T355" s="17"/>
      <c r="U355" s="17"/>
      <c r="V355" s="17"/>
      <c r="W355" s="17"/>
      <c r="X355" s="17"/>
      <c r="Y355" s="17"/>
      <c r="Z355" s="16"/>
      <c r="AA355" s="15"/>
      <c r="AB355" s="4"/>
      <c r="AC355" s="14"/>
      <c r="AD355" s="13"/>
    </row>
    <row r="356" spans="1:30">
      <c r="A356" s="20"/>
      <c r="B356" s="11"/>
      <c r="C356" s="10"/>
      <c r="D356" s="10"/>
      <c r="E356" s="10"/>
      <c r="G356" s="25"/>
      <c r="H356" s="25"/>
      <c r="I356" s="25"/>
      <c r="J356" s="25"/>
      <c r="K356" s="25"/>
      <c r="L356" s="24"/>
      <c r="M356" s="24"/>
      <c r="N356" s="24"/>
      <c r="O356" s="24"/>
      <c r="P356" s="24"/>
      <c r="R356" s="23"/>
      <c r="S356" s="23"/>
      <c r="T356" s="23"/>
      <c r="U356" s="23"/>
      <c r="V356" s="23"/>
      <c r="W356" s="23"/>
      <c r="X356" s="23"/>
      <c r="Y356" s="23"/>
      <c r="Z356" s="22"/>
      <c r="AA356" s="21"/>
      <c r="AB356" s="4"/>
      <c r="AC356" s="14"/>
      <c r="AD356" s="13"/>
    </row>
    <row r="357" spans="1:30">
      <c r="A357" s="20"/>
      <c r="B357" s="11"/>
      <c r="C357" s="10"/>
      <c r="D357" s="10"/>
      <c r="E357" s="10"/>
      <c r="G357" s="19"/>
      <c r="H357" s="19"/>
      <c r="I357" s="19"/>
      <c r="J357" s="19"/>
      <c r="K357" s="19"/>
      <c r="L357" s="18"/>
      <c r="M357" s="18"/>
      <c r="N357" s="18"/>
      <c r="O357" s="18"/>
      <c r="P357" s="18"/>
      <c r="R357" s="17"/>
      <c r="S357" s="17"/>
      <c r="T357" s="17"/>
      <c r="U357" s="17"/>
      <c r="V357" s="17"/>
      <c r="W357" s="17"/>
      <c r="X357" s="17"/>
      <c r="Y357" s="17"/>
      <c r="Z357" s="16"/>
      <c r="AA357" s="15"/>
      <c r="AB357" s="4"/>
      <c r="AC357" s="14"/>
      <c r="AD357" s="13"/>
    </row>
    <row r="358" spans="1:30">
      <c r="A358" s="20"/>
      <c r="B358" s="11"/>
      <c r="C358" s="10"/>
      <c r="D358" s="10"/>
      <c r="E358" s="10"/>
      <c r="G358" s="19"/>
      <c r="H358" s="19"/>
      <c r="I358" s="19"/>
      <c r="J358" s="19"/>
      <c r="K358" s="19"/>
      <c r="L358" s="18"/>
      <c r="M358" s="18"/>
      <c r="N358" s="18"/>
      <c r="O358" s="18"/>
      <c r="P358" s="18"/>
      <c r="R358" s="17"/>
      <c r="S358" s="17"/>
      <c r="T358" s="17"/>
      <c r="U358" s="17"/>
      <c r="V358" s="17"/>
      <c r="W358" s="17"/>
      <c r="X358" s="17"/>
      <c r="Y358" s="17"/>
      <c r="Z358" s="16"/>
      <c r="AA358" s="15"/>
      <c r="AB358" s="4"/>
      <c r="AC358" s="14"/>
      <c r="AD358" s="13"/>
    </row>
    <row r="359" spans="1:30">
      <c r="A359" s="20"/>
      <c r="B359" s="11"/>
      <c r="C359" s="10"/>
      <c r="D359" s="10"/>
      <c r="E359" s="10"/>
      <c r="G359" s="19"/>
      <c r="H359" s="19"/>
      <c r="I359" s="19"/>
      <c r="J359" s="19"/>
      <c r="K359" s="19"/>
      <c r="L359" s="18"/>
      <c r="M359" s="18"/>
      <c r="N359" s="18"/>
      <c r="O359" s="18"/>
      <c r="P359" s="18"/>
      <c r="R359" s="17"/>
      <c r="S359" s="17"/>
      <c r="T359" s="17"/>
      <c r="U359" s="17"/>
      <c r="V359" s="17"/>
      <c r="W359" s="17"/>
      <c r="X359" s="17"/>
      <c r="Y359" s="17"/>
      <c r="Z359" s="16"/>
      <c r="AA359" s="15"/>
      <c r="AB359" s="4"/>
      <c r="AC359" s="14"/>
      <c r="AD359" s="13"/>
    </row>
    <row r="360" spans="1:30">
      <c r="A360" s="20"/>
      <c r="B360" s="11"/>
      <c r="C360" s="10"/>
      <c r="D360" s="10"/>
      <c r="E360" s="10"/>
      <c r="G360" s="19"/>
      <c r="H360" s="19"/>
      <c r="I360" s="19"/>
      <c r="J360" s="19"/>
      <c r="K360" s="19"/>
      <c r="L360" s="18"/>
      <c r="M360" s="18"/>
      <c r="N360" s="18"/>
      <c r="O360" s="18"/>
      <c r="P360" s="18"/>
      <c r="R360" s="17"/>
      <c r="S360" s="17"/>
      <c r="T360" s="17"/>
      <c r="U360" s="17"/>
      <c r="V360" s="17"/>
      <c r="W360" s="17"/>
      <c r="X360" s="17"/>
      <c r="Y360" s="17"/>
      <c r="Z360" s="16"/>
      <c r="AA360" s="15"/>
      <c r="AB360" s="4"/>
      <c r="AC360" s="14"/>
      <c r="AD360" s="13"/>
    </row>
    <row r="361" spans="1:30">
      <c r="A361" s="20"/>
      <c r="B361" s="11"/>
      <c r="C361" s="10"/>
      <c r="D361" s="10"/>
      <c r="E361" s="10"/>
      <c r="G361" s="19"/>
      <c r="H361" s="19"/>
      <c r="I361" s="19"/>
      <c r="J361" s="19"/>
      <c r="K361" s="19"/>
      <c r="L361" s="18"/>
      <c r="M361" s="18"/>
      <c r="N361" s="18"/>
      <c r="O361" s="18"/>
      <c r="P361" s="18"/>
      <c r="R361" s="17"/>
      <c r="S361" s="17"/>
      <c r="T361" s="17"/>
      <c r="U361" s="17"/>
      <c r="V361" s="17"/>
      <c r="W361" s="17"/>
      <c r="X361" s="17"/>
      <c r="Y361" s="17"/>
      <c r="Z361" s="16"/>
      <c r="AA361" s="15"/>
      <c r="AB361" s="4"/>
      <c r="AC361" s="14"/>
      <c r="AD361" s="13"/>
    </row>
    <row r="362" spans="1:30">
      <c r="A362" s="20"/>
      <c r="B362" s="11"/>
      <c r="C362" s="10"/>
      <c r="D362" s="10"/>
      <c r="E362" s="10"/>
      <c r="G362" s="19"/>
      <c r="H362" s="19"/>
      <c r="I362" s="19"/>
      <c r="J362" s="19"/>
      <c r="K362" s="19"/>
      <c r="L362" s="18"/>
      <c r="M362" s="18"/>
      <c r="N362" s="18"/>
      <c r="O362" s="18"/>
      <c r="P362" s="18"/>
      <c r="R362" s="17"/>
      <c r="S362" s="17"/>
      <c r="T362" s="17"/>
      <c r="U362" s="17"/>
      <c r="V362" s="17"/>
      <c r="W362" s="17"/>
      <c r="X362" s="17"/>
      <c r="Y362" s="17"/>
      <c r="Z362" s="16"/>
      <c r="AA362" s="15"/>
      <c r="AB362" s="4"/>
      <c r="AC362" s="14"/>
      <c r="AD362" s="13"/>
    </row>
    <row r="363" spans="1:30">
      <c r="A363" s="20"/>
      <c r="B363" s="11"/>
      <c r="C363" s="10"/>
      <c r="D363" s="10"/>
      <c r="E363" s="10"/>
      <c r="G363" s="19"/>
      <c r="H363" s="19"/>
      <c r="I363" s="19"/>
      <c r="J363" s="19"/>
      <c r="K363" s="19"/>
      <c r="L363" s="18"/>
      <c r="M363" s="18"/>
      <c r="N363" s="18"/>
      <c r="O363" s="18"/>
      <c r="P363" s="18"/>
      <c r="R363" s="17"/>
      <c r="S363" s="17"/>
      <c r="T363" s="17"/>
      <c r="U363" s="17"/>
      <c r="V363" s="17"/>
      <c r="W363" s="17"/>
      <c r="X363" s="17"/>
      <c r="Y363" s="17"/>
      <c r="Z363" s="16"/>
      <c r="AA363" s="15"/>
      <c r="AB363" s="4"/>
      <c r="AC363" s="14"/>
      <c r="AD363" s="13"/>
    </row>
    <row r="364" spans="1:30">
      <c r="A364" s="20"/>
      <c r="B364" s="11"/>
      <c r="C364" s="10"/>
      <c r="D364" s="10"/>
      <c r="E364" s="10"/>
      <c r="G364" s="19"/>
      <c r="H364" s="19"/>
      <c r="I364" s="19"/>
      <c r="J364" s="19"/>
      <c r="K364" s="19"/>
      <c r="L364" s="18"/>
      <c r="M364" s="18"/>
      <c r="N364" s="18"/>
      <c r="O364" s="18"/>
      <c r="P364" s="18"/>
      <c r="R364" s="17"/>
      <c r="S364" s="17"/>
      <c r="T364" s="17"/>
      <c r="U364" s="17"/>
      <c r="V364" s="17"/>
      <c r="W364" s="17"/>
      <c r="X364" s="17"/>
      <c r="Y364" s="17"/>
      <c r="Z364" s="16"/>
      <c r="AA364" s="15"/>
      <c r="AB364" s="4"/>
      <c r="AC364" s="14"/>
      <c r="AD364" s="13"/>
    </row>
    <row r="365" spans="1:30">
      <c r="A365" s="20"/>
      <c r="B365" s="11"/>
      <c r="C365" s="10"/>
      <c r="D365" s="10"/>
      <c r="E365" s="10"/>
      <c r="G365" s="19"/>
      <c r="H365" s="19"/>
      <c r="I365" s="19"/>
      <c r="J365" s="19"/>
      <c r="K365" s="19"/>
      <c r="L365" s="18"/>
      <c r="M365" s="18"/>
      <c r="N365" s="18"/>
      <c r="O365" s="18"/>
      <c r="P365" s="18"/>
      <c r="R365" s="17"/>
      <c r="S365" s="17"/>
      <c r="T365" s="17"/>
      <c r="U365" s="17"/>
      <c r="V365" s="17"/>
      <c r="W365" s="17"/>
      <c r="X365" s="17"/>
      <c r="Y365" s="17"/>
      <c r="Z365" s="16"/>
      <c r="AA365" s="15"/>
      <c r="AB365" s="4"/>
      <c r="AC365" s="14"/>
      <c r="AD365" s="13"/>
    </row>
    <row r="366" spans="1:30">
      <c r="A366" s="20"/>
      <c r="B366" s="11"/>
      <c r="C366" s="10"/>
      <c r="D366" s="10"/>
      <c r="E366" s="10"/>
      <c r="G366" s="19"/>
      <c r="H366" s="19"/>
      <c r="I366" s="19"/>
      <c r="J366" s="19"/>
      <c r="K366" s="19"/>
      <c r="L366" s="18"/>
      <c r="M366" s="18"/>
      <c r="N366" s="18"/>
      <c r="O366" s="18"/>
      <c r="P366" s="18"/>
      <c r="R366" s="17"/>
      <c r="S366" s="17"/>
      <c r="T366" s="17"/>
      <c r="U366" s="17"/>
      <c r="V366" s="17"/>
      <c r="W366" s="17"/>
      <c r="X366" s="17"/>
      <c r="Y366" s="17"/>
      <c r="Z366" s="16"/>
      <c r="AA366" s="15"/>
      <c r="AB366" s="4"/>
      <c r="AC366" s="14"/>
      <c r="AD366" s="13"/>
    </row>
    <row r="367" spans="1:30">
      <c r="A367" s="20"/>
      <c r="B367" s="11"/>
      <c r="C367" s="10"/>
      <c r="D367" s="10"/>
      <c r="E367" s="10"/>
      <c r="G367" s="19"/>
      <c r="H367" s="19"/>
      <c r="I367" s="19"/>
      <c r="J367" s="19"/>
      <c r="K367" s="19"/>
      <c r="L367" s="18"/>
      <c r="M367" s="18"/>
      <c r="N367" s="18"/>
      <c r="O367" s="18"/>
      <c r="P367" s="18"/>
      <c r="R367" s="17"/>
      <c r="S367" s="17"/>
      <c r="T367" s="17"/>
      <c r="U367" s="17"/>
      <c r="V367" s="17"/>
      <c r="W367" s="17"/>
      <c r="X367" s="17"/>
      <c r="Y367" s="17"/>
      <c r="Z367" s="16"/>
      <c r="AA367" s="15"/>
      <c r="AB367" s="4"/>
      <c r="AC367" s="14"/>
      <c r="AD367" s="13"/>
    </row>
    <row r="368" spans="1:30">
      <c r="A368" s="20"/>
      <c r="B368" s="11"/>
      <c r="C368" s="10"/>
      <c r="D368" s="10"/>
      <c r="E368" s="10"/>
      <c r="G368" s="19"/>
      <c r="H368" s="19"/>
      <c r="I368" s="19"/>
      <c r="J368" s="19"/>
      <c r="K368" s="19"/>
      <c r="L368" s="18"/>
      <c r="M368" s="18"/>
      <c r="N368" s="18"/>
      <c r="O368" s="18"/>
      <c r="P368" s="18"/>
      <c r="R368" s="17"/>
      <c r="S368" s="17"/>
      <c r="T368" s="17"/>
      <c r="U368" s="17"/>
      <c r="V368" s="17"/>
      <c r="W368" s="17"/>
      <c r="X368" s="17"/>
      <c r="Y368" s="17"/>
      <c r="Z368" s="16"/>
      <c r="AA368" s="15"/>
      <c r="AB368" s="4"/>
      <c r="AC368" s="14"/>
      <c r="AD368" s="13"/>
    </row>
    <row r="369" spans="1:30">
      <c r="A369" s="20"/>
      <c r="B369" s="11"/>
      <c r="C369" s="10"/>
      <c r="D369" s="10"/>
      <c r="E369" s="10"/>
      <c r="G369" s="19"/>
      <c r="H369" s="19"/>
      <c r="I369" s="19"/>
      <c r="J369" s="19"/>
      <c r="K369" s="19"/>
      <c r="L369" s="18"/>
      <c r="M369" s="18"/>
      <c r="N369" s="18"/>
      <c r="O369" s="18"/>
      <c r="P369" s="18"/>
      <c r="R369" s="17"/>
      <c r="S369" s="17"/>
      <c r="T369" s="17"/>
      <c r="U369" s="17"/>
      <c r="V369" s="17"/>
      <c r="W369" s="17"/>
      <c r="X369" s="17"/>
      <c r="Y369" s="17"/>
      <c r="Z369" s="16"/>
      <c r="AA369" s="15"/>
      <c r="AB369" s="4"/>
      <c r="AC369" s="14"/>
      <c r="AD369" s="13"/>
    </row>
    <row r="370" spans="1:30">
      <c r="A370" s="20"/>
      <c r="B370" s="11"/>
      <c r="C370" s="10"/>
      <c r="D370" s="10"/>
      <c r="E370" s="10"/>
      <c r="G370" s="19"/>
      <c r="H370" s="19"/>
      <c r="I370" s="19"/>
      <c r="J370" s="19"/>
      <c r="K370" s="19"/>
      <c r="L370" s="18"/>
      <c r="M370" s="18"/>
      <c r="N370" s="18"/>
      <c r="O370" s="18"/>
      <c r="P370" s="18"/>
      <c r="R370" s="17"/>
      <c r="S370" s="17"/>
      <c r="T370" s="17"/>
      <c r="U370" s="17"/>
      <c r="V370" s="17"/>
      <c r="W370" s="17"/>
      <c r="X370" s="17"/>
      <c r="Y370" s="17"/>
      <c r="Z370" s="16"/>
      <c r="AA370" s="15"/>
      <c r="AB370" s="4"/>
      <c r="AC370" s="14"/>
      <c r="AD370" s="13"/>
    </row>
    <row r="371" spans="1:30">
      <c r="A371" s="20"/>
      <c r="B371" s="11"/>
      <c r="C371" s="10"/>
      <c r="D371" s="10"/>
      <c r="E371" s="10"/>
      <c r="G371" s="19"/>
      <c r="H371" s="19"/>
      <c r="I371" s="19"/>
      <c r="J371" s="19"/>
      <c r="K371" s="19"/>
      <c r="L371" s="18"/>
      <c r="M371" s="18"/>
      <c r="N371" s="18"/>
      <c r="O371" s="18"/>
      <c r="P371" s="18"/>
      <c r="R371" s="17"/>
      <c r="S371" s="17"/>
      <c r="T371" s="17"/>
      <c r="U371" s="17"/>
      <c r="V371" s="17"/>
      <c r="W371" s="17"/>
      <c r="X371" s="17"/>
      <c r="Y371" s="17"/>
      <c r="Z371" s="16"/>
      <c r="AA371" s="15"/>
      <c r="AB371" s="4"/>
      <c r="AC371" s="14"/>
      <c r="AD371" s="13"/>
    </row>
    <row r="372" spans="1:30">
      <c r="A372" s="20"/>
      <c r="B372" s="11"/>
      <c r="C372" s="10"/>
      <c r="D372" s="10"/>
      <c r="E372" s="10"/>
      <c r="G372" s="19"/>
      <c r="H372" s="19"/>
      <c r="I372" s="19"/>
      <c r="J372" s="19"/>
      <c r="K372" s="19"/>
      <c r="L372" s="18"/>
      <c r="M372" s="18"/>
      <c r="N372" s="18"/>
      <c r="O372" s="18"/>
      <c r="P372" s="18"/>
      <c r="R372" s="17"/>
      <c r="S372" s="17"/>
      <c r="T372" s="17"/>
      <c r="U372" s="17"/>
      <c r="V372" s="17"/>
      <c r="W372" s="17"/>
      <c r="X372" s="17"/>
      <c r="Y372" s="17"/>
      <c r="Z372" s="16"/>
      <c r="AA372" s="15"/>
      <c r="AB372" s="4"/>
      <c r="AC372" s="14"/>
      <c r="AD372" s="13"/>
    </row>
    <row r="373" spans="1:30">
      <c r="A373" s="20"/>
      <c r="B373" s="11"/>
      <c r="C373" s="10"/>
      <c r="D373" s="10"/>
      <c r="E373" s="10"/>
      <c r="G373" s="19"/>
      <c r="H373" s="19"/>
      <c r="I373" s="19"/>
      <c r="J373" s="19"/>
      <c r="K373" s="19"/>
      <c r="L373" s="18"/>
      <c r="M373" s="18"/>
      <c r="N373" s="18"/>
      <c r="O373" s="18"/>
      <c r="P373" s="18"/>
      <c r="R373" s="17"/>
      <c r="S373" s="17"/>
      <c r="T373" s="17"/>
      <c r="U373" s="17"/>
      <c r="V373" s="17"/>
      <c r="W373" s="17"/>
      <c r="X373" s="17"/>
      <c r="Y373" s="17"/>
      <c r="Z373" s="16"/>
      <c r="AA373" s="15"/>
      <c r="AB373" s="4"/>
      <c r="AC373" s="14"/>
      <c r="AD373" s="13"/>
    </row>
    <row r="374" spans="1:30">
      <c r="A374" s="20"/>
      <c r="B374" s="11"/>
      <c r="C374" s="10"/>
      <c r="D374" s="10"/>
      <c r="E374" s="10"/>
      <c r="G374" s="19"/>
      <c r="H374" s="19"/>
      <c r="I374" s="19"/>
      <c r="J374" s="19"/>
      <c r="K374" s="19"/>
      <c r="L374" s="18"/>
      <c r="M374" s="18"/>
      <c r="N374" s="18"/>
      <c r="O374" s="18"/>
      <c r="P374" s="18"/>
      <c r="R374" s="17"/>
      <c r="S374" s="17"/>
      <c r="T374" s="17"/>
      <c r="U374" s="17"/>
      <c r="V374" s="17"/>
      <c r="W374" s="17"/>
      <c r="X374" s="17"/>
      <c r="Y374" s="17"/>
      <c r="Z374" s="16"/>
      <c r="AA374" s="15"/>
      <c r="AB374" s="4"/>
      <c r="AC374" s="14"/>
      <c r="AD374" s="13"/>
    </row>
    <row r="375" spans="1:30">
      <c r="A375" s="20"/>
      <c r="B375" s="11"/>
      <c r="C375" s="10"/>
      <c r="D375" s="10"/>
      <c r="E375" s="10"/>
      <c r="G375" s="19"/>
      <c r="H375" s="19"/>
      <c r="I375" s="19"/>
      <c r="J375" s="19"/>
      <c r="K375" s="19"/>
      <c r="L375" s="18"/>
      <c r="M375" s="18"/>
      <c r="N375" s="18"/>
      <c r="O375" s="18"/>
      <c r="P375" s="18"/>
      <c r="R375" s="17"/>
      <c r="S375" s="17"/>
      <c r="T375" s="17"/>
      <c r="U375" s="17"/>
      <c r="V375" s="17"/>
      <c r="W375" s="17"/>
      <c r="X375" s="17"/>
      <c r="Y375" s="17"/>
      <c r="Z375" s="16"/>
      <c r="AA375" s="15"/>
      <c r="AB375" s="4"/>
      <c r="AC375" s="14"/>
      <c r="AD375" s="13"/>
    </row>
    <row r="376" spans="1:30">
      <c r="A376" s="20"/>
      <c r="B376" s="11"/>
      <c r="C376" s="10"/>
      <c r="D376" s="10"/>
      <c r="E376" s="10"/>
      <c r="G376" s="19"/>
      <c r="H376" s="19"/>
      <c r="I376" s="19"/>
      <c r="J376" s="19"/>
      <c r="K376" s="19"/>
      <c r="L376" s="18"/>
      <c r="M376" s="18"/>
      <c r="N376" s="18"/>
      <c r="O376" s="18"/>
      <c r="P376" s="18"/>
      <c r="R376" s="17"/>
      <c r="S376" s="17"/>
      <c r="T376" s="17"/>
      <c r="U376" s="17"/>
      <c r="V376" s="17"/>
      <c r="W376" s="17"/>
      <c r="X376" s="17"/>
      <c r="Y376" s="17"/>
      <c r="Z376" s="16"/>
      <c r="AA376" s="15"/>
      <c r="AB376" s="4"/>
      <c r="AC376" s="14"/>
      <c r="AD376" s="13"/>
    </row>
    <row r="377" spans="1:30">
      <c r="A377" s="20"/>
      <c r="B377" s="11"/>
      <c r="C377" s="10"/>
      <c r="D377" s="10"/>
      <c r="E377" s="10"/>
      <c r="G377" s="19"/>
      <c r="H377" s="19"/>
      <c r="I377" s="19"/>
      <c r="J377" s="19"/>
      <c r="K377" s="19"/>
      <c r="L377" s="18"/>
      <c r="M377" s="18"/>
      <c r="N377" s="18"/>
      <c r="O377" s="18"/>
      <c r="P377" s="18"/>
      <c r="R377" s="17"/>
      <c r="S377" s="17"/>
      <c r="T377" s="17"/>
      <c r="U377" s="17"/>
      <c r="V377" s="17"/>
      <c r="W377" s="17"/>
      <c r="X377" s="17"/>
      <c r="Y377" s="17"/>
      <c r="Z377" s="16"/>
      <c r="AA377" s="15"/>
      <c r="AB377" s="4"/>
      <c r="AC377" s="14"/>
      <c r="AD377" s="13"/>
    </row>
    <row r="378" spans="1:30">
      <c r="A378" s="20"/>
      <c r="B378" s="11"/>
      <c r="C378" s="10"/>
      <c r="D378" s="10"/>
      <c r="E378" s="10"/>
      <c r="G378" s="19"/>
      <c r="H378" s="19"/>
      <c r="I378" s="19"/>
      <c r="J378" s="19"/>
      <c r="K378" s="19"/>
      <c r="L378" s="18"/>
      <c r="M378" s="18"/>
      <c r="N378" s="18"/>
      <c r="O378" s="18"/>
      <c r="P378" s="18"/>
      <c r="R378" s="17"/>
      <c r="S378" s="17"/>
      <c r="T378" s="17"/>
      <c r="U378" s="17"/>
      <c r="V378" s="17"/>
      <c r="W378" s="17"/>
      <c r="X378" s="17"/>
      <c r="Y378" s="17"/>
      <c r="Z378" s="16"/>
      <c r="AA378" s="15"/>
      <c r="AB378" s="4"/>
      <c r="AC378" s="14"/>
      <c r="AD378" s="13"/>
    </row>
    <row r="379" spans="1:30">
      <c r="A379" s="20"/>
      <c r="B379" s="11"/>
      <c r="C379" s="10"/>
      <c r="D379" s="10"/>
      <c r="E379" s="10"/>
      <c r="G379" s="19"/>
      <c r="H379" s="19"/>
      <c r="I379" s="19"/>
      <c r="J379" s="19"/>
      <c r="K379" s="19"/>
      <c r="L379" s="18"/>
      <c r="M379" s="18"/>
      <c r="N379" s="18"/>
      <c r="O379" s="18"/>
      <c r="P379" s="18"/>
      <c r="R379" s="17"/>
      <c r="S379" s="17"/>
      <c r="T379" s="17"/>
      <c r="U379" s="17"/>
      <c r="V379" s="17"/>
      <c r="W379" s="17"/>
      <c r="X379" s="17"/>
      <c r="Y379" s="17"/>
      <c r="Z379" s="16"/>
      <c r="AA379" s="15"/>
      <c r="AB379" s="4"/>
      <c r="AC379" s="14"/>
      <c r="AD379" s="13"/>
    </row>
    <row r="380" spans="1:30">
      <c r="A380" s="20"/>
      <c r="B380" s="11"/>
      <c r="C380" s="10"/>
      <c r="D380" s="10"/>
      <c r="E380" s="10"/>
      <c r="G380" s="19"/>
      <c r="H380" s="19"/>
      <c r="I380" s="19"/>
      <c r="J380" s="19"/>
      <c r="K380" s="19"/>
      <c r="L380" s="18"/>
      <c r="M380" s="18"/>
      <c r="N380" s="18"/>
      <c r="O380" s="18"/>
      <c r="P380" s="18"/>
      <c r="R380" s="17"/>
      <c r="S380" s="17"/>
      <c r="T380" s="17"/>
      <c r="U380" s="17"/>
      <c r="V380" s="17"/>
      <c r="W380" s="17"/>
      <c r="X380" s="17"/>
      <c r="Y380" s="17"/>
      <c r="Z380" s="16"/>
      <c r="AA380" s="15"/>
      <c r="AB380" s="4"/>
      <c r="AC380" s="14"/>
      <c r="AD380" s="13"/>
    </row>
    <row r="381" spans="1:30">
      <c r="A381" s="20"/>
      <c r="B381" s="11"/>
      <c r="C381" s="10"/>
      <c r="D381" s="10"/>
      <c r="E381" s="10"/>
      <c r="G381" s="19"/>
      <c r="H381" s="19"/>
      <c r="I381" s="19"/>
      <c r="J381" s="19"/>
      <c r="K381" s="19"/>
      <c r="L381" s="18"/>
      <c r="M381" s="18"/>
      <c r="N381" s="18"/>
      <c r="O381" s="18"/>
      <c r="P381" s="18"/>
      <c r="R381" s="17"/>
      <c r="S381" s="17"/>
      <c r="T381" s="17"/>
      <c r="U381" s="17"/>
      <c r="V381" s="17"/>
      <c r="W381" s="17"/>
      <c r="X381" s="17"/>
      <c r="Y381" s="17"/>
      <c r="Z381" s="16"/>
      <c r="AA381" s="15"/>
      <c r="AB381" s="4"/>
      <c r="AC381" s="14"/>
      <c r="AD381" s="13"/>
    </row>
    <row r="382" spans="1:30">
      <c r="A382" s="20"/>
      <c r="B382" s="11"/>
      <c r="C382" s="10"/>
      <c r="D382" s="10"/>
      <c r="E382" s="10"/>
      <c r="G382" s="19"/>
      <c r="H382" s="19"/>
      <c r="I382" s="19"/>
      <c r="J382" s="19"/>
      <c r="K382" s="19"/>
      <c r="L382" s="18"/>
      <c r="M382" s="18"/>
      <c r="N382" s="18"/>
      <c r="O382" s="18"/>
      <c r="P382" s="18"/>
      <c r="R382" s="17"/>
      <c r="S382" s="17"/>
      <c r="T382" s="17"/>
      <c r="U382" s="17"/>
      <c r="V382" s="17"/>
      <c r="W382" s="17"/>
      <c r="X382" s="17"/>
      <c r="Y382" s="17"/>
      <c r="Z382" s="16"/>
      <c r="AA382" s="15"/>
      <c r="AB382" s="4"/>
      <c r="AC382" s="14"/>
      <c r="AD382" s="13"/>
    </row>
    <row r="383" spans="1:30">
      <c r="A383" s="20"/>
      <c r="B383" s="11"/>
      <c r="C383" s="10"/>
      <c r="D383" s="10"/>
      <c r="E383" s="10"/>
      <c r="G383" s="19"/>
      <c r="H383" s="19"/>
      <c r="I383" s="19"/>
      <c r="J383" s="19"/>
      <c r="K383" s="19"/>
      <c r="L383" s="18"/>
      <c r="M383" s="18"/>
      <c r="N383" s="18"/>
      <c r="O383" s="18"/>
      <c r="P383" s="18"/>
      <c r="R383" s="17"/>
      <c r="S383" s="17"/>
      <c r="T383" s="17"/>
      <c r="U383" s="17"/>
      <c r="V383" s="17"/>
      <c r="W383" s="17"/>
      <c r="X383" s="17"/>
      <c r="Y383" s="17"/>
      <c r="Z383" s="16"/>
      <c r="AA383" s="15"/>
      <c r="AB383" s="4"/>
      <c r="AC383" s="14"/>
      <c r="AD383" s="13"/>
    </row>
    <row r="384" spans="1:30">
      <c r="A384" s="20"/>
      <c r="B384" s="11"/>
      <c r="C384" s="10"/>
      <c r="D384" s="10"/>
      <c r="E384" s="10"/>
      <c r="G384" s="19"/>
      <c r="H384" s="19"/>
      <c r="I384" s="19"/>
      <c r="J384" s="19"/>
      <c r="K384" s="19"/>
      <c r="L384" s="18"/>
      <c r="M384" s="18"/>
      <c r="N384" s="18"/>
      <c r="O384" s="18"/>
      <c r="P384" s="18"/>
      <c r="R384" s="17"/>
      <c r="S384" s="17"/>
      <c r="T384" s="17"/>
      <c r="U384" s="17"/>
      <c r="V384" s="17"/>
      <c r="W384" s="17"/>
      <c r="X384" s="17"/>
      <c r="Y384" s="17"/>
      <c r="Z384" s="16"/>
      <c r="AA384" s="15"/>
      <c r="AB384" s="4"/>
      <c r="AC384" s="14"/>
      <c r="AD384" s="13"/>
    </row>
    <row r="385" spans="1:30">
      <c r="A385" s="20"/>
      <c r="B385" s="11"/>
      <c r="C385" s="10"/>
      <c r="D385" s="10"/>
      <c r="E385" s="10"/>
      <c r="G385" s="19"/>
      <c r="H385" s="19"/>
      <c r="I385" s="19"/>
      <c r="J385" s="19"/>
      <c r="K385" s="19"/>
      <c r="L385" s="18"/>
      <c r="M385" s="18"/>
      <c r="N385" s="18"/>
      <c r="O385" s="18"/>
      <c r="P385" s="18"/>
      <c r="R385" s="17"/>
      <c r="S385" s="17"/>
      <c r="T385" s="17"/>
      <c r="U385" s="17"/>
      <c r="V385" s="17"/>
      <c r="W385" s="17"/>
      <c r="X385" s="17"/>
      <c r="Y385" s="17"/>
      <c r="Z385" s="16"/>
      <c r="AA385" s="15"/>
      <c r="AB385" s="4"/>
      <c r="AC385" s="14"/>
      <c r="AD385" s="13"/>
    </row>
    <row r="386" spans="1:30">
      <c r="A386" s="20"/>
      <c r="B386" s="11"/>
      <c r="C386" s="10"/>
      <c r="D386" s="10"/>
      <c r="E386" s="10"/>
      <c r="G386" s="19"/>
      <c r="H386" s="19"/>
      <c r="I386" s="19"/>
      <c r="J386" s="19"/>
      <c r="K386" s="19"/>
      <c r="L386" s="18"/>
      <c r="M386" s="18"/>
      <c r="N386" s="18"/>
      <c r="O386" s="18"/>
      <c r="P386" s="18"/>
      <c r="R386" s="17"/>
      <c r="S386" s="17"/>
      <c r="T386" s="17"/>
      <c r="U386" s="17"/>
      <c r="V386" s="17"/>
      <c r="W386" s="17"/>
      <c r="X386" s="17"/>
      <c r="Y386" s="17"/>
      <c r="Z386" s="16"/>
      <c r="AA386" s="15"/>
      <c r="AB386" s="4"/>
      <c r="AC386" s="14"/>
      <c r="AD386" s="13"/>
    </row>
    <row r="387" spans="1:30">
      <c r="A387" s="20"/>
      <c r="B387" s="11"/>
      <c r="C387" s="10"/>
      <c r="D387" s="10"/>
      <c r="E387" s="10"/>
      <c r="G387" s="19"/>
      <c r="H387" s="19"/>
      <c r="I387" s="19"/>
      <c r="J387" s="19"/>
      <c r="K387" s="19"/>
      <c r="L387" s="18"/>
      <c r="M387" s="18"/>
      <c r="N387" s="18"/>
      <c r="O387" s="18"/>
      <c r="P387" s="18"/>
      <c r="R387" s="17"/>
      <c r="S387" s="17"/>
      <c r="T387" s="17"/>
      <c r="U387" s="17"/>
      <c r="V387" s="17"/>
      <c r="W387" s="17"/>
      <c r="X387" s="17"/>
      <c r="Y387" s="17"/>
      <c r="Z387" s="16"/>
      <c r="AA387" s="15"/>
      <c r="AB387" s="4"/>
      <c r="AC387" s="14"/>
      <c r="AD387" s="13"/>
    </row>
    <row r="388" spans="1:30">
      <c r="A388" s="20"/>
      <c r="B388" s="11"/>
      <c r="C388" s="10"/>
      <c r="D388" s="10"/>
      <c r="E388" s="10"/>
      <c r="G388" s="19"/>
      <c r="H388" s="19"/>
      <c r="I388" s="19"/>
      <c r="J388" s="19"/>
      <c r="K388" s="19"/>
      <c r="L388" s="18"/>
      <c r="M388" s="18"/>
      <c r="N388" s="18"/>
      <c r="O388" s="18"/>
      <c r="P388" s="18"/>
      <c r="R388" s="17"/>
      <c r="S388" s="17"/>
      <c r="T388" s="17"/>
      <c r="U388" s="17"/>
      <c r="V388" s="17"/>
      <c r="W388" s="17"/>
      <c r="X388" s="17"/>
      <c r="Y388" s="17"/>
      <c r="Z388" s="16"/>
      <c r="AA388" s="15"/>
      <c r="AB388" s="4"/>
      <c r="AC388" s="14"/>
      <c r="AD388" s="13"/>
    </row>
    <row r="389" spans="1:30">
      <c r="A389" s="20"/>
      <c r="B389" s="11"/>
      <c r="C389" s="10"/>
      <c r="D389" s="10"/>
      <c r="E389" s="10"/>
      <c r="G389" s="19"/>
      <c r="H389" s="19"/>
      <c r="I389" s="19"/>
      <c r="J389" s="19"/>
      <c r="K389" s="19"/>
      <c r="L389" s="18"/>
      <c r="M389" s="18"/>
      <c r="N389" s="18"/>
      <c r="O389" s="18"/>
      <c r="P389" s="18"/>
      <c r="R389" s="17"/>
      <c r="S389" s="17"/>
      <c r="T389" s="17"/>
      <c r="U389" s="17"/>
      <c r="V389" s="17"/>
      <c r="W389" s="17"/>
      <c r="X389" s="17"/>
      <c r="Y389" s="17"/>
      <c r="Z389" s="16"/>
      <c r="AA389" s="15"/>
      <c r="AB389" s="4"/>
      <c r="AC389" s="14"/>
      <c r="AD389" s="13"/>
    </row>
    <row r="390" spans="1:30">
      <c r="A390" s="20"/>
      <c r="B390" s="11"/>
      <c r="C390" s="10"/>
      <c r="D390" s="10"/>
      <c r="E390" s="10"/>
      <c r="G390" s="19"/>
      <c r="H390" s="19"/>
      <c r="I390" s="19"/>
      <c r="J390" s="19"/>
      <c r="K390" s="19"/>
      <c r="L390" s="18"/>
      <c r="M390" s="18"/>
      <c r="N390" s="18"/>
      <c r="O390" s="18"/>
      <c r="P390" s="18"/>
      <c r="R390" s="17"/>
      <c r="S390" s="17"/>
      <c r="T390" s="17"/>
      <c r="U390" s="17"/>
      <c r="V390" s="17"/>
      <c r="W390" s="17"/>
      <c r="X390" s="17"/>
      <c r="Y390" s="17"/>
      <c r="Z390" s="16"/>
      <c r="AA390" s="15"/>
      <c r="AB390" s="4"/>
      <c r="AC390" s="14"/>
      <c r="AD390" s="13"/>
    </row>
    <row r="391" spans="1:30">
      <c r="A391" s="20"/>
      <c r="B391" s="11"/>
      <c r="C391" s="10"/>
      <c r="D391" s="10"/>
      <c r="E391" s="10"/>
      <c r="G391" s="19"/>
      <c r="H391" s="19"/>
      <c r="I391" s="19"/>
      <c r="J391" s="19"/>
      <c r="K391" s="19"/>
      <c r="L391" s="18"/>
      <c r="M391" s="18"/>
      <c r="N391" s="18"/>
      <c r="O391" s="18"/>
      <c r="P391" s="18"/>
      <c r="R391" s="17"/>
      <c r="S391" s="17"/>
      <c r="T391" s="17"/>
      <c r="U391" s="17"/>
      <c r="V391" s="17"/>
      <c r="W391" s="17"/>
      <c r="X391" s="17"/>
      <c r="Y391" s="17"/>
      <c r="Z391" s="16"/>
      <c r="AA391" s="15"/>
      <c r="AB391" s="4"/>
      <c r="AC391" s="14"/>
      <c r="AD391" s="13"/>
    </row>
    <row r="392" spans="1:30">
      <c r="A392" s="20"/>
      <c r="B392" s="11"/>
      <c r="C392" s="10"/>
      <c r="D392" s="10"/>
      <c r="E392" s="10"/>
      <c r="G392" s="19"/>
      <c r="H392" s="19"/>
      <c r="I392" s="19"/>
      <c r="J392" s="19"/>
      <c r="K392" s="19"/>
      <c r="L392" s="18"/>
      <c r="M392" s="18"/>
      <c r="N392" s="18"/>
      <c r="O392" s="18"/>
      <c r="P392" s="18"/>
      <c r="R392" s="17"/>
      <c r="S392" s="17"/>
      <c r="T392" s="17"/>
      <c r="U392" s="17"/>
      <c r="V392" s="17"/>
      <c r="W392" s="17"/>
      <c r="X392" s="17"/>
      <c r="Y392" s="17"/>
      <c r="Z392" s="16"/>
      <c r="AA392" s="15"/>
      <c r="AB392" s="4"/>
      <c r="AC392" s="14"/>
      <c r="AD392" s="13"/>
    </row>
    <row r="393" spans="1:30">
      <c r="A393" s="20"/>
      <c r="B393" s="11"/>
      <c r="C393" s="10"/>
      <c r="D393" s="10"/>
      <c r="E393" s="10"/>
      <c r="G393" s="19"/>
      <c r="H393" s="19"/>
      <c r="I393" s="19"/>
      <c r="J393" s="19"/>
      <c r="K393" s="19"/>
      <c r="L393" s="18"/>
      <c r="M393" s="18"/>
      <c r="N393" s="18"/>
      <c r="O393" s="18"/>
      <c r="P393" s="18"/>
      <c r="R393" s="17"/>
      <c r="S393" s="17"/>
      <c r="T393" s="17"/>
      <c r="U393" s="17"/>
      <c r="V393" s="17"/>
      <c r="W393" s="17"/>
      <c r="X393" s="17"/>
      <c r="Y393" s="17"/>
      <c r="Z393" s="16"/>
      <c r="AA393" s="15"/>
      <c r="AB393" s="4"/>
      <c r="AC393" s="14"/>
      <c r="AD393" s="13"/>
    </row>
    <row r="394" spans="1:30">
      <c r="A394" s="20"/>
      <c r="B394" s="11"/>
      <c r="C394" s="10"/>
      <c r="D394" s="10"/>
      <c r="E394" s="10"/>
      <c r="G394" s="19"/>
      <c r="H394" s="19"/>
      <c r="I394" s="19"/>
      <c r="J394" s="19"/>
      <c r="K394" s="19"/>
      <c r="L394" s="18"/>
      <c r="M394" s="18"/>
      <c r="N394" s="18"/>
      <c r="O394" s="18"/>
      <c r="P394" s="18"/>
      <c r="R394" s="17"/>
      <c r="S394" s="17"/>
      <c r="T394" s="17"/>
      <c r="U394" s="17"/>
      <c r="V394" s="17"/>
      <c r="W394" s="17"/>
      <c r="X394" s="17"/>
      <c r="Y394" s="17"/>
      <c r="Z394" s="16"/>
      <c r="AA394" s="15"/>
      <c r="AB394" s="4"/>
      <c r="AC394" s="14"/>
      <c r="AD394" s="13"/>
    </row>
    <row r="395" spans="1:30">
      <c r="A395" s="20"/>
      <c r="B395" s="11"/>
      <c r="C395" s="10"/>
      <c r="D395" s="10"/>
      <c r="E395" s="10"/>
      <c r="G395" s="19"/>
      <c r="H395" s="19"/>
      <c r="I395" s="19"/>
      <c r="J395" s="19"/>
      <c r="K395" s="19"/>
      <c r="L395" s="18"/>
      <c r="M395" s="18"/>
      <c r="N395" s="18"/>
      <c r="O395" s="18"/>
      <c r="P395" s="18"/>
      <c r="R395" s="17"/>
      <c r="S395" s="17"/>
      <c r="T395" s="17"/>
      <c r="U395" s="17"/>
      <c r="V395" s="17"/>
      <c r="W395" s="17"/>
      <c r="X395" s="17"/>
      <c r="Y395" s="17"/>
      <c r="Z395" s="16"/>
      <c r="AA395" s="15"/>
      <c r="AB395" s="4"/>
      <c r="AC395" s="14"/>
      <c r="AD395" s="13"/>
    </row>
    <row r="396" spans="1:30">
      <c r="A396" s="20"/>
      <c r="B396" s="11"/>
      <c r="C396" s="10"/>
      <c r="D396" s="10"/>
      <c r="E396" s="10"/>
      <c r="G396" s="19"/>
      <c r="H396" s="19"/>
      <c r="I396" s="19"/>
      <c r="J396" s="19"/>
      <c r="K396" s="19"/>
      <c r="L396" s="18"/>
      <c r="M396" s="18"/>
      <c r="N396" s="18"/>
      <c r="O396" s="18"/>
      <c r="P396" s="18"/>
      <c r="R396" s="17"/>
      <c r="S396" s="17"/>
      <c r="T396" s="17"/>
      <c r="U396" s="17"/>
      <c r="V396" s="17"/>
      <c r="W396" s="17"/>
      <c r="X396" s="17"/>
      <c r="Y396" s="17"/>
      <c r="Z396" s="16"/>
      <c r="AA396" s="15"/>
      <c r="AB396" s="4"/>
      <c r="AC396" s="14"/>
      <c r="AD396" s="13"/>
    </row>
    <row r="397" spans="1:30">
      <c r="A397" s="20"/>
      <c r="B397" s="11"/>
      <c r="C397" s="10"/>
      <c r="D397" s="10"/>
      <c r="E397" s="10"/>
      <c r="G397" s="19"/>
      <c r="H397" s="19"/>
      <c r="I397" s="19"/>
      <c r="J397" s="19"/>
      <c r="K397" s="19"/>
      <c r="L397" s="18"/>
      <c r="M397" s="18"/>
      <c r="N397" s="18"/>
      <c r="O397" s="18"/>
      <c r="P397" s="18"/>
      <c r="R397" s="17"/>
      <c r="S397" s="17"/>
      <c r="T397" s="17"/>
      <c r="U397" s="17"/>
      <c r="V397" s="17"/>
      <c r="W397" s="17"/>
      <c r="X397" s="17"/>
      <c r="Y397" s="17"/>
      <c r="Z397" s="16"/>
      <c r="AA397" s="15"/>
      <c r="AB397" s="4"/>
      <c r="AC397" s="14"/>
      <c r="AD397" s="13"/>
    </row>
    <row r="398" spans="1:30">
      <c r="A398" s="20"/>
      <c r="B398" s="11"/>
      <c r="C398" s="10"/>
      <c r="D398" s="10"/>
      <c r="E398" s="10"/>
      <c r="G398" s="19"/>
      <c r="H398" s="19"/>
      <c r="I398" s="19"/>
      <c r="J398" s="19"/>
      <c r="K398" s="19"/>
      <c r="L398" s="18"/>
      <c r="M398" s="18"/>
      <c r="N398" s="18"/>
      <c r="O398" s="18"/>
      <c r="P398" s="18"/>
      <c r="R398" s="17"/>
      <c r="S398" s="17"/>
      <c r="T398" s="17"/>
      <c r="U398" s="17"/>
      <c r="V398" s="17"/>
      <c r="W398" s="17"/>
      <c r="X398" s="17"/>
      <c r="Y398" s="17"/>
      <c r="Z398" s="16"/>
      <c r="AA398" s="15"/>
      <c r="AB398" s="4"/>
      <c r="AC398" s="14"/>
      <c r="AD398" s="13"/>
    </row>
    <row r="399" spans="1:30">
      <c r="A399" s="20"/>
      <c r="B399" s="11"/>
      <c r="C399" s="10"/>
      <c r="D399" s="10"/>
      <c r="E399" s="10"/>
      <c r="G399" s="19"/>
      <c r="H399" s="19"/>
      <c r="I399" s="19"/>
      <c r="J399" s="19"/>
      <c r="K399" s="19"/>
      <c r="L399" s="18"/>
      <c r="M399" s="18"/>
      <c r="N399" s="18"/>
      <c r="O399" s="18"/>
      <c r="P399" s="18"/>
      <c r="R399" s="17"/>
      <c r="S399" s="17"/>
      <c r="T399" s="17"/>
      <c r="U399" s="17"/>
      <c r="V399" s="17"/>
      <c r="W399" s="17"/>
      <c r="X399" s="17"/>
      <c r="Y399" s="17"/>
      <c r="Z399" s="16"/>
      <c r="AA399" s="15"/>
      <c r="AB399" s="4"/>
      <c r="AC399" s="14"/>
      <c r="AD399" s="13"/>
    </row>
    <row r="400" spans="1:30">
      <c r="A400" s="20"/>
      <c r="B400" s="11"/>
      <c r="C400" s="10"/>
      <c r="D400" s="10"/>
      <c r="E400" s="10"/>
      <c r="G400" s="19"/>
      <c r="H400" s="19"/>
      <c r="I400" s="19"/>
      <c r="J400" s="19"/>
      <c r="K400" s="19"/>
      <c r="L400" s="18"/>
      <c r="M400" s="18"/>
      <c r="N400" s="18"/>
      <c r="O400" s="18"/>
      <c r="P400" s="18"/>
      <c r="R400" s="17"/>
      <c r="S400" s="17"/>
      <c r="T400" s="17"/>
      <c r="U400" s="17"/>
      <c r="V400" s="17"/>
      <c r="W400" s="17"/>
      <c r="X400" s="17"/>
      <c r="Y400" s="17"/>
      <c r="Z400" s="16"/>
      <c r="AA400" s="15"/>
      <c r="AB400" s="4"/>
      <c r="AC400" s="14"/>
      <c r="AD400" s="13"/>
    </row>
    <row r="401" spans="1:30">
      <c r="A401" s="20"/>
      <c r="B401" s="11"/>
      <c r="C401" s="10"/>
      <c r="D401" s="10"/>
      <c r="E401" s="10"/>
      <c r="G401" s="19"/>
      <c r="H401" s="19"/>
      <c r="I401" s="19"/>
      <c r="J401" s="19"/>
      <c r="K401" s="19"/>
      <c r="L401" s="18"/>
      <c r="M401" s="18"/>
      <c r="N401" s="18"/>
      <c r="O401" s="18"/>
      <c r="P401" s="18"/>
      <c r="R401" s="17"/>
      <c r="S401" s="17"/>
      <c r="T401" s="17"/>
      <c r="U401" s="17"/>
      <c r="V401" s="17"/>
      <c r="W401" s="17"/>
      <c r="X401" s="17"/>
      <c r="Y401" s="17"/>
      <c r="Z401" s="16"/>
      <c r="AA401" s="15"/>
      <c r="AB401" s="4"/>
      <c r="AC401" s="14"/>
      <c r="AD401" s="13"/>
    </row>
    <row r="402" spans="1:30">
      <c r="A402" s="20"/>
      <c r="B402" s="11"/>
      <c r="C402" s="10"/>
      <c r="D402" s="10"/>
      <c r="E402" s="10"/>
      <c r="G402" s="19"/>
      <c r="H402" s="19"/>
      <c r="I402" s="19"/>
      <c r="J402" s="19"/>
      <c r="K402" s="19"/>
      <c r="L402" s="18"/>
      <c r="M402" s="18"/>
      <c r="N402" s="18"/>
      <c r="O402" s="18"/>
      <c r="P402" s="18"/>
      <c r="R402" s="17"/>
      <c r="S402" s="17"/>
      <c r="T402" s="17"/>
      <c r="U402" s="17"/>
      <c r="V402" s="17"/>
      <c r="W402" s="17"/>
      <c r="X402" s="17"/>
      <c r="Y402" s="17"/>
      <c r="Z402" s="16"/>
      <c r="AA402" s="15"/>
      <c r="AB402" s="4"/>
      <c r="AC402" s="14"/>
      <c r="AD402" s="13"/>
    </row>
    <row r="403" spans="1:30">
      <c r="A403" s="20"/>
      <c r="B403" s="11"/>
      <c r="C403" s="10"/>
      <c r="D403" s="10"/>
      <c r="E403" s="10"/>
      <c r="G403" s="19"/>
      <c r="H403" s="19"/>
      <c r="I403" s="19"/>
      <c r="J403" s="19"/>
      <c r="K403" s="19"/>
      <c r="L403" s="18"/>
      <c r="M403" s="18"/>
      <c r="N403" s="18"/>
      <c r="O403" s="18"/>
      <c r="P403" s="18"/>
      <c r="R403" s="17"/>
      <c r="S403" s="17"/>
      <c r="T403" s="17"/>
      <c r="U403" s="17"/>
      <c r="V403" s="17"/>
      <c r="W403" s="17"/>
      <c r="X403" s="17"/>
      <c r="Y403" s="17"/>
      <c r="Z403" s="16"/>
      <c r="AA403" s="15"/>
      <c r="AB403" s="4"/>
      <c r="AC403" s="14"/>
      <c r="AD403" s="13"/>
    </row>
    <row r="404" spans="1:30">
      <c r="A404" s="20"/>
      <c r="B404" s="11"/>
      <c r="C404" s="10"/>
      <c r="D404" s="10"/>
      <c r="E404" s="10"/>
      <c r="G404" s="19"/>
      <c r="H404" s="19"/>
      <c r="I404" s="19"/>
      <c r="J404" s="19"/>
      <c r="K404" s="19"/>
      <c r="L404" s="18"/>
      <c r="M404" s="18"/>
      <c r="N404" s="18"/>
      <c r="O404" s="18"/>
      <c r="P404" s="18"/>
      <c r="R404" s="17"/>
      <c r="S404" s="17"/>
      <c r="T404" s="17"/>
      <c r="U404" s="17"/>
      <c r="V404" s="17"/>
      <c r="W404" s="17"/>
      <c r="X404" s="17"/>
      <c r="Y404" s="17"/>
      <c r="Z404" s="16"/>
      <c r="AA404" s="15"/>
      <c r="AB404" s="4"/>
      <c r="AC404" s="14"/>
      <c r="AD404" s="13"/>
    </row>
    <row r="405" spans="1:30">
      <c r="A405" s="20"/>
      <c r="B405" s="11"/>
      <c r="C405" s="10"/>
      <c r="D405" s="10"/>
      <c r="E405" s="10"/>
      <c r="G405" s="19"/>
      <c r="H405" s="19"/>
      <c r="I405" s="19"/>
      <c r="J405" s="19"/>
      <c r="K405" s="19"/>
      <c r="L405" s="18"/>
      <c r="M405" s="18"/>
      <c r="N405" s="18"/>
      <c r="O405" s="18"/>
      <c r="P405" s="18"/>
      <c r="R405" s="17"/>
      <c r="S405" s="17"/>
      <c r="T405" s="17"/>
      <c r="U405" s="17"/>
      <c r="V405" s="17"/>
      <c r="W405" s="17"/>
      <c r="X405" s="17"/>
      <c r="Y405" s="17"/>
      <c r="Z405" s="16"/>
      <c r="AA405" s="15"/>
      <c r="AB405" s="4"/>
      <c r="AC405" s="14"/>
      <c r="AD405" s="13"/>
    </row>
    <row r="406" spans="1:30">
      <c r="A406" s="20"/>
      <c r="B406" s="11"/>
      <c r="C406" s="10"/>
      <c r="D406" s="10"/>
      <c r="E406" s="10"/>
      <c r="G406" s="19"/>
      <c r="H406" s="19"/>
      <c r="I406" s="19"/>
      <c r="J406" s="19"/>
      <c r="K406" s="19"/>
      <c r="L406" s="18"/>
      <c r="M406" s="18"/>
      <c r="N406" s="18"/>
      <c r="O406" s="18"/>
      <c r="P406" s="18"/>
      <c r="R406" s="17"/>
      <c r="S406" s="17"/>
      <c r="T406" s="17"/>
      <c r="U406" s="17"/>
      <c r="V406" s="17"/>
      <c r="W406" s="17"/>
      <c r="X406" s="17"/>
      <c r="Y406" s="17"/>
      <c r="Z406" s="16"/>
      <c r="AA406" s="15"/>
      <c r="AB406" s="4"/>
      <c r="AC406" s="14"/>
      <c r="AD406" s="13"/>
    </row>
    <row r="407" spans="1:30">
      <c r="A407" s="20"/>
      <c r="B407" s="11"/>
      <c r="C407" s="10"/>
      <c r="D407" s="10"/>
      <c r="E407" s="10"/>
      <c r="G407" s="19"/>
      <c r="H407" s="19"/>
      <c r="I407" s="19"/>
      <c r="J407" s="19"/>
      <c r="K407" s="19"/>
      <c r="L407" s="18"/>
      <c r="M407" s="18"/>
      <c r="N407" s="18"/>
      <c r="O407" s="18"/>
      <c r="P407" s="18"/>
      <c r="R407" s="17"/>
      <c r="S407" s="17"/>
      <c r="T407" s="17"/>
      <c r="U407" s="17"/>
      <c r="V407" s="17"/>
      <c r="W407" s="17"/>
      <c r="X407" s="17"/>
      <c r="Y407" s="17"/>
      <c r="Z407" s="16"/>
      <c r="AA407" s="15"/>
      <c r="AB407" s="4"/>
      <c r="AC407" s="14"/>
      <c r="AD407" s="13"/>
    </row>
    <row r="408" spans="1:30">
      <c r="A408" s="20"/>
      <c r="B408" s="11"/>
      <c r="C408" s="10"/>
      <c r="D408" s="10"/>
      <c r="E408" s="10"/>
      <c r="G408" s="19"/>
      <c r="H408" s="19"/>
      <c r="I408" s="19"/>
      <c r="J408" s="19"/>
      <c r="K408" s="19"/>
      <c r="L408" s="18"/>
      <c r="M408" s="18"/>
      <c r="N408" s="18"/>
      <c r="O408" s="18"/>
      <c r="P408" s="18"/>
      <c r="R408" s="17"/>
      <c r="S408" s="17"/>
      <c r="T408" s="17"/>
      <c r="U408" s="17"/>
      <c r="V408" s="17"/>
      <c r="W408" s="17"/>
      <c r="X408" s="17"/>
      <c r="Y408" s="17"/>
      <c r="Z408" s="16"/>
      <c r="AA408" s="15"/>
      <c r="AB408" s="4"/>
      <c r="AC408" s="14"/>
      <c r="AD408" s="13"/>
    </row>
    <row r="409" spans="1:30">
      <c r="A409" s="20"/>
      <c r="B409" s="11"/>
      <c r="C409" s="10"/>
      <c r="D409" s="10"/>
      <c r="E409" s="10"/>
      <c r="G409" s="19"/>
      <c r="H409" s="19"/>
      <c r="I409" s="19"/>
      <c r="J409" s="19"/>
      <c r="K409" s="19"/>
      <c r="L409" s="18"/>
      <c r="M409" s="18"/>
      <c r="N409" s="18"/>
      <c r="O409" s="18"/>
      <c r="P409" s="18"/>
      <c r="R409" s="17"/>
      <c r="S409" s="17"/>
      <c r="T409" s="17"/>
      <c r="U409" s="17"/>
      <c r="V409" s="17"/>
      <c r="W409" s="17"/>
      <c r="X409" s="17"/>
      <c r="Y409" s="17"/>
      <c r="Z409" s="16"/>
      <c r="AA409" s="15"/>
      <c r="AB409" s="4"/>
      <c r="AC409" s="14"/>
      <c r="AD409" s="13"/>
    </row>
    <row r="410" spans="1:30">
      <c r="A410" s="20"/>
      <c r="B410" s="11"/>
      <c r="C410" s="10"/>
      <c r="D410" s="10"/>
      <c r="E410" s="10"/>
      <c r="G410" s="19"/>
      <c r="H410" s="19"/>
      <c r="I410" s="19"/>
      <c r="J410" s="19"/>
      <c r="K410" s="19"/>
      <c r="L410" s="18"/>
      <c r="M410" s="18"/>
      <c r="N410" s="18"/>
      <c r="O410" s="18"/>
      <c r="P410" s="18"/>
      <c r="R410" s="17"/>
      <c r="S410" s="17"/>
      <c r="T410" s="17"/>
      <c r="U410" s="17"/>
      <c r="V410" s="17"/>
      <c r="W410" s="17"/>
      <c r="X410" s="17"/>
      <c r="Y410" s="17"/>
      <c r="Z410" s="16"/>
      <c r="AA410" s="15"/>
      <c r="AB410" s="4"/>
      <c r="AC410" s="14"/>
      <c r="AD410" s="13"/>
    </row>
    <row r="411" spans="1:30">
      <c r="A411" s="20"/>
      <c r="B411" s="11"/>
      <c r="C411" s="10"/>
      <c r="D411" s="10"/>
      <c r="E411" s="10"/>
      <c r="G411" s="19"/>
      <c r="H411" s="19"/>
      <c r="I411" s="19"/>
      <c r="J411" s="19"/>
      <c r="K411" s="19"/>
      <c r="L411" s="18"/>
      <c r="M411" s="18"/>
      <c r="N411" s="18"/>
      <c r="O411" s="18"/>
      <c r="P411" s="18"/>
      <c r="R411" s="17"/>
      <c r="S411" s="17"/>
      <c r="T411" s="17"/>
      <c r="U411" s="17"/>
      <c r="V411" s="17"/>
      <c r="W411" s="17"/>
      <c r="X411" s="17"/>
      <c r="Y411" s="17"/>
      <c r="Z411" s="16"/>
      <c r="AA411" s="15"/>
      <c r="AB411" s="4"/>
      <c r="AC411" s="14"/>
      <c r="AD411" s="13"/>
    </row>
    <row r="412" spans="1:30">
      <c r="A412" s="20"/>
      <c r="B412" s="11"/>
      <c r="C412" s="10"/>
      <c r="D412" s="10"/>
      <c r="E412" s="10"/>
      <c r="G412" s="19"/>
      <c r="H412" s="19"/>
      <c r="I412" s="19"/>
      <c r="J412" s="19"/>
      <c r="K412" s="19"/>
      <c r="L412" s="18"/>
      <c r="M412" s="18"/>
      <c r="N412" s="18"/>
      <c r="O412" s="18"/>
      <c r="P412" s="18"/>
      <c r="R412" s="17"/>
      <c r="S412" s="17"/>
      <c r="T412" s="17"/>
      <c r="U412" s="17"/>
      <c r="V412" s="17"/>
      <c r="W412" s="17"/>
      <c r="X412" s="17"/>
      <c r="Y412" s="17"/>
      <c r="Z412" s="16"/>
      <c r="AA412" s="15"/>
      <c r="AB412" s="4"/>
      <c r="AC412" s="14"/>
      <c r="AD412" s="13"/>
    </row>
    <row r="413" spans="1:30">
      <c r="A413" s="20"/>
      <c r="B413" s="11"/>
      <c r="C413" s="10"/>
      <c r="D413" s="10"/>
      <c r="E413" s="10"/>
      <c r="G413" s="19"/>
      <c r="H413" s="19"/>
      <c r="I413" s="19"/>
      <c r="J413" s="19"/>
      <c r="K413" s="19"/>
      <c r="L413" s="18"/>
      <c r="M413" s="18"/>
      <c r="N413" s="18"/>
      <c r="O413" s="18"/>
      <c r="P413" s="18"/>
      <c r="R413" s="17"/>
      <c r="S413" s="17"/>
      <c r="T413" s="17"/>
      <c r="U413" s="17"/>
      <c r="V413" s="17"/>
      <c r="W413" s="17"/>
      <c r="X413" s="17"/>
      <c r="Y413" s="17"/>
      <c r="Z413" s="16"/>
      <c r="AA413" s="15"/>
      <c r="AB413" s="4"/>
      <c r="AC413" s="14"/>
      <c r="AD413" s="13"/>
    </row>
    <row r="414" spans="1:30">
      <c r="A414" s="20"/>
      <c r="B414" s="11"/>
      <c r="C414" s="10"/>
      <c r="D414" s="10"/>
      <c r="E414" s="10"/>
      <c r="G414" s="19"/>
      <c r="H414" s="19"/>
      <c r="I414" s="19"/>
      <c r="J414" s="19"/>
      <c r="K414" s="19"/>
      <c r="L414" s="18"/>
      <c r="M414" s="18"/>
      <c r="N414" s="18"/>
      <c r="O414" s="18"/>
      <c r="P414" s="18"/>
      <c r="R414" s="17"/>
      <c r="S414" s="17"/>
      <c r="T414" s="17"/>
      <c r="U414" s="17"/>
      <c r="V414" s="17"/>
      <c r="W414" s="17"/>
      <c r="X414" s="17"/>
      <c r="Y414" s="17"/>
      <c r="Z414" s="16"/>
      <c r="AA414" s="15"/>
      <c r="AB414" s="4"/>
      <c r="AC414" s="14"/>
      <c r="AD414" s="13"/>
    </row>
    <row r="415" spans="1:30">
      <c r="A415" s="20"/>
      <c r="B415" s="11"/>
      <c r="C415" s="10"/>
      <c r="D415" s="10"/>
      <c r="E415" s="10"/>
      <c r="G415" s="19"/>
      <c r="H415" s="19"/>
      <c r="I415" s="19"/>
      <c r="J415" s="19"/>
      <c r="K415" s="19"/>
      <c r="L415" s="18"/>
      <c r="M415" s="18"/>
      <c r="N415" s="18"/>
      <c r="O415" s="18"/>
      <c r="P415" s="18"/>
      <c r="R415" s="17"/>
      <c r="S415" s="17"/>
      <c r="T415" s="17"/>
      <c r="U415" s="17"/>
      <c r="V415" s="17"/>
      <c r="W415" s="17"/>
      <c r="X415" s="17"/>
      <c r="Y415" s="17"/>
      <c r="Z415" s="16"/>
      <c r="AA415" s="15"/>
      <c r="AB415" s="4"/>
      <c r="AC415" s="14"/>
      <c r="AD415" s="13"/>
    </row>
    <row r="416" spans="1:30">
      <c r="A416" s="20"/>
      <c r="B416" s="11"/>
      <c r="C416" s="10"/>
      <c r="D416" s="10"/>
      <c r="E416" s="10"/>
      <c r="G416" s="19"/>
      <c r="H416" s="19"/>
      <c r="I416" s="19"/>
      <c r="J416" s="19"/>
      <c r="K416" s="19"/>
      <c r="L416" s="18"/>
      <c r="M416" s="18"/>
      <c r="N416" s="18"/>
      <c r="O416" s="18"/>
      <c r="P416" s="18"/>
      <c r="R416" s="17"/>
      <c r="S416" s="17"/>
      <c r="T416" s="17"/>
      <c r="U416" s="17"/>
      <c r="V416" s="17"/>
      <c r="W416" s="17"/>
      <c r="X416" s="17"/>
      <c r="Y416" s="17"/>
      <c r="Z416" s="16"/>
      <c r="AA416" s="15"/>
      <c r="AB416" s="4"/>
      <c r="AC416" s="14"/>
      <c r="AD416" s="13"/>
    </row>
    <row r="417" spans="1:30">
      <c r="A417" s="20"/>
      <c r="B417" s="11"/>
      <c r="C417" s="10"/>
      <c r="D417" s="10"/>
      <c r="E417" s="10"/>
      <c r="G417" s="19"/>
      <c r="H417" s="19"/>
      <c r="I417" s="19"/>
      <c r="J417" s="19"/>
      <c r="K417" s="19"/>
      <c r="L417" s="18"/>
      <c r="M417" s="18"/>
      <c r="N417" s="18"/>
      <c r="O417" s="18"/>
      <c r="P417" s="18"/>
      <c r="R417" s="17"/>
      <c r="S417" s="17"/>
      <c r="T417" s="17"/>
      <c r="U417" s="17"/>
      <c r="V417" s="17"/>
      <c r="W417" s="17"/>
      <c r="X417" s="17"/>
      <c r="Y417" s="17"/>
      <c r="Z417" s="16"/>
      <c r="AA417" s="15"/>
      <c r="AB417" s="4"/>
      <c r="AC417" s="14"/>
      <c r="AD417" s="13"/>
    </row>
    <row r="418" spans="1:30">
      <c r="A418" s="20"/>
      <c r="B418" s="11"/>
      <c r="C418" s="10"/>
      <c r="D418" s="10"/>
      <c r="E418" s="10"/>
      <c r="G418" s="19"/>
      <c r="H418" s="19"/>
      <c r="I418" s="19"/>
      <c r="J418" s="19"/>
      <c r="K418" s="19"/>
      <c r="L418" s="18"/>
      <c r="M418" s="18"/>
      <c r="N418" s="18"/>
      <c r="O418" s="18"/>
      <c r="P418" s="18"/>
      <c r="R418" s="17"/>
      <c r="S418" s="17"/>
      <c r="T418" s="17"/>
      <c r="U418" s="17"/>
      <c r="V418" s="17"/>
      <c r="W418" s="17"/>
      <c r="X418" s="17"/>
      <c r="Y418" s="17"/>
      <c r="Z418" s="16"/>
      <c r="AA418" s="15"/>
      <c r="AB418" s="4"/>
      <c r="AC418" s="14"/>
      <c r="AD418" s="13"/>
    </row>
    <row r="419" spans="1:30">
      <c r="A419" s="20"/>
      <c r="B419" s="11"/>
      <c r="C419" s="10"/>
      <c r="D419" s="10"/>
      <c r="E419" s="10"/>
      <c r="G419" s="19"/>
      <c r="H419" s="19"/>
      <c r="I419" s="19"/>
      <c r="J419" s="19"/>
      <c r="K419" s="19"/>
      <c r="L419" s="18"/>
      <c r="M419" s="18"/>
      <c r="N419" s="18"/>
      <c r="O419" s="18"/>
      <c r="P419" s="18"/>
      <c r="R419" s="17"/>
      <c r="S419" s="17"/>
      <c r="T419" s="17"/>
      <c r="U419" s="17"/>
      <c r="V419" s="17"/>
      <c r="W419" s="17"/>
      <c r="X419" s="17"/>
      <c r="Y419" s="17"/>
      <c r="Z419" s="16"/>
      <c r="AA419" s="15"/>
      <c r="AB419" s="4"/>
      <c r="AC419" s="14"/>
      <c r="AD419" s="13"/>
    </row>
    <row r="420" spans="1:30">
      <c r="A420" s="20"/>
      <c r="B420" s="11"/>
      <c r="C420" s="10"/>
      <c r="D420" s="10"/>
      <c r="E420" s="10"/>
      <c r="G420" s="19"/>
      <c r="H420" s="19"/>
      <c r="I420" s="19"/>
      <c r="J420" s="19"/>
      <c r="K420" s="19"/>
      <c r="L420" s="18"/>
      <c r="M420" s="18"/>
      <c r="N420" s="18"/>
      <c r="O420" s="18"/>
      <c r="P420" s="18"/>
      <c r="R420" s="17"/>
      <c r="S420" s="17"/>
      <c r="T420" s="17"/>
      <c r="U420" s="17"/>
      <c r="V420" s="17"/>
      <c r="W420" s="17"/>
      <c r="X420" s="17"/>
      <c r="Y420" s="17"/>
      <c r="Z420" s="16"/>
      <c r="AA420" s="15"/>
      <c r="AB420" s="4"/>
      <c r="AC420" s="14"/>
      <c r="AD420" s="13"/>
    </row>
    <row r="421" spans="1:30">
      <c r="A421" s="20"/>
      <c r="B421" s="11"/>
      <c r="C421" s="10"/>
      <c r="D421" s="10"/>
      <c r="E421" s="10"/>
      <c r="G421" s="19"/>
      <c r="H421" s="19"/>
      <c r="I421" s="19"/>
      <c r="J421" s="19"/>
      <c r="K421" s="19"/>
      <c r="L421" s="18"/>
      <c r="M421" s="18"/>
      <c r="N421" s="18"/>
      <c r="O421" s="18"/>
      <c r="P421" s="18"/>
      <c r="R421" s="17"/>
      <c r="S421" s="17"/>
      <c r="T421" s="17"/>
      <c r="U421" s="17"/>
      <c r="V421" s="17"/>
      <c r="W421" s="17"/>
      <c r="X421" s="17"/>
      <c r="Y421" s="17"/>
      <c r="Z421" s="16"/>
      <c r="AA421" s="15"/>
      <c r="AB421" s="4"/>
      <c r="AC421" s="14"/>
      <c r="AD421" s="13"/>
    </row>
    <row r="422" spans="1:30">
      <c r="A422" s="20"/>
      <c r="B422" s="11"/>
      <c r="C422" s="10"/>
      <c r="D422" s="10"/>
      <c r="E422" s="10"/>
      <c r="G422" s="19"/>
      <c r="H422" s="19"/>
      <c r="I422" s="19"/>
      <c r="J422" s="19"/>
      <c r="K422" s="19"/>
      <c r="L422" s="18"/>
      <c r="M422" s="18"/>
      <c r="N422" s="18"/>
      <c r="O422" s="18"/>
      <c r="P422" s="18"/>
      <c r="R422" s="17"/>
      <c r="S422" s="17"/>
      <c r="T422" s="17"/>
      <c r="U422" s="17"/>
      <c r="V422" s="17"/>
      <c r="W422" s="17"/>
      <c r="X422" s="17"/>
      <c r="Y422" s="17"/>
      <c r="Z422" s="16"/>
      <c r="AA422" s="15"/>
      <c r="AB422" s="4"/>
      <c r="AC422" s="14"/>
      <c r="AD422" s="13"/>
    </row>
    <row r="423" spans="1:30">
      <c r="A423" s="20"/>
      <c r="B423" s="11"/>
      <c r="C423" s="10"/>
      <c r="D423" s="10"/>
      <c r="E423" s="10"/>
      <c r="G423" s="19"/>
      <c r="H423" s="19"/>
      <c r="I423" s="19"/>
      <c r="J423" s="19"/>
      <c r="K423" s="19"/>
      <c r="L423" s="18"/>
      <c r="M423" s="18"/>
      <c r="N423" s="18"/>
      <c r="O423" s="18"/>
      <c r="P423" s="18"/>
      <c r="R423" s="17"/>
      <c r="S423" s="17"/>
      <c r="T423" s="17"/>
      <c r="U423" s="17"/>
      <c r="V423" s="17"/>
      <c r="W423" s="17"/>
      <c r="X423" s="17"/>
      <c r="Y423" s="17"/>
      <c r="Z423" s="16"/>
      <c r="AA423" s="15"/>
      <c r="AB423" s="4"/>
      <c r="AC423" s="14"/>
      <c r="AD423" s="13"/>
    </row>
    <row r="424" spans="1:30">
      <c r="A424" s="20"/>
      <c r="B424" s="11"/>
      <c r="C424" s="10"/>
      <c r="D424" s="10"/>
      <c r="E424" s="10"/>
      <c r="G424" s="19"/>
      <c r="H424" s="19"/>
      <c r="I424" s="19"/>
      <c r="J424" s="19"/>
      <c r="K424" s="19"/>
      <c r="L424" s="18"/>
      <c r="M424" s="18"/>
      <c r="N424" s="18"/>
      <c r="O424" s="18"/>
      <c r="P424" s="18"/>
      <c r="R424" s="17"/>
      <c r="S424" s="17"/>
      <c r="T424" s="17"/>
      <c r="U424" s="17"/>
      <c r="V424" s="17"/>
      <c r="W424" s="17"/>
      <c r="X424" s="17"/>
      <c r="Y424" s="17"/>
      <c r="Z424" s="16"/>
      <c r="AA424" s="15"/>
      <c r="AB424" s="4"/>
      <c r="AC424" s="14"/>
      <c r="AD424" s="13"/>
    </row>
    <row r="425" spans="1:30">
      <c r="A425" s="20"/>
      <c r="B425" s="11"/>
      <c r="C425" s="10"/>
      <c r="D425" s="10"/>
      <c r="E425" s="10"/>
      <c r="G425" s="19"/>
      <c r="H425" s="19"/>
      <c r="I425" s="19"/>
      <c r="J425" s="19"/>
      <c r="K425" s="19"/>
      <c r="L425" s="18"/>
      <c r="M425" s="18"/>
      <c r="N425" s="18"/>
      <c r="O425" s="18"/>
      <c r="P425" s="18"/>
      <c r="R425" s="17"/>
      <c r="S425" s="17"/>
      <c r="T425" s="17"/>
      <c r="U425" s="17"/>
      <c r="V425" s="17"/>
      <c r="W425" s="17"/>
      <c r="X425" s="17"/>
      <c r="Y425" s="17"/>
      <c r="Z425" s="16"/>
      <c r="AA425" s="15"/>
      <c r="AB425" s="4"/>
      <c r="AC425" s="14"/>
      <c r="AD425" s="13"/>
    </row>
    <row r="426" spans="1:30">
      <c r="A426" s="20"/>
      <c r="B426" s="11"/>
      <c r="C426" s="10"/>
      <c r="D426" s="10"/>
      <c r="E426" s="10"/>
      <c r="G426" s="19"/>
      <c r="H426" s="19"/>
      <c r="I426" s="19"/>
      <c r="J426" s="19"/>
      <c r="K426" s="19"/>
      <c r="L426" s="18"/>
      <c r="M426" s="18"/>
      <c r="N426" s="18"/>
      <c r="O426" s="18"/>
      <c r="P426" s="18"/>
      <c r="R426" s="17"/>
      <c r="S426" s="17"/>
      <c r="T426" s="17"/>
      <c r="U426" s="17"/>
      <c r="V426" s="17"/>
      <c r="W426" s="17"/>
      <c r="X426" s="17"/>
      <c r="Y426" s="17"/>
      <c r="Z426" s="16"/>
      <c r="AA426" s="15"/>
      <c r="AB426" s="4"/>
      <c r="AC426" s="14"/>
      <c r="AD426" s="13"/>
    </row>
    <row r="427" spans="1:30">
      <c r="A427" s="20"/>
      <c r="B427" s="11"/>
      <c r="C427" s="10"/>
      <c r="D427" s="10"/>
      <c r="E427" s="10"/>
      <c r="G427" s="19"/>
      <c r="H427" s="19"/>
      <c r="I427" s="19"/>
      <c r="J427" s="19"/>
      <c r="K427" s="19"/>
      <c r="L427" s="18"/>
      <c r="M427" s="18"/>
      <c r="N427" s="18"/>
      <c r="O427" s="18"/>
      <c r="P427" s="18"/>
      <c r="R427" s="17"/>
      <c r="S427" s="17"/>
      <c r="T427" s="17"/>
      <c r="U427" s="17"/>
      <c r="V427" s="17"/>
      <c r="W427" s="17"/>
      <c r="X427" s="17"/>
      <c r="Y427" s="17"/>
      <c r="Z427" s="16"/>
      <c r="AA427" s="15"/>
      <c r="AB427" s="4"/>
      <c r="AC427" s="14"/>
      <c r="AD427" s="13"/>
    </row>
    <row r="428" spans="1:30">
      <c r="A428" s="20"/>
      <c r="B428" s="11"/>
      <c r="C428" s="10"/>
      <c r="D428" s="10"/>
      <c r="E428" s="10"/>
      <c r="G428" s="19"/>
      <c r="H428" s="19"/>
      <c r="I428" s="19"/>
      <c r="J428" s="19"/>
      <c r="K428" s="19"/>
      <c r="L428" s="18"/>
      <c r="M428" s="18"/>
      <c r="N428" s="18"/>
      <c r="O428" s="18"/>
      <c r="P428" s="18"/>
      <c r="R428" s="17"/>
      <c r="S428" s="17"/>
      <c r="T428" s="17"/>
      <c r="U428" s="17"/>
      <c r="V428" s="17"/>
      <c r="W428" s="17"/>
      <c r="X428" s="17"/>
      <c r="Y428" s="17"/>
      <c r="Z428" s="16"/>
      <c r="AA428" s="15"/>
      <c r="AB428" s="4"/>
      <c r="AC428" s="14"/>
      <c r="AD428" s="13"/>
    </row>
    <row r="429" spans="1:30">
      <c r="A429" s="20"/>
      <c r="B429" s="11"/>
      <c r="C429" s="10"/>
      <c r="D429" s="10"/>
      <c r="E429" s="10"/>
      <c r="G429" s="19"/>
      <c r="H429" s="19"/>
      <c r="I429" s="19"/>
      <c r="J429" s="19"/>
      <c r="K429" s="19"/>
      <c r="L429" s="18"/>
      <c r="M429" s="18"/>
      <c r="N429" s="18"/>
      <c r="O429" s="18"/>
      <c r="P429" s="18"/>
      <c r="R429" s="17"/>
      <c r="S429" s="17"/>
      <c r="T429" s="17"/>
      <c r="U429" s="17"/>
      <c r="V429" s="17"/>
      <c r="W429" s="17"/>
      <c r="X429" s="17"/>
      <c r="Y429" s="17"/>
      <c r="Z429" s="16"/>
      <c r="AA429" s="15"/>
      <c r="AB429" s="4"/>
      <c r="AC429" s="14"/>
      <c r="AD429" s="13"/>
    </row>
    <row r="430" spans="1:30">
      <c r="A430" s="20"/>
      <c r="B430" s="11"/>
      <c r="C430" s="10"/>
      <c r="D430" s="10"/>
      <c r="E430" s="10"/>
      <c r="G430" s="19"/>
      <c r="H430" s="19"/>
      <c r="I430" s="19"/>
      <c r="J430" s="19"/>
      <c r="K430" s="19"/>
      <c r="L430" s="18"/>
      <c r="M430" s="18"/>
      <c r="N430" s="18"/>
      <c r="O430" s="18"/>
      <c r="P430" s="18"/>
      <c r="R430" s="17"/>
      <c r="S430" s="17"/>
      <c r="T430" s="17"/>
      <c r="U430" s="17"/>
      <c r="V430" s="17"/>
      <c r="W430" s="17"/>
      <c r="X430" s="17"/>
      <c r="Y430" s="17"/>
      <c r="Z430" s="16"/>
      <c r="AA430" s="15"/>
      <c r="AB430" s="4"/>
      <c r="AC430" s="14"/>
      <c r="AD430" s="13"/>
    </row>
    <row r="431" spans="1:30">
      <c r="A431" s="20"/>
      <c r="B431" s="11"/>
      <c r="C431" s="10"/>
      <c r="D431" s="10"/>
      <c r="E431" s="10"/>
      <c r="G431" s="19"/>
      <c r="H431" s="19"/>
      <c r="I431" s="19"/>
      <c r="J431" s="19"/>
      <c r="K431" s="19"/>
      <c r="L431" s="18"/>
      <c r="M431" s="18"/>
      <c r="N431" s="18"/>
      <c r="O431" s="18"/>
      <c r="P431" s="18"/>
      <c r="R431" s="17"/>
      <c r="S431" s="17"/>
      <c r="T431" s="17"/>
      <c r="U431" s="17"/>
      <c r="V431" s="17"/>
      <c r="W431" s="17"/>
      <c r="X431" s="17"/>
      <c r="Y431" s="17"/>
      <c r="Z431" s="16"/>
      <c r="AA431" s="15"/>
      <c r="AB431" s="4"/>
      <c r="AC431" s="14"/>
      <c r="AD431" s="13"/>
    </row>
    <row r="432" spans="1:30">
      <c r="A432" s="20"/>
      <c r="B432" s="11"/>
      <c r="C432" s="10"/>
      <c r="D432" s="10"/>
      <c r="E432" s="10"/>
      <c r="G432" s="19"/>
      <c r="H432" s="19"/>
      <c r="I432" s="19"/>
      <c r="J432" s="19"/>
      <c r="K432" s="19"/>
      <c r="L432" s="18"/>
      <c r="M432" s="18"/>
      <c r="N432" s="18"/>
      <c r="O432" s="18"/>
      <c r="P432" s="18"/>
      <c r="R432" s="17"/>
      <c r="S432" s="17"/>
      <c r="T432" s="17"/>
      <c r="U432" s="17"/>
      <c r="V432" s="17"/>
      <c r="W432" s="17"/>
      <c r="X432" s="17"/>
      <c r="Y432" s="17"/>
      <c r="Z432" s="16"/>
      <c r="AA432" s="15"/>
      <c r="AB432" s="4"/>
      <c r="AC432" s="14"/>
      <c r="AD432" s="13"/>
    </row>
    <row r="433" spans="1:30">
      <c r="A433" s="20"/>
      <c r="B433" s="11"/>
      <c r="C433" s="10"/>
      <c r="D433" s="10"/>
      <c r="E433" s="10"/>
      <c r="G433" s="19"/>
      <c r="H433" s="19"/>
      <c r="I433" s="19"/>
      <c r="J433" s="19"/>
      <c r="K433" s="19"/>
      <c r="L433" s="18"/>
      <c r="M433" s="18"/>
      <c r="N433" s="18"/>
      <c r="O433" s="18"/>
      <c r="P433" s="18"/>
      <c r="R433" s="17"/>
      <c r="S433" s="17"/>
      <c r="T433" s="17"/>
      <c r="U433" s="17"/>
      <c r="V433" s="17"/>
      <c r="W433" s="17"/>
      <c r="X433" s="17"/>
      <c r="Y433" s="17"/>
      <c r="Z433" s="16"/>
      <c r="AA433" s="15"/>
      <c r="AB433" s="4"/>
      <c r="AC433" s="14"/>
      <c r="AD433" s="13"/>
    </row>
    <row r="434" spans="1:30">
      <c r="A434" s="20"/>
      <c r="B434" s="11"/>
      <c r="C434" s="10"/>
      <c r="D434" s="10"/>
      <c r="E434" s="10"/>
      <c r="G434" s="19"/>
      <c r="H434" s="19"/>
      <c r="I434" s="19"/>
      <c r="J434" s="19"/>
      <c r="K434" s="19"/>
      <c r="L434" s="18"/>
      <c r="M434" s="18"/>
      <c r="N434" s="18"/>
      <c r="O434" s="18"/>
      <c r="P434" s="18"/>
      <c r="R434" s="17"/>
      <c r="S434" s="17"/>
      <c r="T434" s="17"/>
      <c r="U434" s="17"/>
      <c r="V434" s="17"/>
      <c r="W434" s="17"/>
      <c r="X434" s="17"/>
      <c r="Y434" s="17"/>
      <c r="Z434" s="16"/>
      <c r="AA434" s="15"/>
      <c r="AB434" s="4"/>
      <c r="AC434" s="14"/>
      <c r="AD434" s="13"/>
    </row>
    <row r="435" spans="1:30">
      <c r="A435" s="20"/>
      <c r="B435" s="11"/>
      <c r="C435" s="10"/>
      <c r="D435" s="10"/>
      <c r="E435" s="10"/>
      <c r="G435" s="19"/>
      <c r="H435" s="19"/>
      <c r="I435" s="19"/>
      <c r="J435" s="19"/>
      <c r="K435" s="19"/>
      <c r="L435" s="18"/>
      <c r="M435" s="18"/>
      <c r="N435" s="18"/>
      <c r="O435" s="18"/>
      <c r="P435" s="18"/>
      <c r="R435" s="17"/>
      <c r="S435" s="17"/>
      <c r="T435" s="17"/>
      <c r="U435" s="17"/>
      <c r="V435" s="17"/>
      <c r="W435" s="17"/>
      <c r="X435" s="17"/>
      <c r="Y435" s="17"/>
      <c r="Z435" s="16"/>
      <c r="AA435" s="15"/>
      <c r="AB435" s="4"/>
      <c r="AC435" s="14"/>
      <c r="AD435" s="13"/>
    </row>
    <row r="436" spans="1:30">
      <c r="A436" s="20"/>
      <c r="B436" s="11"/>
      <c r="C436" s="10"/>
      <c r="D436" s="10"/>
      <c r="E436" s="10"/>
      <c r="G436" s="19"/>
      <c r="H436" s="19"/>
      <c r="I436" s="19"/>
      <c r="J436" s="19"/>
      <c r="K436" s="19"/>
      <c r="L436" s="18"/>
      <c r="M436" s="18"/>
      <c r="N436" s="18"/>
      <c r="O436" s="18"/>
      <c r="P436" s="18"/>
      <c r="R436" s="17"/>
      <c r="S436" s="17"/>
      <c r="T436" s="17"/>
      <c r="U436" s="17"/>
      <c r="V436" s="17"/>
      <c r="W436" s="17"/>
      <c r="X436" s="17"/>
      <c r="Y436" s="17"/>
      <c r="Z436" s="16"/>
      <c r="AA436" s="15"/>
      <c r="AB436" s="4"/>
      <c r="AC436" s="14"/>
      <c r="AD436" s="13"/>
    </row>
    <row r="437" spans="1:30">
      <c r="A437" s="20"/>
      <c r="B437" s="11"/>
      <c r="C437" s="10"/>
      <c r="D437" s="10"/>
      <c r="E437" s="10"/>
      <c r="G437" s="19"/>
      <c r="H437" s="19"/>
      <c r="I437" s="19"/>
      <c r="J437" s="19"/>
      <c r="K437" s="19"/>
      <c r="L437" s="18"/>
      <c r="M437" s="18"/>
      <c r="N437" s="18"/>
      <c r="O437" s="18"/>
      <c r="P437" s="18"/>
      <c r="R437" s="17"/>
      <c r="S437" s="17"/>
      <c r="T437" s="17"/>
      <c r="U437" s="17"/>
      <c r="V437" s="17"/>
      <c r="W437" s="17"/>
      <c r="X437" s="17"/>
      <c r="Y437" s="17"/>
      <c r="Z437" s="16"/>
      <c r="AA437" s="15"/>
      <c r="AB437" s="4"/>
      <c r="AC437" s="14"/>
      <c r="AD437" s="13"/>
    </row>
    <row r="438" spans="1:30">
      <c r="A438" s="20"/>
      <c r="B438" s="11"/>
      <c r="C438" s="10"/>
      <c r="D438" s="10"/>
      <c r="E438" s="10"/>
      <c r="G438" s="19"/>
      <c r="H438" s="19"/>
      <c r="I438" s="19"/>
      <c r="J438" s="19"/>
      <c r="K438" s="19"/>
      <c r="L438" s="18"/>
      <c r="M438" s="18"/>
      <c r="N438" s="18"/>
      <c r="O438" s="18"/>
      <c r="P438" s="18"/>
      <c r="R438" s="17"/>
      <c r="S438" s="17"/>
      <c r="T438" s="17"/>
      <c r="U438" s="17"/>
      <c r="V438" s="17"/>
      <c r="W438" s="17"/>
      <c r="X438" s="17"/>
      <c r="Y438" s="17"/>
      <c r="Z438" s="16"/>
      <c r="AA438" s="15"/>
      <c r="AB438" s="4"/>
      <c r="AC438" s="14"/>
      <c r="AD438" s="13"/>
    </row>
    <row r="439" spans="1:30">
      <c r="A439" s="20"/>
      <c r="B439" s="11"/>
      <c r="C439" s="10"/>
      <c r="D439" s="10"/>
      <c r="E439" s="10"/>
      <c r="G439" s="19"/>
      <c r="H439" s="19"/>
      <c r="I439" s="19"/>
      <c r="J439" s="19"/>
      <c r="K439" s="19"/>
      <c r="L439" s="18"/>
      <c r="M439" s="18"/>
      <c r="N439" s="18"/>
      <c r="O439" s="18"/>
      <c r="P439" s="18"/>
      <c r="R439" s="17"/>
      <c r="S439" s="17"/>
      <c r="T439" s="17"/>
      <c r="U439" s="17"/>
      <c r="V439" s="17"/>
      <c r="W439" s="17"/>
      <c r="X439" s="17"/>
      <c r="Y439" s="17"/>
      <c r="Z439" s="16"/>
      <c r="AA439" s="15"/>
      <c r="AB439" s="4"/>
      <c r="AC439" s="14"/>
      <c r="AD439" s="13"/>
    </row>
    <row r="440" spans="1:30">
      <c r="A440" s="20"/>
      <c r="B440" s="11"/>
      <c r="C440" s="10"/>
      <c r="D440" s="10"/>
      <c r="E440" s="10"/>
      <c r="G440" s="19"/>
      <c r="H440" s="19"/>
      <c r="I440" s="19"/>
      <c r="J440" s="19"/>
      <c r="K440" s="19"/>
      <c r="L440" s="18"/>
      <c r="M440" s="18"/>
      <c r="N440" s="18"/>
      <c r="O440" s="18"/>
      <c r="P440" s="18"/>
      <c r="R440" s="17"/>
      <c r="S440" s="17"/>
      <c r="T440" s="17"/>
      <c r="U440" s="17"/>
      <c r="V440" s="17"/>
      <c r="W440" s="17"/>
      <c r="X440" s="17"/>
      <c r="Y440" s="17"/>
      <c r="Z440" s="16"/>
      <c r="AA440" s="15"/>
      <c r="AB440" s="4"/>
      <c r="AC440" s="14"/>
      <c r="AD440" s="13"/>
    </row>
    <row r="441" spans="1:30">
      <c r="A441" s="20"/>
      <c r="B441" s="11"/>
      <c r="C441" s="10"/>
      <c r="D441" s="10"/>
      <c r="E441" s="10"/>
      <c r="G441" s="19"/>
      <c r="H441" s="19"/>
      <c r="I441" s="19"/>
      <c r="J441" s="19"/>
      <c r="K441" s="19"/>
      <c r="L441" s="18"/>
      <c r="M441" s="18"/>
      <c r="N441" s="18"/>
      <c r="O441" s="18"/>
      <c r="P441" s="18"/>
      <c r="R441" s="17"/>
      <c r="S441" s="17"/>
      <c r="T441" s="17"/>
      <c r="U441" s="17"/>
      <c r="V441" s="17"/>
      <c r="W441" s="17"/>
      <c r="X441" s="17"/>
      <c r="Y441" s="17"/>
      <c r="Z441" s="16"/>
      <c r="AA441" s="15"/>
      <c r="AB441" s="4"/>
      <c r="AC441" s="14"/>
      <c r="AD441" s="13"/>
    </row>
    <row r="442" spans="1:30">
      <c r="A442" s="20"/>
      <c r="B442" s="11"/>
      <c r="C442" s="10"/>
      <c r="D442" s="10"/>
      <c r="E442" s="10"/>
      <c r="G442" s="19"/>
      <c r="H442" s="19"/>
      <c r="I442" s="19"/>
      <c r="J442" s="19"/>
      <c r="K442" s="19"/>
      <c r="L442" s="18"/>
      <c r="M442" s="18"/>
      <c r="N442" s="18"/>
      <c r="O442" s="18"/>
      <c r="P442" s="18"/>
      <c r="R442" s="17"/>
      <c r="S442" s="17"/>
      <c r="T442" s="17"/>
      <c r="U442" s="17"/>
      <c r="V442" s="17"/>
      <c r="W442" s="17"/>
      <c r="X442" s="17"/>
      <c r="Y442" s="17"/>
      <c r="Z442" s="16"/>
      <c r="AA442" s="15"/>
      <c r="AB442" s="4"/>
      <c r="AC442" s="14"/>
      <c r="AD442" s="13"/>
    </row>
    <row r="443" spans="1:30">
      <c r="A443" s="20"/>
      <c r="B443" s="11"/>
      <c r="C443" s="10"/>
      <c r="D443" s="10"/>
      <c r="E443" s="10"/>
      <c r="G443" s="19"/>
      <c r="H443" s="19"/>
      <c r="I443" s="19"/>
      <c r="J443" s="19"/>
      <c r="K443" s="19"/>
      <c r="L443" s="18"/>
      <c r="M443" s="18"/>
      <c r="N443" s="18"/>
      <c r="O443" s="18"/>
      <c r="P443" s="18"/>
      <c r="R443" s="17"/>
      <c r="S443" s="17"/>
      <c r="T443" s="17"/>
      <c r="U443" s="17"/>
      <c r="V443" s="17"/>
      <c r="W443" s="17"/>
      <c r="X443" s="17"/>
      <c r="Y443" s="17"/>
      <c r="Z443" s="16"/>
      <c r="AA443" s="15"/>
      <c r="AB443" s="4"/>
      <c r="AC443" s="14"/>
      <c r="AD443" s="13"/>
    </row>
    <row r="444" spans="1:30">
      <c r="A444" s="20"/>
      <c r="B444" s="11"/>
      <c r="C444" s="10"/>
      <c r="D444" s="10"/>
      <c r="E444" s="10"/>
      <c r="G444" s="19"/>
      <c r="H444" s="19"/>
      <c r="I444" s="19"/>
      <c r="J444" s="19"/>
      <c r="K444" s="19"/>
      <c r="L444" s="18"/>
      <c r="M444" s="18"/>
      <c r="N444" s="18"/>
      <c r="O444" s="18"/>
      <c r="P444" s="18"/>
      <c r="R444" s="17"/>
      <c r="S444" s="17"/>
      <c r="T444" s="17"/>
      <c r="U444" s="17"/>
      <c r="V444" s="17"/>
      <c r="W444" s="17"/>
      <c r="X444" s="17"/>
      <c r="Y444" s="17"/>
      <c r="Z444" s="16"/>
      <c r="AA444" s="15"/>
      <c r="AB444" s="4"/>
      <c r="AC444" s="14"/>
      <c r="AD444" s="13"/>
    </row>
    <row r="445" spans="1:30">
      <c r="A445" s="20"/>
      <c r="B445" s="11"/>
      <c r="C445" s="10"/>
      <c r="D445" s="10"/>
      <c r="E445" s="10"/>
      <c r="G445" s="19"/>
      <c r="H445" s="19"/>
      <c r="I445" s="19"/>
      <c r="J445" s="19"/>
      <c r="K445" s="19"/>
      <c r="L445" s="18"/>
      <c r="M445" s="18"/>
      <c r="N445" s="18"/>
      <c r="O445" s="18"/>
      <c r="P445" s="18"/>
      <c r="R445" s="17"/>
      <c r="S445" s="17"/>
      <c r="T445" s="17"/>
      <c r="U445" s="17"/>
      <c r="V445" s="17"/>
      <c r="W445" s="17"/>
      <c r="X445" s="17"/>
      <c r="Y445" s="17"/>
      <c r="Z445" s="16"/>
      <c r="AA445" s="15"/>
      <c r="AB445" s="4"/>
      <c r="AC445" s="14"/>
      <c r="AD445" s="13"/>
    </row>
    <row r="446" spans="1:30">
      <c r="A446" s="20"/>
      <c r="B446" s="11"/>
      <c r="C446" s="10"/>
      <c r="D446" s="10"/>
      <c r="E446" s="10"/>
      <c r="G446" s="19"/>
      <c r="H446" s="19"/>
      <c r="I446" s="19"/>
      <c r="J446" s="19"/>
      <c r="K446" s="19"/>
      <c r="L446" s="18"/>
      <c r="M446" s="18"/>
      <c r="N446" s="18"/>
      <c r="O446" s="18"/>
      <c r="P446" s="18"/>
      <c r="R446" s="17"/>
      <c r="S446" s="17"/>
      <c r="T446" s="17"/>
      <c r="U446" s="17"/>
      <c r="V446" s="17"/>
      <c r="W446" s="17"/>
      <c r="X446" s="17"/>
      <c r="Y446" s="17"/>
      <c r="Z446" s="16"/>
      <c r="AA446" s="15"/>
      <c r="AB446" s="4"/>
      <c r="AC446" s="14"/>
      <c r="AD446" s="13"/>
    </row>
    <row r="447" spans="1:30">
      <c r="A447" s="20"/>
      <c r="B447" s="11"/>
      <c r="C447" s="10"/>
      <c r="D447" s="10"/>
      <c r="E447" s="10"/>
      <c r="G447" s="19"/>
      <c r="H447" s="19"/>
      <c r="I447" s="19"/>
      <c r="J447" s="19"/>
      <c r="K447" s="19"/>
      <c r="L447" s="18"/>
      <c r="M447" s="18"/>
      <c r="N447" s="18"/>
      <c r="O447" s="18"/>
      <c r="P447" s="18"/>
      <c r="R447" s="17"/>
      <c r="S447" s="17"/>
      <c r="T447" s="17"/>
      <c r="U447" s="17"/>
      <c r="V447" s="17"/>
      <c r="W447" s="17"/>
      <c r="X447" s="17"/>
      <c r="Y447" s="17"/>
      <c r="Z447" s="16"/>
      <c r="AA447" s="15"/>
      <c r="AB447" s="4"/>
      <c r="AC447" s="14"/>
      <c r="AD447" s="13"/>
    </row>
    <row r="448" spans="1:30">
      <c r="A448" s="20"/>
      <c r="B448" s="11"/>
      <c r="C448" s="10"/>
      <c r="D448" s="10"/>
      <c r="E448" s="10"/>
      <c r="G448" s="19"/>
      <c r="H448" s="19"/>
      <c r="I448" s="19"/>
      <c r="J448" s="19"/>
      <c r="K448" s="19"/>
      <c r="L448" s="18"/>
      <c r="M448" s="18"/>
      <c r="N448" s="18"/>
      <c r="O448" s="18"/>
      <c r="P448" s="18"/>
      <c r="R448" s="17"/>
      <c r="S448" s="17"/>
      <c r="T448" s="17"/>
      <c r="U448" s="17"/>
      <c r="V448" s="17"/>
      <c r="W448" s="17"/>
      <c r="X448" s="17"/>
      <c r="Y448" s="17"/>
      <c r="Z448" s="16"/>
      <c r="AA448" s="15"/>
      <c r="AB448" s="4"/>
      <c r="AC448" s="14"/>
      <c r="AD448" s="13"/>
    </row>
    <row r="449" spans="1:30">
      <c r="A449" s="20"/>
      <c r="B449" s="11"/>
      <c r="C449" s="10"/>
      <c r="D449" s="10"/>
      <c r="E449" s="10"/>
      <c r="G449" s="19"/>
      <c r="H449" s="19"/>
      <c r="I449" s="19"/>
      <c r="J449" s="19"/>
      <c r="K449" s="19"/>
      <c r="L449" s="18"/>
      <c r="M449" s="18"/>
      <c r="N449" s="18"/>
      <c r="O449" s="18"/>
      <c r="P449" s="18"/>
      <c r="R449" s="17"/>
      <c r="S449" s="17"/>
      <c r="T449" s="17"/>
      <c r="U449" s="17"/>
      <c r="V449" s="17"/>
      <c r="W449" s="17"/>
      <c r="X449" s="17"/>
      <c r="Y449" s="17"/>
      <c r="Z449" s="16"/>
      <c r="AA449" s="15"/>
      <c r="AB449" s="4"/>
      <c r="AC449" s="14"/>
      <c r="AD449" s="13"/>
    </row>
    <row r="450" spans="1:30">
      <c r="A450" s="20"/>
      <c r="B450" s="11"/>
      <c r="C450" s="10"/>
      <c r="D450" s="10"/>
      <c r="E450" s="10"/>
      <c r="G450" s="19"/>
      <c r="H450" s="19"/>
      <c r="I450" s="19"/>
      <c r="J450" s="19"/>
      <c r="K450" s="19"/>
      <c r="L450" s="18"/>
      <c r="M450" s="18"/>
      <c r="N450" s="18"/>
      <c r="O450" s="18"/>
      <c r="P450" s="18"/>
      <c r="R450" s="17"/>
      <c r="S450" s="17"/>
      <c r="T450" s="17"/>
      <c r="U450" s="17"/>
      <c r="V450" s="17"/>
      <c r="W450" s="17"/>
      <c r="X450" s="17"/>
      <c r="Y450" s="17"/>
      <c r="Z450" s="16"/>
      <c r="AA450" s="15"/>
      <c r="AB450" s="4"/>
      <c r="AC450" s="14"/>
      <c r="AD450" s="13"/>
    </row>
    <row r="451" spans="1:30">
      <c r="A451" s="20"/>
      <c r="B451" s="11"/>
      <c r="C451" s="10"/>
      <c r="D451" s="10"/>
      <c r="E451" s="10"/>
      <c r="G451" s="19"/>
      <c r="H451" s="19"/>
      <c r="I451" s="19"/>
      <c r="J451" s="19"/>
      <c r="K451" s="19"/>
      <c r="L451" s="18"/>
      <c r="M451" s="18"/>
      <c r="N451" s="18"/>
      <c r="O451" s="18"/>
      <c r="P451" s="18"/>
      <c r="R451" s="17"/>
      <c r="S451" s="17"/>
      <c r="T451" s="17"/>
      <c r="U451" s="17"/>
      <c r="V451" s="17"/>
      <c r="W451" s="17"/>
      <c r="X451" s="17"/>
      <c r="Y451" s="17"/>
      <c r="Z451" s="16"/>
      <c r="AA451" s="15"/>
      <c r="AB451" s="4"/>
      <c r="AC451" s="14"/>
      <c r="AD451" s="13"/>
    </row>
    <row r="452" spans="1:30">
      <c r="A452" s="20"/>
      <c r="B452" s="11"/>
      <c r="C452" s="10"/>
      <c r="D452" s="10"/>
      <c r="E452" s="10"/>
      <c r="G452" s="19"/>
      <c r="H452" s="19"/>
      <c r="I452" s="19"/>
      <c r="J452" s="19"/>
      <c r="K452" s="19"/>
      <c r="L452" s="18"/>
      <c r="M452" s="18"/>
      <c r="N452" s="18"/>
      <c r="O452" s="18"/>
      <c r="P452" s="18"/>
      <c r="R452" s="17"/>
      <c r="S452" s="17"/>
      <c r="T452" s="17"/>
      <c r="U452" s="17"/>
      <c r="V452" s="17"/>
      <c r="W452" s="17"/>
      <c r="X452" s="17"/>
      <c r="Y452" s="17"/>
      <c r="Z452" s="16"/>
      <c r="AA452" s="15"/>
      <c r="AB452" s="4"/>
      <c r="AC452" s="14"/>
      <c r="AD452" s="13"/>
    </row>
    <row r="453" spans="1:30">
      <c r="A453" s="20"/>
      <c r="B453" s="11"/>
      <c r="C453" s="10"/>
      <c r="D453" s="10"/>
      <c r="E453" s="10"/>
      <c r="G453" s="19"/>
      <c r="H453" s="19"/>
      <c r="I453" s="19"/>
      <c r="J453" s="19"/>
      <c r="K453" s="19"/>
      <c r="L453" s="18"/>
      <c r="M453" s="18"/>
      <c r="N453" s="18"/>
      <c r="O453" s="18"/>
      <c r="P453" s="18"/>
      <c r="R453" s="17"/>
      <c r="S453" s="17"/>
      <c r="T453" s="17"/>
      <c r="U453" s="17"/>
      <c r="V453" s="17"/>
      <c r="W453" s="17"/>
      <c r="X453" s="17"/>
      <c r="Y453" s="17"/>
      <c r="Z453" s="16"/>
      <c r="AA453" s="15"/>
      <c r="AB453" s="4"/>
      <c r="AC453" s="14"/>
      <c r="AD453" s="13"/>
    </row>
    <row r="454" spans="1:30">
      <c r="A454" s="20"/>
      <c r="B454" s="11"/>
      <c r="C454" s="10"/>
      <c r="D454" s="10"/>
      <c r="E454" s="10"/>
      <c r="G454" s="19"/>
      <c r="H454" s="19"/>
      <c r="I454" s="19"/>
      <c r="J454" s="19"/>
      <c r="K454" s="19"/>
      <c r="L454" s="18"/>
      <c r="M454" s="18"/>
      <c r="N454" s="18"/>
      <c r="O454" s="18"/>
      <c r="P454" s="18"/>
      <c r="R454" s="17"/>
      <c r="S454" s="17"/>
      <c r="T454" s="17"/>
      <c r="U454" s="17"/>
      <c r="V454" s="17"/>
      <c r="W454" s="17"/>
      <c r="X454" s="17"/>
      <c r="Y454" s="17"/>
      <c r="Z454" s="16"/>
      <c r="AA454" s="15"/>
      <c r="AB454" s="4"/>
      <c r="AC454" s="14"/>
      <c r="AD454" s="13"/>
    </row>
    <row r="455" spans="1:30">
      <c r="A455" s="20"/>
      <c r="B455" s="11"/>
      <c r="C455" s="10"/>
      <c r="D455" s="10"/>
      <c r="E455" s="10"/>
      <c r="G455" s="19"/>
      <c r="H455" s="19"/>
      <c r="I455" s="19"/>
      <c r="J455" s="19"/>
      <c r="K455" s="19"/>
      <c r="L455" s="18"/>
      <c r="M455" s="18"/>
      <c r="N455" s="18"/>
      <c r="O455" s="18"/>
      <c r="P455" s="18"/>
      <c r="R455" s="17"/>
      <c r="S455" s="17"/>
      <c r="T455" s="17"/>
      <c r="U455" s="17"/>
      <c r="V455" s="17"/>
      <c r="W455" s="17"/>
      <c r="X455" s="17"/>
      <c r="Y455" s="17"/>
      <c r="Z455" s="16"/>
      <c r="AA455" s="15"/>
      <c r="AB455" s="4"/>
      <c r="AC455" s="14"/>
      <c r="AD455" s="13"/>
    </row>
    <row r="456" spans="1:30">
      <c r="A456" s="20"/>
      <c r="B456" s="11"/>
      <c r="C456" s="10"/>
      <c r="D456" s="10"/>
      <c r="E456" s="10"/>
      <c r="G456" s="19"/>
      <c r="H456" s="19"/>
      <c r="I456" s="19"/>
      <c r="J456" s="19"/>
      <c r="K456" s="19"/>
      <c r="L456" s="18"/>
      <c r="M456" s="18"/>
      <c r="N456" s="18"/>
      <c r="O456" s="18"/>
      <c r="P456" s="18"/>
      <c r="R456" s="17"/>
      <c r="S456" s="17"/>
      <c r="T456" s="17"/>
      <c r="U456" s="17"/>
      <c r="V456" s="17"/>
      <c r="W456" s="17"/>
      <c r="X456" s="17"/>
      <c r="Y456" s="17"/>
      <c r="Z456" s="16"/>
      <c r="AA456" s="15"/>
      <c r="AB456" s="4"/>
      <c r="AC456" s="14"/>
      <c r="AD456" s="13"/>
    </row>
    <row r="457" spans="1:30">
      <c r="A457" s="20"/>
      <c r="B457" s="11"/>
      <c r="C457" s="10"/>
      <c r="D457" s="10"/>
      <c r="E457" s="10"/>
      <c r="G457" s="19"/>
      <c r="H457" s="19"/>
      <c r="I457" s="19"/>
      <c r="J457" s="19"/>
      <c r="K457" s="19"/>
      <c r="L457" s="18"/>
      <c r="M457" s="18"/>
      <c r="N457" s="18"/>
      <c r="O457" s="18"/>
      <c r="P457" s="18"/>
      <c r="R457" s="17"/>
      <c r="S457" s="17"/>
      <c r="T457" s="17"/>
      <c r="U457" s="17"/>
      <c r="V457" s="17"/>
      <c r="W457" s="17"/>
      <c r="X457" s="17"/>
      <c r="Y457" s="17"/>
      <c r="Z457" s="16"/>
      <c r="AA457" s="15"/>
      <c r="AB457" s="4"/>
      <c r="AC457" s="14"/>
      <c r="AD457" s="13"/>
    </row>
    <row r="458" spans="1:30">
      <c r="A458" s="20"/>
      <c r="B458" s="11"/>
      <c r="C458" s="10"/>
      <c r="D458" s="10"/>
      <c r="E458" s="10"/>
      <c r="G458" s="19"/>
      <c r="H458" s="19"/>
      <c r="I458" s="19"/>
      <c r="J458" s="19"/>
      <c r="K458" s="19"/>
      <c r="L458" s="18"/>
      <c r="M458" s="18"/>
      <c r="N458" s="18"/>
      <c r="O458" s="18"/>
      <c r="P458" s="18"/>
      <c r="R458" s="17"/>
      <c r="S458" s="17"/>
      <c r="T458" s="17"/>
      <c r="U458" s="17"/>
      <c r="V458" s="17"/>
      <c r="W458" s="17"/>
      <c r="X458" s="17"/>
      <c r="Y458" s="17"/>
      <c r="Z458" s="16"/>
      <c r="AA458" s="15"/>
      <c r="AB458" s="4"/>
      <c r="AC458" s="14"/>
      <c r="AD458" s="13"/>
    </row>
    <row r="459" spans="1:30">
      <c r="A459" s="20"/>
      <c r="B459" s="11"/>
      <c r="C459" s="10"/>
      <c r="D459" s="10"/>
      <c r="E459" s="10"/>
      <c r="G459" s="19"/>
      <c r="H459" s="19"/>
      <c r="I459" s="19"/>
      <c r="J459" s="19"/>
      <c r="K459" s="19"/>
      <c r="L459" s="18"/>
      <c r="M459" s="18"/>
      <c r="N459" s="18"/>
      <c r="O459" s="18"/>
      <c r="P459" s="18"/>
      <c r="R459" s="17"/>
      <c r="S459" s="17"/>
      <c r="T459" s="17"/>
      <c r="U459" s="17"/>
      <c r="V459" s="17"/>
      <c r="W459" s="17"/>
      <c r="X459" s="17"/>
      <c r="Y459" s="17"/>
      <c r="Z459" s="16"/>
      <c r="AA459" s="15"/>
      <c r="AB459" s="4"/>
      <c r="AC459" s="14"/>
      <c r="AD459" s="13"/>
    </row>
    <row r="460" spans="1:30">
      <c r="A460" s="20"/>
      <c r="B460" s="11"/>
      <c r="C460" s="10"/>
      <c r="D460" s="10"/>
      <c r="E460" s="10"/>
      <c r="G460" s="19"/>
      <c r="H460" s="19"/>
      <c r="I460" s="19"/>
      <c r="J460" s="19"/>
      <c r="K460" s="19"/>
      <c r="L460" s="18"/>
      <c r="M460" s="18"/>
      <c r="N460" s="18"/>
      <c r="O460" s="18"/>
      <c r="P460" s="18"/>
      <c r="R460" s="17"/>
      <c r="S460" s="17"/>
      <c r="T460" s="17"/>
      <c r="U460" s="17"/>
      <c r="V460" s="17"/>
      <c r="W460" s="17"/>
      <c r="X460" s="17"/>
      <c r="Y460" s="17"/>
      <c r="Z460" s="16"/>
      <c r="AA460" s="15"/>
      <c r="AB460" s="4"/>
      <c r="AC460" s="14"/>
      <c r="AD460" s="13"/>
    </row>
    <row r="461" spans="1:30">
      <c r="A461" s="20"/>
      <c r="B461" s="11"/>
      <c r="C461" s="10"/>
      <c r="D461" s="10"/>
      <c r="E461" s="10"/>
      <c r="G461" s="19"/>
      <c r="H461" s="19"/>
      <c r="I461" s="19"/>
      <c r="J461" s="19"/>
      <c r="K461" s="19"/>
      <c r="L461" s="18"/>
      <c r="M461" s="18"/>
      <c r="N461" s="18"/>
      <c r="O461" s="18"/>
      <c r="P461" s="18"/>
      <c r="R461" s="17"/>
      <c r="S461" s="17"/>
      <c r="T461" s="17"/>
      <c r="U461" s="17"/>
      <c r="V461" s="17"/>
      <c r="W461" s="17"/>
      <c r="X461" s="17"/>
      <c r="Y461" s="17"/>
      <c r="Z461" s="16"/>
      <c r="AA461" s="15"/>
      <c r="AB461" s="4"/>
      <c r="AC461" s="14"/>
      <c r="AD461" s="13"/>
    </row>
    <row r="462" spans="1:30">
      <c r="A462" s="20"/>
      <c r="B462" s="11"/>
      <c r="C462" s="10"/>
      <c r="D462" s="10"/>
      <c r="E462" s="10"/>
      <c r="G462" s="19"/>
      <c r="H462" s="19"/>
      <c r="I462" s="19"/>
      <c r="J462" s="19"/>
      <c r="K462" s="19"/>
      <c r="L462" s="18"/>
      <c r="M462" s="18"/>
      <c r="N462" s="18"/>
      <c r="O462" s="18"/>
      <c r="P462" s="18"/>
      <c r="R462" s="17"/>
      <c r="S462" s="17"/>
      <c r="T462" s="17"/>
      <c r="U462" s="17"/>
      <c r="V462" s="17"/>
      <c r="W462" s="17"/>
      <c r="X462" s="17"/>
      <c r="Y462" s="17"/>
      <c r="Z462" s="16"/>
      <c r="AA462" s="15"/>
      <c r="AB462" s="4"/>
      <c r="AC462" s="14"/>
      <c r="AD462" s="13"/>
    </row>
    <row r="463" spans="1:30">
      <c r="A463" s="20"/>
      <c r="B463" s="11"/>
      <c r="C463" s="10"/>
      <c r="D463" s="10"/>
      <c r="E463" s="10"/>
      <c r="G463" s="19"/>
      <c r="H463" s="19"/>
      <c r="I463" s="19"/>
      <c r="J463" s="19"/>
      <c r="K463" s="19"/>
      <c r="L463" s="18"/>
      <c r="M463" s="18"/>
      <c r="N463" s="18"/>
      <c r="O463" s="18"/>
      <c r="P463" s="18"/>
      <c r="R463" s="17"/>
      <c r="S463" s="17"/>
      <c r="T463" s="17"/>
      <c r="U463" s="17"/>
      <c r="V463" s="17"/>
      <c r="W463" s="17"/>
      <c r="X463" s="17"/>
      <c r="Y463" s="17"/>
      <c r="Z463" s="16"/>
      <c r="AA463" s="15"/>
      <c r="AB463" s="4"/>
      <c r="AC463" s="14"/>
      <c r="AD463" s="13"/>
    </row>
    <row r="464" spans="1:30">
      <c r="A464" s="20"/>
      <c r="B464" s="11"/>
      <c r="C464" s="10"/>
      <c r="D464" s="10"/>
      <c r="E464" s="10"/>
      <c r="G464" s="19"/>
      <c r="H464" s="19"/>
      <c r="I464" s="19"/>
      <c r="J464" s="19"/>
      <c r="K464" s="19"/>
      <c r="L464" s="18"/>
      <c r="M464" s="18"/>
      <c r="N464" s="18"/>
      <c r="O464" s="18"/>
      <c r="P464" s="18"/>
      <c r="R464" s="17"/>
      <c r="S464" s="17"/>
      <c r="T464" s="17"/>
      <c r="U464" s="17"/>
      <c r="V464" s="17"/>
      <c r="W464" s="17"/>
      <c r="X464" s="17"/>
      <c r="Y464" s="17"/>
      <c r="Z464" s="16"/>
      <c r="AA464" s="15"/>
      <c r="AB464" s="4"/>
      <c r="AC464" s="14"/>
      <c r="AD464" s="13"/>
    </row>
    <row r="465" spans="1:30">
      <c r="A465" s="20"/>
      <c r="B465" s="11"/>
      <c r="C465" s="10"/>
      <c r="D465" s="10"/>
      <c r="E465" s="10"/>
      <c r="G465" s="19"/>
      <c r="H465" s="19"/>
      <c r="I465" s="19"/>
      <c r="J465" s="19"/>
      <c r="K465" s="19"/>
      <c r="L465" s="18"/>
      <c r="M465" s="18"/>
      <c r="N465" s="18"/>
      <c r="O465" s="18"/>
      <c r="P465" s="18"/>
      <c r="R465" s="17"/>
      <c r="S465" s="17"/>
      <c r="T465" s="17"/>
      <c r="U465" s="17"/>
      <c r="V465" s="17"/>
      <c r="W465" s="17"/>
      <c r="X465" s="17"/>
      <c r="Y465" s="17"/>
      <c r="Z465" s="16"/>
      <c r="AA465" s="15"/>
      <c r="AB465" s="4"/>
      <c r="AC465" s="14"/>
      <c r="AD465" s="13"/>
    </row>
    <row r="466" spans="1:30">
      <c r="A466" s="20"/>
      <c r="B466" s="11"/>
      <c r="C466" s="10"/>
      <c r="D466" s="10"/>
      <c r="E466" s="10"/>
      <c r="G466" s="19"/>
      <c r="H466" s="19"/>
      <c r="I466" s="19"/>
      <c r="J466" s="19"/>
      <c r="K466" s="19"/>
      <c r="L466" s="18"/>
      <c r="M466" s="18"/>
      <c r="N466" s="18"/>
      <c r="O466" s="18"/>
      <c r="P466" s="18"/>
      <c r="R466" s="17"/>
      <c r="S466" s="17"/>
      <c r="T466" s="17"/>
      <c r="U466" s="17"/>
      <c r="V466" s="17"/>
      <c r="W466" s="17"/>
      <c r="X466" s="17"/>
      <c r="Y466" s="17"/>
      <c r="Z466" s="16"/>
      <c r="AA466" s="15"/>
      <c r="AB466" s="4"/>
      <c r="AC466" s="14"/>
      <c r="AD466" s="13"/>
    </row>
    <row r="467" spans="1:30">
      <c r="A467" s="20"/>
      <c r="B467" s="11"/>
      <c r="C467" s="10"/>
      <c r="D467" s="10"/>
      <c r="E467" s="10"/>
      <c r="G467" s="19"/>
      <c r="H467" s="19"/>
      <c r="I467" s="19"/>
      <c r="J467" s="19"/>
      <c r="K467" s="19"/>
      <c r="L467" s="18"/>
      <c r="M467" s="18"/>
      <c r="N467" s="18"/>
      <c r="O467" s="18"/>
      <c r="P467" s="18"/>
      <c r="R467" s="17"/>
      <c r="S467" s="17"/>
      <c r="T467" s="17"/>
      <c r="U467" s="17"/>
      <c r="V467" s="17"/>
      <c r="W467" s="17"/>
      <c r="X467" s="17"/>
      <c r="Y467" s="17"/>
      <c r="Z467" s="16"/>
      <c r="AA467" s="15"/>
      <c r="AB467" s="4"/>
      <c r="AC467" s="14"/>
      <c r="AD467" s="13"/>
    </row>
    <row r="468" spans="1:30">
      <c r="A468" s="20"/>
      <c r="B468" s="11"/>
      <c r="C468" s="10"/>
      <c r="D468" s="10"/>
      <c r="E468" s="10"/>
      <c r="G468" s="19"/>
      <c r="H468" s="19"/>
      <c r="I468" s="19"/>
      <c r="J468" s="19"/>
      <c r="K468" s="19"/>
      <c r="L468" s="18"/>
      <c r="M468" s="18"/>
      <c r="N468" s="18"/>
      <c r="O468" s="18"/>
      <c r="P468" s="18"/>
      <c r="R468" s="17"/>
      <c r="S468" s="17"/>
      <c r="T468" s="17"/>
      <c r="U468" s="17"/>
      <c r="V468" s="17"/>
      <c r="W468" s="17"/>
      <c r="X468" s="17"/>
      <c r="Y468" s="17"/>
      <c r="Z468" s="16"/>
      <c r="AA468" s="15"/>
      <c r="AB468" s="4"/>
      <c r="AC468" s="14"/>
      <c r="AD468" s="13"/>
    </row>
    <row r="469" spans="1:30">
      <c r="A469" s="20"/>
      <c r="B469" s="11"/>
      <c r="C469" s="10"/>
      <c r="D469" s="10"/>
      <c r="E469" s="10"/>
      <c r="G469" s="19"/>
      <c r="H469" s="19"/>
      <c r="I469" s="19"/>
      <c r="J469" s="19"/>
      <c r="K469" s="19"/>
      <c r="L469" s="18"/>
      <c r="M469" s="18"/>
      <c r="N469" s="18"/>
      <c r="O469" s="18"/>
      <c r="P469" s="18"/>
      <c r="R469" s="17"/>
      <c r="S469" s="17"/>
      <c r="T469" s="17"/>
      <c r="U469" s="17"/>
      <c r="V469" s="17"/>
      <c r="W469" s="17"/>
      <c r="X469" s="17"/>
      <c r="Y469" s="17"/>
      <c r="Z469" s="16"/>
      <c r="AA469" s="15"/>
      <c r="AB469" s="4"/>
      <c r="AC469" s="14"/>
      <c r="AD469" s="13"/>
    </row>
    <row r="470" spans="1:30">
      <c r="A470" s="20"/>
      <c r="B470" s="11"/>
      <c r="C470" s="10"/>
      <c r="D470" s="10"/>
      <c r="E470" s="10"/>
      <c r="G470" s="19"/>
      <c r="H470" s="19"/>
      <c r="I470" s="19"/>
      <c r="J470" s="19"/>
      <c r="K470" s="19"/>
      <c r="L470" s="18"/>
      <c r="M470" s="18"/>
      <c r="N470" s="18"/>
      <c r="O470" s="18"/>
      <c r="P470" s="18"/>
      <c r="R470" s="17"/>
      <c r="S470" s="17"/>
      <c r="T470" s="17"/>
      <c r="U470" s="17"/>
      <c r="V470" s="17"/>
      <c r="W470" s="17"/>
      <c r="X470" s="17"/>
      <c r="Y470" s="17"/>
      <c r="Z470" s="16"/>
      <c r="AA470" s="15"/>
      <c r="AB470" s="4"/>
      <c r="AC470" s="14"/>
      <c r="AD470" s="13"/>
    </row>
    <row r="471" spans="1:30">
      <c r="A471" s="20"/>
      <c r="B471" s="11"/>
      <c r="C471" s="10"/>
      <c r="D471" s="10"/>
      <c r="E471" s="10"/>
      <c r="G471" s="19"/>
      <c r="H471" s="19"/>
      <c r="I471" s="19"/>
      <c r="J471" s="19"/>
      <c r="K471" s="19"/>
      <c r="L471" s="18"/>
      <c r="M471" s="18"/>
      <c r="N471" s="18"/>
      <c r="O471" s="18"/>
      <c r="P471" s="18"/>
      <c r="R471" s="17"/>
      <c r="S471" s="17"/>
      <c r="T471" s="17"/>
      <c r="U471" s="17"/>
      <c r="V471" s="17"/>
      <c r="W471" s="17"/>
      <c r="X471" s="17"/>
      <c r="Y471" s="17"/>
      <c r="Z471" s="16"/>
      <c r="AA471" s="15"/>
      <c r="AB471" s="4"/>
      <c r="AC471" s="14"/>
      <c r="AD471" s="13"/>
    </row>
    <row r="472" spans="1:30">
      <c r="A472" s="20"/>
      <c r="B472" s="11"/>
      <c r="C472" s="10"/>
      <c r="D472" s="10"/>
      <c r="E472" s="10"/>
      <c r="G472" s="19"/>
      <c r="H472" s="19"/>
      <c r="I472" s="19"/>
      <c r="J472" s="19"/>
      <c r="K472" s="19"/>
      <c r="L472" s="18"/>
      <c r="M472" s="18"/>
      <c r="N472" s="18"/>
      <c r="O472" s="18"/>
      <c r="P472" s="18"/>
      <c r="R472" s="17"/>
      <c r="S472" s="17"/>
      <c r="T472" s="17"/>
      <c r="U472" s="17"/>
      <c r="V472" s="17"/>
      <c r="W472" s="17"/>
      <c r="X472" s="17"/>
      <c r="Y472" s="17"/>
      <c r="Z472" s="16"/>
      <c r="AA472" s="15"/>
      <c r="AB472" s="4"/>
      <c r="AC472" s="14"/>
      <c r="AD472" s="13"/>
    </row>
    <row r="473" spans="1:30">
      <c r="A473" s="20"/>
      <c r="B473" s="11"/>
      <c r="C473" s="10"/>
      <c r="D473" s="10"/>
      <c r="E473" s="10"/>
      <c r="G473" s="19"/>
      <c r="H473" s="19"/>
      <c r="I473" s="19"/>
      <c r="J473" s="19"/>
      <c r="K473" s="19"/>
      <c r="L473" s="18"/>
      <c r="M473" s="18"/>
      <c r="N473" s="18"/>
      <c r="O473" s="18"/>
      <c r="P473" s="18"/>
      <c r="R473" s="17"/>
      <c r="S473" s="17"/>
      <c r="T473" s="17"/>
      <c r="U473" s="17"/>
      <c r="V473" s="17"/>
      <c r="W473" s="17"/>
      <c r="X473" s="17"/>
      <c r="Y473" s="17"/>
      <c r="Z473" s="16"/>
      <c r="AA473" s="15"/>
      <c r="AB473" s="4"/>
      <c r="AC473" s="14"/>
      <c r="AD473" s="13"/>
    </row>
    <row r="474" spans="1:30">
      <c r="A474" s="12"/>
      <c r="B474" s="11"/>
      <c r="C474" s="10"/>
      <c r="D474" s="10"/>
      <c r="E474" s="10"/>
      <c r="G474" s="9"/>
      <c r="H474" s="9"/>
      <c r="I474" s="9"/>
      <c r="J474" s="9"/>
      <c r="K474" s="9"/>
      <c r="L474" s="8"/>
      <c r="M474" s="8"/>
      <c r="N474" s="8"/>
      <c r="O474" s="8"/>
      <c r="P474" s="8"/>
      <c r="R474" s="7"/>
      <c r="S474" s="7"/>
      <c r="T474" s="7"/>
      <c r="U474" s="7"/>
      <c r="V474" s="7"/>
      <c r="W474" s="7"/>
      <c r="X474" s="7"/>
      <c r="Y474" s="7"/>
      <c r="Z474" s="6"/>
      <c r="AA474" s="5"/>
      <c r="AB474" s="4"/>
      <c r="AC474" s="3"/>
      <c r="AD474" s="2"/>
    </row>
    <row r="475" spans="1:30">
      <c r="A475" s="12"/>
      <c r="B475" s="11"/>
      <c r="C475" s="10"/>
      <c r="D475" s="10"/>
      <c r="E475" s="10"/>
      <c r="G475" s="9"/>
      <c r="H475" s="9"/>
      <c r="I475" s="9"/>
      <c r="J475" s="9"/>
      <c r="K475" s="9"/>
      <c r="L475" s="8"/>
      <c r="M475" s="8"/>
      <c r="N475" s="8"/>
      <c r="O475" s="8"/>
      <c r="P475" s="8"/>
      <c r="R475" s="7"/>
      <c r="S475" s="7"/>
      <c r="T475" s="7"/>
      <c r="U475" s="7"/>
      <c r="V475" s="7"/>
      <c r="W475" s="7"/>
      <c r="X475" s="7"/>
      <c r="Y475" s="7"/>
      <c r="Z475" s="6"/>
      <c r="AA475" s="5"/>
      <c r="AB475" s="4"/>
      <c r="AC475" s="3"/>
      <c r="AD475" s="2"/>
    </row>
  </sheetData>
  <mergeCells count="6">
    <mergeCell ref="C3:D3"/>
    <mergeCell ref="G3:K3"/>
    <mergeCell ref="L3:P3"/>
    <mergeCell ref="R3:U3"/>
    <mergeCell ref="V3:Y3"/>
    <mergeCell ref="G179:J179"/>
  </mergeCells>
  <printOptions horizontalCentered="1"/>
  <pageMargins left="0.7" right="0.7" top="0.75" bottom="0.75" header="0.3" footer="0.3"/>
  <pageSetup paperSize="17" scale="71" fitToHeight="6" orientation="landscape" r:id="rId1"/>
  <headerFooter>
    <oddFooter>&amp;RPage &amp;P of &amp;N
21 August 2009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475"/>
  <sheetViews>
    <sheetView view="pageBreakPreview" zoomScale="60" workbookViewId="0">
      <pane xSplit="1" ySplit="4" topLeftCell="B86" activePane="bottomRight" state="frozen"/>
      <selection pane="topRight" activeCell="B1" sqref="B1"/>
      <selection pane="bottomLeft" activeCell="A5" sqref="A5"/>
      <selection pane="bottomRight" activeCell="C172" sqref="C172"/>
    </sheetView>
  </sheetViews>
  <sheetFormatPr defaultRowHeight="12.75"/>
  <cols>
    <col min="1" max="1" width="62.7109375" bestFit="1" customWidth="1"/>
    <col min="3" max="3" width="9.85546875" bestFit="1" customWidth="1"/>
    <col min="4" max="4" width="5.140625" bestFit="1" customWidth="1"/>
    <col min="5" max="5" width="14" bestFit="1" customWidth="1"/>
    <col min="6" max="6" width="15.5703125" bestFit="1" customWidth="1"/>
    <col min="7" max="7" width="9.140625" customWidth="1"/>
    <col min="12" max="12" width="15.42578125" hidden="1" customWidth="1"/>
    <col min="13" max="13" width="12" hidden="1" customWidth="1"/>
    <col min="14" max="14" width="14" hidden="1" customWidth="1"/>
    <col min="15" max="16" width="15.140625" hidden="1" customWidth="1"/>
    <col min="17" max="17" width="18.140625" customWidth="1"/>
    <col min="21" max="21" width="15.42578125" bestFit="1" customWidth="1"/>
    <col min="22" max="22" width="14" hidden="1" customWidth="1"/>
    <col min="23" max="23" width="18.42578125" hidden="1" customWidth="1"/>
    <col min="24" max="24" width="14.85546875" hidden="1" customWidth="1"/>
    <col min="25" max="25" width="12.28515625" hidden="1" customWidth="1"/>
    <col min="26" max="26" width="19.42578125" style="1" bestFit="1" customWidth="1"/>
    <col min="30" max="30" width="75" customWidth="1"/>
  </cols>
  <sheetData>
    <row r="1" spans="1:30" ht="23.25">
      <c r="A1" s="338" t="s">
        <v>192</v>
      </c>
      <c r="B1" s="337"/>
      <c r="C1" s="336"/>
      <c r="D1" s="320"/>
      <c r="E1" s="335"/>
      <c r="F1" s="334"/>
      <c r="G1" s="333"/>
      <c r="H1" s="333"/>
      <c r="I1" s="333"/>
      <c r="J1" s="333"/>
      <c r="K1" s="333"/>
      <c r="L1" s="332"/>
      <c r="M1" s="332"/>
      <c r="N1" s="332"/>
      <c r="O1" s="332"/>
      <c r="P1" s="332"/>
      <c r="Q1" s="331"/>
      <c r="R1" s="323"/>
      <c r="S1" s="323"/>
      <c r="T1" s="323"/>
      <c r="U1" s="323"/>
      <c r="V1" s="323"/>
      <c r="W1" s="323"/>
      <c r="X1" s="323"/>
      <c r="Y1" s="323"/>
      <c r="Z1" s="322"/>
      <c r="AA1" s="321"/>
      <c r="AB1" s="320"/>
      <c r="AC1" s="319"/>
      <c r="AD1" s="318"/>
    </row>
    <row r="2" spans="1:30" ht="24" thickBot="1">
      <c r="A2" s="330" t="s">
        <v>195</v>
      </c>
      <c r="B2" s="329" t="s">
        <v>196</v>
      </c>
      <c r="C2" s="328"/>
      <c r="D2" s="327"/>
      <c r="E2" s="326"/>
      <c r="F2" s="325"/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3"/>
      <c r="S2" s="323"/>
      <c r="T2" s="323"/>
      <c r="U2" s="323"/>
      <c r="V2" s="323"/>
      <c r="W2" s="323"/>
      <c r="X2" s="323"/>
      <c r="Y2" s="323"/>
      <c r="Z2" s="322"/>
      <c r="AA2" s="321"/>
      <c r="AB2" s="320"/>
      <c r="AC2" s="319"/>
      <c r="AD2" s="318"/>
    </row>
    <row r="3" spans="1:30" ht="55.5" customHeight="1">
      <c r="A3" s="317" t="s">
        <v>191</v>
      </c>
      <c r="B3" s="316" t="s">
        <v>190</v>
      </c>
      <c r="C3" s="339" t="s">
        <v>189</v>
      </c>
      <c r="D3" s="339"/>
      <c r="E3" s="315" t="s">
        <v>188</v>
      </c>
      <c r="F3" s="314" t="s">
        <v>187</v>
      </c>
      <c r="G3" s="340" t="s">
        <v>186</v>
      </c>
      <c r="H3" s="340"/>
      <c r="I3" s="340"/>
      <c r="J3" s="340"/>
      <c r="K3" s="340"/>
      <c r="L3" s="341" t="s">
        <v>185</v>
      </c>
      <c r="M3" s="341"/>
      <c r="N3" s="341"/>
      <c r="O3" s="341"/>
      <c r="P3" s="341"/>
      <c r="Q3" s="313" t="s">
        <v>184</v>
      </c>
      <c r="R3" s="342" t="s">
        <v>183</v>
      </c>
      <c r="S3" s="342"/>
      <c r="T3" s="342"/>
      <c r="U3" s="342"/>
      <c r="V3" s="342" t="s">
        <v>182</v>
      </c>
      <c r="W3" s="342"/>
      <c r="X3" s="342"/>
      <c r="Y3" s="342"/>
      <c r="Z3" s="312" t="s">
        <v>181</v>
      </c>
      <c r="AA3" s="311" t="s">
        <v>180</v>
      </c>
      <c r="AB3" s="310" t="s">
        <v>179</v>
      </c>
      <c r="AC3" s="309" t="s">
        <v>178</v>
      </c>
      <c r="AD3" s="309" t="s">
        <v>177</v>
      </c>
    </row>
    <row r="4" spans="1:30" ht="109.5">
      <c r="A4" s="308"/>
      <c r="B4" s="307"/>
      <c r="C4" s="306"/>
      <c r="D4" s="305"/>
      <c r="E4" s="304"/>
      <c r="F4" s="303"/>
      <c r="G4" s="302" t="s">
        <v>176</v>
      </c>
      <c r="H4" s="302" t="s">
        <v>175</v>
      </c>
      <c r="I4" s="302" t="s">
        <v>174</v>
      </c>
      <c r="J4" s="302" t="s">
        <v>173</v>
      </c>
      <c r="K4" s="302" t="s">
        <v>172</v>
      </c>
      <c r="L4" s="301" t="s">
        <v>176</v>
      </c>
      <c r="M4" s="301" t="s">
        <v>175</v>
      </c>
      <c r="N4" s="301" t="s">
        <v>174</v>
      </c>
      <c r="O4" s="301" t="s">
        <v>173</v>
      </c>
      <c r="P4" s="301" t="s">
        <v>172</v>
      </c>
      <c r="Q4" s="300"/>
      <c r="R4" s="299" t="s">
        <v>170</v>
      </c>
      <c r="S4" s="299" t="s">
        <v>169</v>
      </c>
      <c r="T4" s="299" t="s">
        <v>171</v>
      </c>
      <c r="U4" s="299" t="s">
        <v>167</v>
      </c>
      <c r="V4" s="298" t="s">
        <v>170</v>
      </c>
      <c r="W4" s="298" t="s">
        <v>169</v>
      </c>
      <c r="X4" s="298" t="s">
        <v>168</v>
      </c>
      <c r="Y4" s="298" t="s">
        <v>167</v>
      </c>
      <c r="Z4" s="297"/>
      <c r="AA4" s="296"/>
      <c r="AB4" s="295" t="s">
        <v>166</v>
      </c>
      <c r="AC4" s="294"/>
      <c r="AD4" s="257"/>
    </row>
    <row r="5" spans="1:30" ht="20.25">
      <c r="A5" s="293" t="s">
        <v>165</v>
      </c>
      <c r="B5" s="292"/>
      <c r="C5" s="291"/>
      <c r="D5" s="290"/>
      <c r="E5" s="289"/>
      <c r="F5" s="288"/>
      <c r="G5" s="286"/>
      <c r="H5" s="286"/>
      <c r="I5" s="286"/>
      <c r="J5" s="287"/>
      <c r="K5" s="286"/>
      <c r="L5" s="285"/>
      <c r="M5" s="285"/>
      <c r="N5" s="285"/>
      <c r="O5" s="285"/>
      <c r="P5" s="285"/>
      <c r="Q5" s="284"/>
      <c r="R5" s="283"/>
      <c r="S5" s="283"/>
      <c r="T5" s="283"/>
      <c r="U5" s="282"/>
      <c r="V5" s="281"/>
      <c r="W5" s="281"/>
      <c r="X5" s="281"/>
      <c r="Y5" s="281"/>
      <c r="Z5" s="280"/>
      <c r="AA5" s="279"/>
      <c r="AB5" s="278"/>
      <c r="AC5" s="277"/>
      <c r="AD5" s="277"/>
    </row>
    <row r="6" spans="1:30" ht="22.5" customHeight="1">
      <c r="A6" s="276" t="s">
        <v>164</v>
      </c>
      <c r="B6" s="275"/>
      <c r="C6" s="274"/>
      <c r="D6" s="273"/>
      <c r="E6" s="272"/>
      <c r="F6" s="271"/>
      <c r="G6" s="269"/>
      <c r="H6" s="269"/>
      <c r="I6" s="269"/>
      <c r="J6" s="270"/>
      <c r="K6" s="269"/>
      <c r="L6" s="268"/>
      <c r="M6" s="268"/>
      <c r="N6" s="268"/>
      <c r="O6" s="268"/>
      <c r="P6" s="268"/>
      <c r="Q6" s="267"/>
      <c r="R6" s="266"/>
      <c r="S6" s="266"/>
      <c r="T6" s="266"/>
      <c r="U6" s="265"/>
      <c r="V6" s="264"/>
      <c r="W6" s="264"/>
      <c r="X6" s="264"/>
      <c r="Y6" s="264"/>
      <c r="Z6" s="263"/>
      <c r="AA6" s="262"/>
      <c r="AB6" s="261"/>
      <c r="AC6" s="260"/>
      <c r="AD6" s="260"/>
    </row>
    <row r="7" spans="1:30" ht="30">
      <c r="A7" s="220" t="s">
        <v>163</v>
      </c>
      <c r="B7" s="191"/>
      <c r="C7" s="237">
        <v>200</v>
      </c>
      <c r="D7" s="207" t="s">
        <v>3</v>
      </c>
      <c r="E7" s="230">
        <v>50</v>
      </c>
      <c r="F7" s="259">
        <f>E7*C7</f>
        <v>10000</v>
      </c>
      <c r="G7" s="186">
        <v>0.05</v>
      </c>
      <c r="H7" s="186">
        <v>0.02</v>
      </c>
      <c r="I7" s="186">
        <v>0.05</v>
      </c>
      <c r="J7" s="187">
        <v>0.122</v>
      </c>
      <c r="K7" s="186">
        <v>0.1</v>
      </c>
      <c r="L7" s="171">
        <f>F7*G7</f>
        <v>500</v>
      </c>
      <c r="M7" s="171">
        <f>(F7+L7)*H7</f>
        <v>210</v>
      </c>
      <c r="N7" s="171">
        <f>(F7+L7+M7)*I7</f>
        <v>535.5</v>
      </c>
      <c r="O7" s="171">
        <f>(F7+L7+M7+N7)*J7</f>
        <v>1371.951</v>
      </c>
      <c r="P7" s="171">
        <f>(F7+L7+M7+N7+O7)*K7</f>
        <v>1261.7451000000001</v>
      </c>
      <c r="Q7" s="170">
        <f>F7+SUM(L7:P7)</f>
        <v>13879.196100000001</v>
      </c>
      <c r="R7" s="185">
        <v>0.05</v>
      </c>
      <c r="S7" s="185">
        <v>0.05</v>
      </c>
      <c r="T7" s="185">
        <v>0.05</v>
      </c>
      <c r="U7" s="184">
        <v>0.1</v>
      </c>
      <c r="V7" s="167">
        <f>Q7*R7</f>
        <v>693.95980500000007</v>
      </c>
      <c r="W7" s="167">
        <f>Q7*S7</f>
        <v>693.95980500000007</v>
      </c>
      <c r="X7" s="167">
        <f>Q7*T7</f>
        <v>693.95980500000007</v>
      </c>
      <c r="Y7" s="167">
        <f>U7*(V7+W7)</f>
        <v>138.79196100000001</v>
      </c>
      <c r="Z7" s="183">
        <f>Q7+SUM(V7:Y7)</f>
        <v>16099.867476000001</v>
      </c>
      <c r="AA7" s="182">
        <v>75</v>
      </c>
      <c r="AB7" s="181"/>
      <c r="AC7" s="180">
        <v>75</v>
      </c>
      <c r="AD7" s="248"/>
    </row>
    <row r="8" spans="1:30" ht="45">
      <c r="A8" s="220" t="s">
        <v>162</v>
      </c>
      <c r="B8" s="191"/>
      <c r="C8" s="237">
        <v>0</v>
      </c>
      <c r="D8" s="207" t="s">
        <v>3</v>
      </c>
      <c r="E8" s="230">
        <v>25</v>
      </c>
      <c r="F8" s="259">
        <f>E8*C8</f>
        <v>0</v>
      </c>
      <c r="G8" s="186">
        <v>0.05</v>
      </c>
      <c r="H8" s="186">
        <v>0.02</v>
      </c>
      <c r="I8" s="186">
        <v>0.05</v>
      </c>
      <c r="J8" s="187">
        <v>0.122</v>
      </c>
      <c r="K8" s="186">
        <v>0.1</v>
      </c>
      <c r="L8" s="171">
        <f>F8*G8</f>
        <v>0</v>
      </c>
      <c r="M8" s="171">
        <f>(F8+L8)*H8</f>
        <v>0</v>
      </c>
      <c r="N8" s="171">
        <f>(F8+L8+M8)*I8</f>
        <v>0</v>
      </c>
      <c r="O8" s="171">
        <f>(F8+L8+M8+N8)*J8</f>
        <v>0</v>
      </c>
      <c r="P8" s="171">
        <f>(F8+L8+M8+N8+O8)*K8</f>
        <v>0</v>
      </c>
      <c r="Q8" s="170">
        <f>F8+SUM(L8:P8)</f>
        <v>0</v>
      </c>
      <c r="R8" s="185">
        <v>0.05</v>
      </c>
      <c r="S8" s="185">
        <v>0.05</v>
      </c>
      <c r="T8" s="185">
        <v>0.05</v>
      </c>
      <c r="U8" s="184">
        <v>0.1</v>
      </c>
      <c r="V8" s="167">
        <f>Q8*R8</f>
        <v>0</v>
      </c>
      <c r="W8" s="167">
        <f>Q8*S8</f>
        <v>0</v>
      </c>
      <c r="X8" s="167">
        <f>Q8*T8</f>
        <v>0</v>
      </c>
      <c r="Y8" s="167">
        <f>U8*(V8+W8)</f>
        <v>0</v>
      </c>
      <c r="Z8" s="183">
        <f>Q8+SUM(V8:Y8)</f>
        <v>0</v>
      </c>
      <c r="AA8" s="182">
        <v>75</v>
      </c>
      <c r="AB8" s="181"/>
      <c r="AC8" s="180">
        <v>75</v>
      </c>
      <c r="AD8" s="248"/>
    </row>
    <row r="9" spans="1:30" ht="30">
      <c r="A9" s="220" t="s">
        <v>161</v>
      </c>
      <c r="B9" s="191"/>
      <c r="C9" s="237">
        <v>200</v>
      </c>
      <c r="D9" s="207" t="s">
        <v>3</v>
      </c>
      <c r="E9" s="230">
        <v>75</v>
      </c>
      <c r="F9" s="259">
        <f>E9*C9</f>
        <v>15000</v>
      </c>
      <c r="G9" s="186">
        <v>0.05</v>
      </c>
      <c r="H9" s="186">
        <v>0.02</v>
      </c>
      <c r="I9" s="186">
        <v>0.05</v>
      </c>
      <c r="J9" s="187">
        <v>0.122</v>
      </c>
      <c r="K9" s="186">
        <v>0.1</v>
      </c>
      <c r="L9" s="171">
        <f>F9*G9</f>
        <v>750</v>
      </c>
      <c r="M9" s="171">
        <f>(F9+L9)*H9</f>
        <v>315</v>
      </c>
      <c r="N9" s="171">
        <f>(F9+L9+M9)*I9</f>
        <v>803.25</v>
      </c>
      <c r="O9" s="171">
        <f>(F9+L9+M9+N9)*J9</f>
        <v>2057.9265</v>
      </c>
      <c r="P9" s="171">
        <f>(F9+L9+M9+N9+O9)*K9</f>
        <v>1892.6176500000001</v>
      </c>
      <c r="Q9" s="170">
        <f>F9+SUM(L9:P9)</f>
        <v>20818.794150000002</v>
      </c>
      <c r="R9" s="185">
        <v>0.05</v>
      </c>
      <c r="S9" s="185">
        <v>0.05</v>
      </c>
      <c r="T9" s="185">
        <v>0.05</v>
      </c>
      <c r="U9" s="184">
        <v>0.1</v>
      </c>
      <c r="V9" s="167">
        <f>Q9*R9</f>
        <v>1040.9397075000002</v>
      </c>
      <c r="W9" s="167">
        <f>Q9*S9</f>
        <v>1040.9397075000002</v>
      </c>
      <c r="X9" s="167">
        <f>Q9*T9</f>
        <v>1040.9397075000002</v>
      </c>
      <c r="Y9" s="167">
        <f>U9*(V9+W9)</f>
        <v>208.18794150000005</v>
      </c>
      <c r="Z9" s="183">
        <f>Q9+SUM(V9:Y9)</f>
        <v>24149.801214000003</v>
      </c>
      <c r="AA9" s="182">
        <v>75</v>
      </c>
      <c r="AB9" s="181"/>
      <c r="AC9" s="180">
        <v>75</v>
      </c>
      <c r="AD9" s="248"/>
    </row>
    <row r="10" spans="1:30" ht="18">
      <c r="A10" s="229" t="s">
        <v>160</v>
      </c>
      <c r="B10" s="255"/>
      <c r="C10" s="255"/>
      <c r="D10" s="210"/>
      <c r="E10" s="254"/>
      <c r="F10" s="258"/>
      <c r="G10" s="200"/>
      <c r="H10" s="200"/>
      <c r="I10" s="200"/>
      <c r="J10" s="201"/>
      <c r="K10" s="200"/>
      <c r="L10" s="200"/>
      <c r="M10" s="200"/>
      <c r="N10" s="200"/>
      <c r="O10" s="200"/>
      <c r="P10" s="200"/>
      <c r="Q10" s="200"/>
      <c r="R10" s="199"/>
      <c r="S10" s="199"/>
      <c r="T10" s="199"/>
      <c r="U10" s="197"/>
      <c r="V10" s="197"/>
      <c r="W10" s="197"/>
      <c r="X10" s="197"/>
      <c r="Y10" s="197"/>
      <c r="Z10" s="198"/>
      <c r="AA10" s="197"/>
      <c r="AB10" s="197"/>
      <c r="AC10" s="195"/>
      <c r="AD10" s="257"/>
    </row>
    <row r="11" spans="1:30" ht="30.75">
      <c r="A11" s="236" t="s">
        <v>159</v>
      </c>
      <c r="B11" s="191"/>
      <c r="C11" s="237">
        <v>0</v>
      </c>
      <c r="D11" s="207" t="s">
        <v>3</v>
      </c>
      <c r="E11" s="230">
        <v>175</v>
      </c>
      <c r="F11" s="174">
        <f>E11*C11</f>
        <v>0</v>
      </c>
      <c r="G11" s="186">
        <v>0.05</v>
      </c>
      <c r="H11" s="186">
        <v>0.02</v>
      </c>
      <c r="I11" s="186">
        <v>0.05</v>
      </c>
      <c r="J11" s="187">
        <v>0.122</v>
      </c>
      <c r="K11" s="186">
        <v>0.1</v>
      </c>
      <c r="L11" s="171">
        <f>F11*G11</f>
        <v>0</v>
      </c>
      <c r="M11" s="171">
        <f>(F11+L11)*H11</f>
        <v>0</v>
      </c>
      <c r="N11" s="171">
        <f>(F11+L11+M11)*I11</f>
        <v>0</v>
      </c>
      <c r="O11" s="171">
        <f>(F11+L11+M11+N11)*J11</f>
        <v>0</v>
      </c>
      <c r="P11" s="171">
        <f>(F11+L11+M11+N11+O11)*K11</f>
        <v>0</v>
      </c>
      <c r="Q11" s="170">
        <f>F11+SUM(L11:P11)</f>
        <v>0</v>
      </c>
      <c r="R11" s="185">
        <v>0.05</v>
      </c>
      <c r="S11" s="185">
        <v>0.05</v>
      </c>
      <c r="T11" s="185">
        <v>0.05</v>
      </c>
      <c r="U11" s="184">
        <v>0.1</v>
      </c>
      <c r="V11" s="167">
        <f>Q11*R11</f>
        <v>0</v>
      </c>
      <c r="W11" s="167">
        <f>Q11*S11</f>
        <v>0</v>
      </c>
      <c r="X11" s="167">
        <f>Q11*T11</f>
        <v>0</v>
      </c>
      <c r="Y11" s="167">
        <f>U11*(V11+W11)</f>
        <v>0</v>
      </c>
      <c r="Z11" s="183">
        <f>Q11+SUM(V11:Y11)</f>
        <v>0</v>
      </c>
      <c r="AA11" s="182">
        <v>75</v>
      </c>
      <c r="AB11" s="181"/>
      <c r="AC11" s="180">
        <v>75</v>
      </c>
      <c r="AD11" s="248"/>
    </row>
    <row r="12" spans="1:30" ht="15.75">
      <c r="A12" s="236" t="s">
        <v>158</v>
      </c>
      <c r="B12" s="191"/>
      <c r="C12" s="237">
        <v>0</v>
      </c>
      <c r="D12" s="207" t="s">
        <v>3</v>
      </c>
      <c r="E12" s="230">
        <v>75</v>
      </c>
      <c r="F12" s="174">
        <f>E12*C12</f>
        <v>0</v>
      </c>
      <c r="G12" s="186">
        <v>0.05</v>
      </c>
      <c r="H12" s="186">
        <v>0.02</v>
      </c>
      <c r="I12" s="186">
        <v>0.05</v>
      </c>
      <c r="J12" s="187">
        <v>0.122</v>
      </c>
      <c r="K12" s="186">
        <v>0.1</v>
      </c>
      <c r="L12" s="171">
        <f>F12*G12</f>
        <v>0</v>
      </c>
      <c r="M12" s="171">
        <f>(F12+L12)*H12</f>
        <v>0</v>
      </c>
      <c r="N12" s="171">
        <f>(F12+L12+M12)*I12</f>
        <v>0</v>
      </c>
      <c r="O12" s="171">
        <f>(F12+L12+M12+N12)*J12</f>
        <v>0</v>
      </c>
      <c r="P12" s="171">
        <f>(F12+L12+M12+N12+O12)*K12</f>
        <v>0</v>
      </c>
      <c r="Q12" s="170">
        <f>F12+SUM(L12:P12)</f>
        <v>0</v>
      </c>
      <c r="R12" s="185">
        <v>0.05</v>
      </c>
      <c r="S12" s="185">
        <v>0.05</v>
      </c>
      <c r="T12" s="185">
        <v>0.05</v>
      </c>
      <c r="U12" s="184">
        <v>0.1</v>
      </c>
      <c r="V12" s="167">
        <f>Q12*R12</f>
        <v>0</v>
      </c>
      <c r="W12" s="167">
        <f>Q12*S12</f>
        <v>0</v>
      </c>
      <c r="X12" s="167">
        <f>Q12*T12</f>
        <v>0</v>
      </c>
      <c r="Y12" s="167">
        <f>U12*(V12+W12)</f>
        <v>0</v>
      </c>
      <c r="Z12" s="183">
        <f>Q12+SUM(V12:Y12)</f>
        <v>0</v>
      </c>
      <c r="AA12" s="182">
        <v>75</v>
      </c>
      <c r="AB12" s="181"/>
      <c r="AC12" s="180">
        <v>75</v>
      </c>
      <c r="AD12" s="248"/>
    </row>
    <row r="13" spans="1:30" ht="108">
      <c r="A13" s="229" t="s">
        <v>157</v>
      </c>
      <c r="B13" s="256"/>
      <c r="C13" s="255"/>
      <c r="D13" s="210"/>
      <c r="E13" s="254"/>
      <c r="F13" s="200"/>
      <c r="G13" s="200"/>
      <c r="H13" s="200"/>
      <c r="I13" s="200"/>
      <c r="J13" s="201"/>
      <c r="K13" s="200"/>
      <c r="L13" s="200"/>
      <c r="M13" s="200"/>
      <c r="N13" s="200"/>
      <c r="O13" s="200"/>
      <c r="P13" s="200"/>
      <c r="Q13" s="200"/>
      <c r="R13" s="199"/>
      <c r="S13" s="199"/>
      <c r="T13" s="199"/>
      <c r="U13" s="197"/>
      <c r="V13" s="197"/>
      <c r="W13" s="197"/>
      <c r="X13" s="197"/>
      <c r="Y13" s="197"/>
      <c r="Z13" s="198"/>
      <c r="AA13" s="197"/>
      <c r="AB13" s="196"/>
      <c r="AC13" s="195"/>
      <c r="AD13" s="245"/>
    </row>
    <row r="14" spans="1:30" ht="75">
      <c r="A14" s="217" t="s">
        <v>156</v>
      </c>
      <c r="B14" s="253"/>
      <c r="C14" s="252"/>
      <c r="D14" s="214"/>
      <c r="E14" s="251"/>
      <c r="F14" s="186"/>
      <c r="G14" s="186"/>
      <c r="H14" s="186"/>
      <c r="I14" s="250"/>
      <c r="J14" s="186"/>
      <c r="K14" s="186"/>
      <c r="L14" s="186"/>
      <c r="M14" s="186"/>
      <c r="N14" s="186"/>
      <c r="O14" s="186"/>
      <c r="P14" s="186"/>
      <c r="Q14" s="186"/>
      <c r="R14" s="185"/>
      <c r="S14" s="185"/>
      <c r="T14" s="185"/>
      <c r="U14" s="184"/>
      <c r="V14" s="184"/>
      <c r="W14" s="184"/>
      <c r="X14" s="184"/>
      <c r="Y14" s="184"/>
      <c r="Z14" s="212"/>
      <c r="AA14" s="184"/>
      <c r="AB14" s="181"/>
      <c r="AC14" s="180"/>
      <c r="AD14" s="211"/>
    </row>
    <row r="15" spans="1:30" ht="15.75">
      <c r="A15" s="236" t="s">
        <v>155</v>
      </c>
      <c r="B15" s="191"/>
      <c r="C15" s="237">
        <v>0</v>
      </c>
      <c r="D15" s="207" t="s">
        <v>3</v>
      </c>
      <c r="E15" s="249">
        <v>161</v>
      </c>
      <c r="F15" s="174">
        <f t="shared" ref="F15:F28" si="0">E15*C15</f>
        <v>0</v>
      </c>
      <c r="G15" s="186">
        <v>0.05</v>
      </c>
      <c r="H15" s="186">
        <v>0.02</v>
      </c>
      <c r="I15" s="186">
        <v>0.05</v>
      </c>
      <c r="J15" s="187">
        <v>0.122</v>
      </c>
      <c r="K15" s="186">
        <v>0.1</v>
      </c>
      <c r="L15" s="171">
        <f t="shared" ref="L15:L28" si="1">F15*G15</f>
        <v>0</v>
      </c>
      <c r="M15" s="171">
        <f t="shared" ref="M15:M28" si="2">(F15+L15)*H15</f>
        <v>0</v>
      </c>
      <c r="N15" s="171">
        <f t="shared" ref="N15:N28" si="3">(F15+L15+M15)*I15</f>
        <v>0</v>
      </c>
      <c r="O15" s="171">
        <f t="shared" ref="O15:O28" si="4">(F15+L15+M15+N15)*J15</f>
        <v>0</v>
      </c>
      <c r="P15" s="171">
        <f t="shared" ref="P15:P28" si="5">(F15+L15+M15+N15+O15)*K15</f>
        <v>0</v>
      </c>
      <c r="Q15" s="170">
        <f t="shared" ref="Q15:Q28" si="6">F15+SUM(L15:P15)</f>
        <v>0</v>
      </c>
      <c r="R15" s="185">
        <v>0.05</v>
      </c>
      <c r="S15" s="185">
        <v>0.05</v>
      </c>
      <c r="T15" s="185">
        <v>0.05</v>
      </c>
      <c r="U15" s="184">
        <v>0.1</v>
      </c>
      <c r="V15" s="167">
        <f t="shared" ref="V15:V28" si="7">Q15*R15</f>
        <v>0</v>
      </c>
      <c r="W15" s="167">
        <f t="shared" ref="W15:W28" si="8">Q15*S15</f>
        <v>0</v>
      </c>
      <c r="X15" s="167">
        <f t="shared" ref="X15:X28" si="9">Q15*T15</f>
        <v>0</v>
      </c>
      <c r="Y15" s="167">
        <f t="shared" ref="Y15:Y28" si="10">U15*(V15+W15)</f>
        <v>0</v>
      </c>
      <c r="Z15" s="183">
        <f t="shared" ref="Z15:Z28" si="11">Q15+SUM(V15:Y15)</f>
        <v>0</v>
      </c>
      <c r="AA15" s="182">
        <v>60</v>
      </c>
      <c r="AB15" s="181"/>
      <c r="AC15" s="180">
        <v>60</v>
      </c>
      <c r="AD15" s="248"/>
    </row>
    <row r="16" spans="1:30" ht="15.75">
      <c r="A16" s="236" t="s">
        <v>154</v>
      </c>
      <c r="B16" s="191"/>
      <c r="C16" s="237">
        <v>0</v>
      </c>
      <c r="D16" s="207" t="s">
        <v>3</v>
      </c>
      <c r="E16" s="249">
        <v>175</v>
      </c>
      <c r="F16" s="174">
        <f t="shared" si="0"/>
        <v>0</v>
      </c>
      <c r="G16" s="186">
        <v>0.05</v>
      </c>
      <c r="H16" s="186">
        <v>0.02</v>
      </c>
      <c r="I16" s="186">
        <v>0.05</v>
      </c>
      <c r="J16" s="187">
        <v>0.122</v>
      </c>
      <c r="K16" s="186">
        <v>0.1</v>
      </c>
      <c r="L16" s="171">
        <f t="shared" si="1"/>
        <v>0</v>
      </c>
      <c r="M16" s="171">
        <f t="shared" si="2"/>
        <v>0</v>
      </c>
      <c r="N16" s="171">
        <f t="shared" si="3"/>
        <v>0</v>
      </c>
      <c r="O16" s="171">
        <f t="shared" si="4"/>
        <v>0</v>
      </c>
      <c r="P16" s="171">
        <f t="shared" si="5"/>
        <v>0</v>
      </c>
      <c r="Q16" s="170">
        <f t="shared" si="6"/>
        <v>0</v>
      </c>
      <c r="R16" s="185">
        <v>0.05</v>
      </c>
      <c r="S16" s="185">
        <v>0.05</v>
      </c>
      <c r="T16" s="185">
        <v>0.05</v>
      </c>
      <c r="U16" s="184">
        <v>0.1</v>
      </c>
      <c r="V16" s="167">
        <f t="shared" si="7"/>
        <v>0</v>
      </c>
      <c r="W16" s="167">
        <f t="shared" si="8"/>
        <v>0</v>
      </c>
      <c r="X16" s="167">
        <f t="shared" si="9"/>
        <v>0</v>
      </c>
      <c r="Y16" s="167">
        <f t="shared" si="10"/>
        <v>0</v>
      </c>
      <c r="Z16" s="183">
        <f t="shared" si="11"/>
        <v>0</v>
      </c>
      <c r="AA16" s="182">
        <v>60</v>
      </c>
      <c r="AB16" s="181"/>
      <c r="AC16" s="180">
        <v>60</v>
      </c>
      <c r="AD16" s="248"/>
    </row>
    <row r="17" spans="1:30" ht="15.75">
      <c r="A17" s="236" t="s">
        <v>153</v>
      </c>
      <c r="B17" s="191"/>
      <c r="C17" s="237">
        <v>0</v>
      </c>
      <c r="D17" s="207" t="s">
        <v>3</v>
      </c>
      <c r="E17" s="249">
        <v>191</v>
      </c>
      <c r="F17" s="174">
        <f t="shared" si="0"/>
        <v>0</v>
      </c>
      <c r="G17" s="186">
        <v>0.05</v>
      </c>
      <c r="H17" s="186">
        <v>0.02</v>
      </c>
      <c r="I17" s="186">
        <v>0.05</v>
      </c>
      <c r="J17" s="187">
        <v>0.122</v>
      </c>
      <c r="K17" s="186">
        <v>0.1</v>
      </c>
      <c r="L17" s="171">
        <f t="shared" si="1"/>
        <v>0</v>
      </c>
      <c r="M17" s="171">
        <f t="shared" si="2"/>
        <v>0</v>
      </c>
      <c r="N17" s="171">
        <f t="shared" si="3"/>
        <v>0</v>
      </c>
      <c r="O17" s="171">
        <f t="shared" si="4"/>
        <v>0</v>
      </c>
      <c r="P17" s="171">
        <f t="shared" si="5"/>
        <v>0</v>
      </c>
      <c r="Q17" s="170">
        <f t="shared" si="6"/>
        <v>0</v>
      </c>
      <c r="R17" s="185">
        <v>0.05</v>
      </c>
      <c r="S17" s="185">
        <v>0.05</v>
      </c>
      <c r="T17" s="185">
        <v>0.05</v>
      </c>
      <c r="U17" s="184">
        <v>0.1</v>
      </c>
      <c r="V17" s="167">
        <f t="shared" si="7"/>
        <v>0</v>
      </c>
      <c r="W17" s="167">
        <f t="shared" si="8"/>
        <v>0</v>
      </c>
      <c r="X17" s="167">
        <f t="shared" si="9"/>
        <v>0</v>
      </c>
      <c r="Y17" s="167">
        <f t="shared" si="10"/>
        <v>0</v>
      </c>
      <c r="Z17" s="183">
        <f t="shared" si="11"/>
        <v>0</v>
      </c>
      <c r="AA17" s="182">
        <v>60</v>
      </c>
      <c r="AB17" s="181"/>
      <c r="AC17" s="180">
        <v>60</v>
      </c>
      <c r="AD17" s="248"/>
    </row>
    <row r="18" spans="1:30" ht="15.75">
      <c r="A18" s="236" t="s">
        <v>152</v>
      </c>
      <c r="B18" s="191"/>
      <c r="C18" s="237">
        <v>0</v>
      </c>
      <c r="D18" s="207" t="s">
        <v>3</v>
      </c>
      <c r="E18" s="249">
        <v>233</v>
      </c>
      <c r="F18" s="174">
        <f t="shared" si="0"/>
        <v>0</v>
      </c>
      <c r="G18" s="186">
        <v>0.05</v>
      </c>
      <c r="H18" s="186">
        <v>0.02</v>
      </c>
      <c r="I18" s="186">
        <v>0.05</v>
      </c>
      <c r="J18" s="187">
        <v>0.122</v>
      </c>
      <c r="K18" s="186">
        <v>0.1</v>
      </c>
      <c r="L18" s="171">
        <f t="shared" si="1"/>
        <v>0</v>
      </c>
      <c r="M18" s="171">
        <f t="shared" si="2"/>
        <v>0</v>
      </c>
      <c r="N18" s="171">
        <f t="shared" si="3"/>
        <v>0</v>
      </c>
      <c r="O18" s="171">
        <f t="shared" si="4"/>
        <v>0</v>
      </c>
      <c r="P18" s="171">
        <f t="shared" si="5"/>
        <v>0</v>
      </c>
      <c r="Q18" s="170">
        <f t="shared" si="6"/>
        <v>0</v>
      </c>
      <c r="R18" s="185">
        <v>0.05</v>
      </c>
      <c r="S18" s="185">
        <v>0.05</v>
      </c>
      <c r="T18" s="185">
        <v>0.05</v>
      </c>
      <c r="U18" s="184">
        <v>0.1</v>
      </c>
      <c r="V18" s="167">
        <f t="shared" si="7"/>
        <v>0</v>
      </c>
      <c r="W18" s="167">
        <f t="shared" si="8"/>
        <v>0</v>
      </c>
      <c r="X18" s="167">
        <f t="shared" si="9"/>
        <v>0</v>
      </c>
      <c r="Y18" s="167">
        <f t="shared" si="10"/>
        <v>0</v>
      </c>
      <c r="Z18" s="183">
        <f t="shared" si="11"/>
        <v>0</v>
      </c>
      <c r="AA18" s="182">
        <v>60</v>
      </c>
      <c r="AB18" s="181"/>
      <c r="AC18" s="180">
        <v>60</v>
      </c>
      <c r="AD18" s="248"/>
    </row>
    <row r="19" spans="1:30" ht="15.75">
      <c r="A19" s="236" t="s">
        <v>151</v>
      </c>
      <c r="B19" s="191"/>
      <c r="C19" s="237">
        <v>200</v>
      </c>
      <c r="D19" s="207" t="s">
        <v>3</v>
      </c>
      <c r="E19" s="249">
        <v>292</v>
      </c>
      <c r="F19" s="174">
        <f t="shared" si="0"/>
        <v>58400</v>
      </c>
      <c r="G19" s="186">
        <v>0.05</v>
      </c>
      <c r="H19" s="186">
        <v>0.02</v>
      </c>
      <c r="I19" s="186">
        <v>0.05</v>
      </c>
      <c r="J19" s="187">
        <v>0.122</v>
      </c>
      <c r="K19" s="186">
        <v>0.1</v>
      </c>
      <c r="L19" s="171">
        <f t="shared" si="1"/>
        <v>2920</v>
      </c>
      <c r="M19" s="171">
        <f t="shared" si="2"/>
        <v>1226.4000000000001</v>
      </c>
      <c r="N19" s="171">
        <f t="shared" si="3"/>
        <v>3127.32</v>
      </c>
      <c r="O19" s="171">
        <f t="shared" si="4"/>
        <v>8012.1938399999999</v>
      </c>
      <c r="P19" s="171">
        <f t="shared" si="5"/>
        <v>7368.5913839999994</v>
      </c>
      <c r="Q19" s="170">
        <f t="shared" si="6"/>
        <v>81054.505223999993</v>
      </c>
      <c r="R19" s="185">
        <v>0.05</v>
      </c>
      <c r="S19" s="185">
        <v>0.05</v>
      </c>
      <c r="T19" s="185">
        <v>0.05</v>
      </c>
      <c r="U19" s="184">
        <v>0.1</v>
      </c>
      <c r="V19" s="167">
        <f t="shared" si="7"/>
        <v>4052.7252611999997</v>
      </c>
      <c r="W19" s="167">
        <f t="shared" si="8"/>
        <v>4052.7252611999997</v>
      </c>
      <c r="X19" s="167">
        <f t="shared" si="9"/>
        <v>4052.7252611999997</v>
      </c>
      <c r="Y19" s="167">
        <f t="shared" si="10"/>
        <v>810.54505224000002</v>
      </c>
      <c r="Z19" s="183">
        <f t="shared" si="11"/>
        <v>94023.226059839988</v>
      </c>
      <c r="AA19" s="182">
        <v>60</v>
      </c>
      <c r="AB19" s="181"/>
      <c r="AC19" s="180">
        <v>60</v>
      </c>
      <c r="AD19" s="248"/>
    </row>
    <row r="20" spans="1:30" ht="15.75">
      <c r="A20" s="236" t="s">
        <v>150</v>
      </c>
      <c r="B20" s="191"/>
      <c r="C20" s="237">
        <v>0</v>
      </c>
      <c r="D20" s="207" t="s">
        <v>3</v>
      </c>
      <c r="E20" s="249">
        <v>320</v>
      </c>
      <c r="F20" s="174">
        <f t="shared" si="0"/>
        <v>0</v>
      </c>
      <c r="G20" s="186">
        <v>0.05</v>
      </c>
      <c r="H20" s="186">
        <v>0.02</v>
      </c>
      <c r="I20" s="186">
        <v>0.05</v>
      </c>
      <c r="J20" s="187">
        <v>0.122</v>
      </c>
      <c r="K20" s="186">
        <v>0.1</v>
      </c>
      <c r="L20" s="171">
        <f t="shared" si="1"/>
        <v>0</v>
      </c>
      <c r="M20" s="171">
        <f t="shared" si="2"/>
        <v>0</v>
      </c>
      <c r="N20" s="171">
        <f t="shared" si="3"/>
        <v>0</v>
      </c>
      <c r="O20" s="171">
        <f t="shared" si="4"/>
        <v>0</v>
      </c>
      <c r="P20" s="171">
        <f t="shared" si="5"/>
        <v>0</v>
      </c>
      <c r="Q20" s="170">
        <f t="shared" si="6"/>
        <v>0</v>
      </c>
      <c r="R20" s="185">
        <v>0.05</v>
      </c>
      <c r="S20" s="185">
        <v>0.05</v>
      </c>
      <c r="T20" s="185">
        <v>0.05</v>
      </c>
      <c r="U20" s="184">
        <v>0.1</v>
      </c>
      <c r="V20" s="167">
        <f t="shared" si="7"/>
        <v>0</v>
      </c>
      <c r="W20" s="167">
        <f t="shared" si="8"/>
        <v>0</v>
      </c>
      <c r="X20" s="167">
        <f t="shared" si="9"/>
        <v>0</v>
      </c>
      <c r="Y20" s="167">
        <f t="shared" si="10"/>
        <v>0</v>
      </c>
      <c r="Z20" s="183">
        <f t="shared" si="11"/>
        <v>0</v>
      </c>
      <c r="AA20" s="182">
        <v>60</v>
      </c>
      <c r="AB20" s="181"/>
      <c r="AC20" s="180">
        <v>60</v>
      </c>
      <c r="AD20" s="248"/>
    </row>
    <row r="21" spans="1:30" ht="15.75">
      <c r="A21" s="236" t="s">
        <v>149</v>
      </c>
      <c r="B21" s="191"/>
      <c r="C21" s="237">
        <v>0</v>
      </c>
      <c r="D21" s="207" t="s">
        <v>3</v>
      </c>
      <c r="E21" s="249">
        <v>374</v>
      </c>
      <c r="F21" s="174">
        <f t="shared" si="0"/>
        <v>0</v>
      </c>
      <c r="G21" s="186">
        <v>0.05</v>
      </c>
      <c r="H21" s="186">
        <v>0.02</v>
      </c>
      <c r="I21" s="186">
        <v>0.05</v>
      </c>
      <c r="J21" s="187">
        <v>0.122</v>
      </c>
      <c r="K21" s="186">
        <v>0.1</v>
      </c>
      <c r="L21" s="171">
        <f t="shared" si="1"/>
        <v>0</v>
      </c>
      <c r="M21" s="171">
        <f t="shared" si="2"/>
        <v>0</v>
      </c>
      <c r="N21" s="171">
        <f t="shared" si="3"/>
        <v>0</v>
      </c>
      <c r="O21" s="171">
        <f t="shared" si="4"/>
        <v>0</v>
      </c>
      <c r="P21" s="171">
        <f t="shared" si="5"/>
        <v>0</v>
      </c>
      <c r="Q21" s="170">
        <f t="shared" si="6"/>
        <v>0</v>
      </c>
      <c r="R21" s="185">
        <v>0.05</v>
      </c>
      <c r="S21" s="185">
        <v>0.05</v>
      </c>
      <c r="T21" s="185">
        <v>0.05</v>
      </c>
      <c r="U21" s="184">
        <v>0.1</v>
      </c>
      <c r="V21" s="167">
        <f t="shared" si="7"/>
        <v>0</v>
      </c>
      <c r="W21" s="167">
        <f t="shared" si="8"/>
        <v>0</v>
      </c>
      <c r="X21" s="167">
        <f t="shared" si="9"/>
        <v>0</v>
      </c>
      <c r="Y21" s="167">
        <f t="shared" si="10"/>
        <v>0</v>
      </c>
      <c r="Z21" s="183">
        <f t="shared" si="11"/>
        <v>0</v>
      </c>
      <c r="AA21" s="182">
        <v>60</v>
      </c>
      <c r="AB21" s="181"/>
      <c r="AC21" s="180">
        <v>60</v>
      </c>
      <c r="AD21" s="248"/>
    </row>
    <row r="22" spans="1:30" ht="15.75">
      <c r="A22" s="236" t="s">
        <v>148</v>
      </c>
      <c r="B22" s="191"/>
      <c r="C22" s="237">
        <v>0</v>
      </c>
      <c r="D22" s="207" t="s">
        <v>3</v>
      </c>
      <c r="E22" s="249">
        <v>447</v>
      </c>
      <c r="F22" s="174">
        <f t="shared" si="0"/>
        <v>0</v>
      </c>
      <c r="G22" s="186">
        <v>0.05</v>
      </c>
      <c r="H22" s="186">
        <v>0.02</v>
      </c>
      <c r="I22" s="186">
        <v>0.05</v>
      </c>
      <c r="J22" s="187">
        <v>0.122</v>
      </c>
      <c r="K22" s="186">
        <v>0.1</v>
      </c>
      <c r="L22" s="171">
        <f t="shared" si="1"/>
        <v>0</v>
      </c>
      <c r="M22" s="171">
        <f t="shared" si="2"/>
        <v>0</v>
      </c>
      <c r="N22" s="171">
        <f t="shared" si="3"/>
        <v>0</v>
      </c>
      <c r="O22" s="171">
        <f t="shared" si="4"/>
        <v>0</v>
      </c>
      <c r="P22" s="171">
        <f t="shared" si="5"/>
        <v>0</v>
      </c>
      <c r="Q22" s="170">
        <f t="shared" si="6"/>
        <v>0</v>
      </c>
      <c r="R22" s="185">
        <v>0.05</v>
      </c>
      <c r="S22" s="185">
        <v>0.05</v>
      </c>
      <c r="T22" s="185">
        <v>0.05</v>
      </c>
      <c r="U22" s="184">
        <v>0.1</v>
      </c>
      <c r="V22" s="167">
        <f t="shared" si="7"/>
        <v>0</v>
      </c>
      <c r="W22" s="167">
        <f t="shared" si="8"/>
        <v>0</v>
      </c>
      <c r="X22" s="167">
        <f t="shared" si="9"/>
        <v>0</v>
      </c>
      <c r="Y22" s="167">
        <f t="shared" si="10"/>
        <v>0</v>
      </c>
      <c r="Z22" s="183">
        <f t="shared" si="11"/>
        <v>0</v>
      </c>
      <c r="AA22" s="182">
        <v>60</v>
      </c>
      <c r="AB22" s="181"/>
      <c r="AC22" s="180">
        <v>60</v>
      </c>
      <c r="AD22" s="248"/>
    </row>
    <row r="23" spans="1:30" ht="15.75">
      <c r="A23" s="236" t="s">
        <v>147</v>
      </c>
      <c r="B23" s="191"/>
      <c r="C23" s="237">
        <v>0</v>
      </c>
      <c r="D23" s="207" t="s">
        <v>3</v>
      </c>
      <c r="E23" s="249">
        <v>505</v>
      </c>
      <c r="F23" s="174">
        <f t="shared" si="0"/>
        <v>0</v>
      </c>
      <c r="G23" s="186">
        <v>0.05</v>
      </c>
      <c r="H23" s="186">
        <v>0.02</v>
      </c>
      <c r="I23" s="186">
        <v>0.05</v>
      </c>
      <c r="J23" s="187">
        <v>0.122</v>
      </c>
      <c r="K23" s="186">
        <v>0.1</v>
      </c>
      <c r="L23" s="171">
        <f t="shared" si="1"/>
        <v>0</v>
      </c>
      <c r="M23" s="171">
        <f t="shared" si="2"/>
        <v>0</v>
      </c>
      <c r="N23" s="171">
        <f t="shared" si="3"/>
        <v>0</v>
      </c>
      <c r="O23" s="171">
        <f t="shared" si="4"/>
        <v>0</v>
      </c>
      <c r="P23" s="171">
        <f t="shared" si="5"/>
        <v>0</v>
      </c>
      <c r="Q23" s="170">
        <f t="shared" si="6"/>
        <v>0</v>
      </c>
      <c r="R23" s="185">
        <v>0.05</v>
      </c>
      <c r="S23" s="185">
        <v>0.05</v>
      </c>
      <c r="T23" s="185">
        <v>0.05</v>
      </c>
      <c r="U23" s="184">
        <v>0.1</v>
      </c>
      <c r="V23" s="167">
        <f t="shared" si="7"/>
        <v>0</v>
      </c>
      <c r="W23" s="167">
        <f t="shared" si="8"/>
        <v>0</v>
      </c>
      <c r="X23" s="167">
        <f t="shared" si="9"/>
        <v>0</v>
      </c>
      <c r="Y23" s="167">
        <f t="shared" si="10"/>
        <v>0</v>
      </c>
      <c r="Z23" s="183">
        <f t="shared" si="11"/>
        <v>0</v>
      </c>
      <c r="AA23" s="182">
        <v>60</v>
      </c>
      <c r="AB23" s="181"/>
      <c r="AC23" s="180">
        <v>60</v>
      </c>
      <c r="AD23" s="248"/>
    </row>
    <row r="24" spans="1:30" ht="15.75">
      <c r="A24" s="236" t="s">
        <v>146</v>
      </c>
      <c r="B24" s="191"/>
      <c r="C24" s="237">
        <v>0</v>
      </c>
      <c r="D24" s="207" t="s">
        <v>3</v>
      </c>
      <c r="E24" s="249">
        <v>547</v>
      </c>
      <c r="F24" s="174">
        <f t="shared" si="0"/>
        <v>0</v>
      </c>
      <c r="G24" s="186">
        <v>0.05</v>
      </c>
      <c r="H24" s="186">
        <v>0.02</v>
      </c>
      <c r="I24" s="186">
        <v>0.05</v>
      </c>
      <c r="J24" s="187">
        <v>0.122</v>
      </c>
      <c r="K24" s="186">
        <v>0.1</v>
      </c>
      <c r="L24" s="171">
        <f t="shared" si="1"/>
        <v>0</v>
      </c>
      <c r="M24" s="171">
        <f t="shared" si="2"/>
        <v>0</v>
      </c>
      <c r="N24" s="171">
        <f t="shared" si="3"/>
        <v>0</v>
      </c>
      <c r="O24" s="171">
        <f t="shared" si="4"/>
        <v>0</v>
      </c>
      <c r="P24" s="171">
        <f t="shared" si="5"/>
        <v>0</v>
      </c>
      <c r="Q24" s="170">
        <f t="shared" si="6"/>
        <v>0</v>
      </c>
      <c r="R24" s="185">
        <v>0.05</v>
      </c>
      <c r="S24" s="185">
        <v>0.05</v>
      </c>
      <c r="T24" s="185">
        <v>0.05</v>
      </c>
      <c r="U24" s="184">
        <v>0.1</v>
      </c>
      <c r="V24" s="167">
        <f t="shared" si="7"/>
        <v>0</v>
      </c>
      <c r="W24" s="167">
        <f t="shared" si="8"/>
        <v>0</v>
      </c>
      <c r="X24" s="167">
        <f t="shared" si="9"/>
        <v>0</v>
      </c>
      <c r="Y24" s="167">
        <f t="shared" si="10"/>
        <v>0</v>
      </c>
      <c r="Z24" s="183">
        <f t="shared" si="11"/>
        <v>0</v>
      </c>
      <c r="AA24" s="182">
        <v>60</v>
      </c>
      <c r="AB24" s="181"/>
      <c r="AC24" s="180">
        <v>60</v>
      </c>
      <c r="AD24" s="248"/>
    </row>
    <row r="25" spans="1:30" ht="15.75">
      <c r="A25" s="236" t="s">
        <v>145</v>
      </c>
      <c r="B25" s="191"/>
      <c r="C25" s="237">
        <v>0</v>
      </c>
      <c r="D25" s="207" t="s">
        <v>3</v>
      </c>
      <c r="E25" s="249">
        <v>588</v>
      </c>
      <c r="F25" s="174">
        <f t="shared" si="0"/>
        <v>0</v>
      </c>
      <c r="G25" s="186">
        <v>0.05</v>
      </c>
      <c r="H25" s="186">
        <v>0.02</v>
      </c>
      <c r="I25" s="186">
        <v>0.05</v>
      </c>
      <c r="J25" s="187">
        <v>0.122</v>
      </c>
      <c r="K25" s="186">
        <v>0.1</v>
      </c>
      <c r="L25" s="171">
        <f t="shared" si="1"/>
        <v>0</v>
      </c>
      <c r="M25" s="171">
        <f t="shared" si="2"/>
        <v>0</v>
      </c>
      <c r="N25" s="171">
        <f t="shared" si="3"/>
        <v>0</v>
      </c>
      <c r="O25" s="171">
        <f t="shared" si="4"/>
        <v>0</v>
      </c>
      <c r="P25" s="171">
        <f t="shared" si="5"/>
        <v>0</v>
      </c>
      <c r="Q25" s="170">
        <f t="shared" si="6"/>
        <v>0</v>
      </c>
      <c r="R25" s="185">
        <v>0.05</v>
      </c>
      <c r="S25" s="185">
        <v>0.05</v>
      </c>
      <c r="T25" s="185">
        <v>0.05</v>
      </c>
      <c r="U25" s="184">
        <v>0.1</v>
      </c>
      <c r="V25" s="167">
        <f t="shared" si="7"/>
        <v>0</v>
      </c>
      <c r="W25" s="167">
        <f t="shared" si="8"/>
        <v>0</v>
      </c>
      <c r="X25" s="167">
        <f t="shared" si="9"/>
        <v>0</v>
      </c>
      <c r="Y25" s="167">
        <f t="shared" si="10"/>
        <v>0</v>
      </c>
      <c r="Z25" s="183">
        <f t="shared" si="11"/>
        <v>0</v>
      </c>
      <c r="AA25" s="182">
        <v>60</v>
      </c>
      <c r="AB25" s="181"/>
      <c r="AC25" s="180">
        <v>60</v>
      </c>
      <c r="AD25" s="248"/>
    </row>
    <row r="26" spans="1:30" ht="15.75">
      <c r="A26" s="236" t="s">
        <v>144</v>
      </c>
      <c r="B26" s="191"/>
      <c r="C26" s="237">
        <v>0</v>
      </c>
      <c r="D26" s="207" t="s">
        <v>3</v>
      </c>
      <c r="E26" s="249">
        <v>691</v>
      </c>
      <c r="F26" s="174">
        <f t="shared" si="0"/>
        <v>0</v>
      </c>
      <c r="G26" s="186">
        <v>0.05</v>
      </c>
      <c r="H26" s="186">
        <v>0.02</v>
      </c>
      <c r="I26" s="186">
        <v>0.05</v>
      </c>
      <c r="J26" s="187">
        <v>0.122</v>
      </c>
      <c r="K26" s="186">
        <v>0.1</v>
      </c>
      <c r="L26" s="171">
        <f t="shared" si="1"/>
        <v>0</v>
      </c>
      <c r="M26" s="171">
        <f t="shared" si="2"/>
        <v>0</v>
      </c>
      <c r="N26" s="171">
        <f t="shared" si="3"/>
        <v>0</v>
      </c>
      <c r="O26" s="171">
        <f t="shared" si="4"/>
        <v>0</v>
      </c>
      <c r="P26" s="171">
        <f t="shared" si="5"/>
        <v>0</v>
      </c>
      <c r="Q26" s="170">
        <f t="shared" si="6"/>
        <v>0</v>
      </c>
      <c r="R26" s="185">
        <v>0.05</v>
      </c>
      <c r="S26" s="185">
        <v>0.05</v>
      </c>
      <c r="T26" s="185">
        <v>0.05</v>
      </c>
      <c r="U26" s="184">
        <v>0.1</v>
      </c>
      <c r="V26" s="167">
        <f t="shared" si="7"/>
        <v>0</v>
      </c>
      <c r="W26" s="167">
        <f t="shared" si="8"/>
        <v>0</v>
      </c>
      <c r="X26" s="167">
        <f t="shared" si="9"/>
        <v>0</v>
      </c>
      <c r="Y26" s="167">
        <f t="shared" si="10"/>
        <v>0</v>
      </c>
      <c r="Z26" s="183">
        <f t="shared" si="11"/>
        <v>0</v>
      </c>
      <c r="AA26" s="182">
        <v>60</v>
      </c>
      <c r="AB26" s="181"/>
      <c r="AC26" s="180">
        <v>60</v>
      </c>
      <c r="AD26" s="248"/>
    </row>
    <row r="27" spans="1:30" ht="15.75">
      <c r="A27" s="236" t="s">
        <v>143</v>
      </c>
      <c r="B27" s="191"/>
      <c r="C27" s="237">
        <v>0</v>
      </c>
      <c r="D27" s="207" t="s">
        <v>3</v>
      </c>
      <c r="E27" s="249">
        <v>785</v>
      </c>
      <c r="F27" s="174">
        <f t="shared" si="0"/>
        <v>0</v>
      </c>
      <c r="G27" s="186">
        <v>0.05</v>
      </c>
      <c r="H27" s="186">
        <v>0.02</v>
      </c>
      <c r="I27" s="186">
        <v>0.05</v>
      </c>
      <c r="J27" s="187">
        <v>0.122</v>
      </c>
      <c r="K27" s="186">
        <v>0.1</v>
      </c>
      <c r="L27" s="171">
        <f t="shared" si="1"/>
        <v>0</v>
      </c>
      <c r="M27" s="171">
        <f t="shared" si="2"/>
        <v>0</v>
      </c>
      <c r="N27" s="171">
        <f t="shared" si="3"/>
        <v>0</v>
      </c>
      <c r="O27" s="171">
        <f t="shared" si="4"/>
        <v>0</v>
      </c>
      <c r="P27" s="171">
        <f t="shared" si="5"/>
        <v>0</v>
      </c>
      <c r="Q27" s="170">
        <f t="shared" si="6"/>
        <v>0</v>
      </c>
      <c r="R27" s="185">
        <v>0.05</v>
      </c>
      <c r="S27" s="185">
        <v>0.05</v>
      </c>
      <c r="T27" s="185">
        <v>0.05</v>
      </c>
      <c r="U27" s="184">
        <v>0.1</v>
      </c>
      <c r="V27" s="167">
        <f t="shared" si="7"/>
        <v>0</v>
      </c>
      <c r="W27" s="167">
        <f t="shared" si="8"/>
        <v>0</v>
      </c>
      <c r="X27" s="167">
        <f t="shared" si="9"/>
        <v>0</v>
      </c>
      <c r="Y27" s="167">
        <f t="shared" si="10"/>
        <v>0</v>
      </c>
      <c r="Z27" s="183">
        <f t="shared" si="11"/>
        <v>0</v>
      </c>
      <c r="AA27" s="182">
        <v>60</v>
      </c>
      <c r="AB27" s="181"/>
      <c r="AC27" s="180">
        <v>60</v>
      </c>
      <c r="AD27" s="248"/>
    </row>
    <row r="28" spans="1:30" ht="15.75">
      <c r="A28" s="236" t="s">
        <v>142</v>
      </c>
      <c r="B28" s="191"/>
      <c r="C28" s="237">
        <v>0</v>
      </c>
      <c r="D28" s="207" t="s">
        <v>3</v>
      </c>
      <c r="E28" s="249">
        <v>891</v>
      </c>
      <c r="F28" s="174">
        <f t="shared" si="0"/>
        <v>0</v>
      </c>
      <c r="G28" s="186">
        <v>0.05</v>
      </c>
      <c r="H28" s="186">
        <v>0.02</v>
      </c>
      <c r="I28" s="186">
        <v>0.05</v>
      </c>
      <c r="J28" s="187">
        <v>0.122</v>
      </c>
      <c r="K28" s="186">
        <v>0.1</v>
      </c>
      <c r="L28" s="171">
        <f t="shared" si="1"/>
        <v>0</v>
      </c>
      <c r="M28" s="171">
        <f t="shared" si="2"/>
        <v>0</v>
      </c>
      <c r="N28" s="171">
        <f t="shared" si="3"/>
        <v>0</v>
      </c>
      <c r="O28" s="171">
        <f t="shared" si="4"/>
        <v>0</v>
      </c>
      <c r="P28" s="171">
        <f t="shared" si="5"/>
        <v>0</v>
      </c>
      <c r="Q28" s="170">
        <f t="shared" si="6"/>
        <v>0</v>
      </c>
      <c r="R28" s="185">
        <v>0.05</v>
      </c>
      <c r="S28" s="185">
        <v>0.05</v>
      </c>
      <c r="T28" s="185">
        <v>0.05</v>
      </c>
      <c r="U28" s="184">
        <v>0.1</v>
      </c>
      <c r="V28" s="167">
        <f t="shared" si="7"/>
        <v>0</v>
      </c>
      <c r="W28" s="167">
        <f t="shared" si="8"/>
        <v>0</v>
      </c>
      <c r="X28" s="167">
        <f t="shared" si="9"/>
        <v>0</v>
      </c>
      <c r="Y28" s="167">
        <f t="shared" si="10"/>
        <v>0</v>
      </c>
      <c r="Z28" s="183">
        <f t="shared" si="11"/>
        <v>0</v>
      </c>
      <c r="AA28" s="182">
        <v>60</v>
      </c>
      <c r="AB28" s="181"/>
      <c r="AC28" s="180">
        <v>60</v>
      </c>
      <c r="AD28" s="248"/>
    </row>
    <row r="29" spans="1:30" ht="108">
      <c r="A29" s="229" t="s">
        <v>141</v>
      </c>
      <c r="B29" s="205"/>
      <c r="C29" s="204"/>
      <c r="D29" s="203"/>
      <c r="E29" s="242"/>
      <c r="F29" s="200"/>
      <c r="G29" s="200"/>
      <c r="H29" s="200"/>
      <c r="I29" s="200"/>
      <c r="J29" s="201"/>
      <c r="K29" s="200"/>
      <c r="L29" s="200"/>
      <c r="M29" s="200"/>
      <c r="N29" s="200"/>
      <c r="O29" s="200"/>
      <c r="P29" s="200"/>
      <c r="Q29" s="200"/>
      <c r="R29" s="199"/>
      <c r="S29" s="199"/>
      <c r="T29" s="199"/>
      <c r="U29" s="197"/>
      <c r="V29" s="197"/>
      <c r="W29" s="197"/>
      <c r="X29" s="197"/>
      <c r="Y29" s="197"/>
      <c r="Z29" s="198"/>
      <c r="AA29" s="197"/>
      <c r="AB29" s="196"/>
      <c r="AC29" s="195"/>
      <c r="AD29" s="245"/>
    </row>
    <row r="30" spans="1:30" ht="75">
      <c r="A30" s="217" t="s">
        <v>140</v>
      </c>
      <c r="B30" s="216"/>
      <c r="C30" s="215"/>
      <c r="D30" s="214"/>
      <c r="E30" s="244"/>
      <c r="F30" s="186"/>
      <c r="G30" s="186"/>
      <c r="H30" s="186"/>
      <c r="I30" s="186"/>
      <c r="J30" s="187"/>
      <c r="K30" s="186"/>
      <c r="L30" s="186"/>
      <c r="M30" s="186"/>
      <c r="N30" s="186"/>
      <c r="O30" s="186"/>
      <c r="P30" s="186"/>
      <c r="Q30" s="186"/>
      <c r="R30" s="185"/>
      <c r="S30" s="185"/>
      <c r="T30" s="185"/>
      <c r="U30" s="184"/>
      <c r="V30" s="184"/>
      <c r="W30" s="184"/>
      <c r="X30" s="184"/>
      <c r="Y30" s="184"/>
      <c r="Z30" s="212"/>
      <c r="AA30" s="184"/>
      <c r="AB30" s="181"/>
      <c r="AC30" s="180"/>
      <c r="AD30" s="247"/>
    </row>
    <row r="31" spans="1:30" ht="15.75">
      <c r="A31" s="236" t="s">
        <v>139</v>
      </c>
      <c r="B31" s="191"/>
      <c r="C31" s="190">
        <v>0</v>
      </c>
      <c r="D31" s="207" t="s">
        <v>3</v>
      </c>
      <c r="E31" s="230">
        <v>190</v>
      </c>
      <c r="F31" s="174">
        <f t="shared" ref="F31:F41" si="12">E31*C31</f>
        <v>0</v>
      </c>
      <c r="G31" s="186">
        <v>0.05</v>
      </c>
      <c r="H31" s="186">
        <v>0.02</v>
      </c>
      <c r="I31" s="186">
        <v>0.05</v>
      </c>
      <c r="J31" s="187">
        <v>0.122</v>
      </c>
      <c r="K31" s="186">
        <v>0.1</v>
      </c>
      <c r="L31" s="171">
        <f t="shared" ref="L31:L41" si="13">F31*G31</f>
        <v>0</v>
      </c>
      <c r="M31" s="171">
        <f t="shared" ref="M31:M41" si="14">(F31+L31)*H31</f>
        <v>0</v>
      </c>
      <c r="N31" s="171">
        <f t="shared" ref="N31:N41" si="15">(F31+L31+M31)*I31</f>
        <v>0</v>
      </c>
      <c r="O31" s="171">
        <f t="shared" ref="O31:O41" si="16">(F31+L31+M31+N31)*J31</f>
        <v>0</v>
      </c>
      <c r="P31" s="171">
        <f t="shared" ref="P31:P41" si="17">(F31+L31+M31+N31+O31)*K31</f>
        <v>0</v>
      </c>
      <c r="Q31" s="170">
        <f t="shared" ref="Q31:Q41" si="18">F31+SUM(L31:P31)</f>
        <v>0</v>
      </c>
      <c r="R31" s="185">
        <v>0.05</v>
      </c>
      <c r="S31" s="185">
        <v>0.05</v>
      </c>
      <c r="T31" s="185">
        <v>0.05</v>
      </c>
      <c r="U31" s="184">
        <v>0.1</v>
      </c>
      <c r="V31" s="167">
        <f t="shared" ref="V31:V41" si="19">Q31*R31</f>
        <v>0</v>
      </c>
      <c r="W31" s="167">
        <f t="shared" ref="W31:W41" si="20">Q31*S31</f>
        <v>0</v>
      </c>
      <c r="X31" s="167">
        <f t="shared" ref="X31:X41" si="21">Q31*T31</f>
        <v>0</v>
      </c>
      <c r="Y31" s="167">
        <f t="shared" ref="Y31:Y41" si="22">U31*(V31+W31)</f>
        <v>0</v>
      </c>
      <c r="Z31" s="183">
        <f t="shared" ref="Z31:Z41" si="23">Q31+SUM(V31:Y31)</f>
        <v>0</v>
      </c>
      <c r="AA31" s="182">
        <v>40</v>
      </c>
      <c r="AB31" s="181"/>
      <c r="AC31" s="180">
        <v>40</v>
      </c>
      <c r="AD31" s="243"/>
    </row>
    <row r="32" spans="1:30" ht="15.75">
      <c r="A32" s="236" t="s">
        <v>138</v>
      </c>
      <c r="B32" s="191"/>
      <c r="C32" s="190">
        <v>0</v>
      </c>
      <c r="D32" s="207" t="s">
        <v>3</v>
      </c>
      <c r="E32" s="230">
        <v>187</v>
      </c>
      <c r="F32" s="174">
        <f t="shared" si="12"/>
        <v>0</v>
      </c>
      <c r="G32" s="186">
        <v>0.05</v>
      </c>
      <c r="H32" s="186">
        <v>0.02</v>
      </c>
      <c r="I32" s="186">
        <v>0.05</v>
      </c>
      <c r="J32" s="187">
        <v>0.122</v>
      </c>
      <c r="K32" s="186">
        <v>0.1</v>
      </c>
      <c r="L32" s="171">
        <f t="shared" si="13"/>
        <v>0</v>
      </c>
      <c r="M32" s="171">
        <f t="shared" si="14"/>
        <v>0</v>
      </c>
      <c r="N32" s="171">
        <f t="shared" si="15"/>
        <v>0</v>
      </c>
      <c r="O32" s="171">
        <f t="shared" si="16"/>
        <v>0</v>
      </c>
      <c r="P32" s="171">
        <f t="shared" si="17"/>
        <v>0</v>
      </c>
      <c r="Q32" s="170">
        <f t="shared" si="18"/>
        <v>0</v>
      </c>
      <c r="R32" s="185">
        <v>0.05</v>
      </c>
      <c r="S32" s="185">
        <v>0.05</v>
      </c>
      <c r="T32" s="185">
        <v>0.05</v>
      </c>
      <c r="U32" s="184">
        <v>0.1</v>
      </c>
      <c r="V32" s="167">
        <f t="shared" si="19"/>
        <v>0</v>
      </c>
      <c r="W32" s="167">
        <f t="shared" si="20"/>
        <v>0</v>
      </c>
      <c r="X32" s="167">
        <f t="shared" si="21"/>
        <v>0</v>
      </c>
      <c r="Y32" s="167">
        <f t="shared" si="22"/>
        <v>0</v>
      </c>
      <c r="Z32" s="183">
        <f t="shared" si="23"/>
        <v>0</v>
      </c>
      <c r="AA32" s="182">
        <v>40</v>
      </c>
      <c r="AB32" s="181"/>
      <c r="AC32" s="180">
        <v>40</v>
      </c>
      <c r="AD32" s="243"/>
    </row>
    <row r="33" spans="1:30" ht="15.75">
      <c r="A33" s="236" t="s">
        <v>137</v>
      </c>
      <c r="B33" s="191"/>
      <c r="C33" s="190">
        <v>0</v>
      </c>
      <c r="D33" s="207" t="s">
        <v>3</v>
      </c>
      <c r="E33" s="230">
        <v>198</v>
      </c>
      <c r="F33" s="174">
        <f t="shared" si="12"/>
        <v>0</v>
      </c>
      <c r="G33" s="186">
        <v>0.05</v>
      </c>
      <c r="H33" s="186">
        <v>0.02</v>
      </c>
      <c r="I33" s="186">
        <v>0.05</v>
      </c>
      <c r="J33" s="187">
        <v>0.122</v>
      </c>
      <c r="K33" s="186">
        <v>0.1</v>
      </c>
      <c r="L33" s="171">
        <f t="shared" si="13"/>
        <v>0</v>
      </c>
      <c r="M33" s="171">
        <f t="shared" si="14"/>
        <v>0</v>
      </c>
      <c r="N33" s="171">
        <f t="shared" si="15"/>
        <v>0</v>
      </c>
      <c r="O33" s="171">
        <f t="shared" si="16"/>
        <v>0</v>
      </c>
      <c r="P33" s="171">
        <f t="shared" si="17"/>
        <v>0</v>
      </c>
      <c r="Q33" s="170">
        <f t="shared" si="18"/>
        <v>0</v>
      </c>
      <c r="R33" s="185">
        <v>0.05</v>
      </c>
      <c r="S33" s="185">
        <v>0.05</v>
      </c>
      <c r="T33" s="185">
        <v>0.05</v>
      </c>
      <c r="U33" s="184">
        <v>0.1</v>
      </c>
      <c r="V33" s="167">
        <f t="shared" si="19"/>
        <v>0</v>
      </c>
      <c r="W33" s="167">
        <f t="shared" si="20"/>
        <v>0</v>
      </c>
      <c r="X33" s="167">
        <f t="shared" si="21"/>
        <v>0</v>
      </c>
      <c r="Y33" s="167">
        <f t="shared" si="22"/>
        <v>0</v>
      </c>
      <c r="Z33" s="183">
        <f t="shared" si="23"/>
        <v>0</v>
      </c>
      <c r="AA33" s="182">
        <v>40</v>
      </c>
      <c r="AB33" s="181"/>
      <c r="AC33" s="180">
        <v>40</v>
      </c>
      <c r="AD33" s="243"/>
    </row>
    <row r="34" spans="1:30" ht="15.75">
      <c r="A34" s="236" t="s">
        <v>136</v>
      </c>
      <c r="B34" s="191"/>
      <c r="C34" s="237">
        <v>200</v>
      </c>
      <c r="D34" s="207" t="s">
        <v>3</v>
      </c>
      <c r="E34" s="230">
        <v>205</v>
      </c>
      <c r="F34" s="174">
        <f t="shared" si="12"/>
        <v>41000</v>
      </c>
      <c r="G34" s="186">
        <v>0.05</v>
      </c>
      <c r="H34" s="186">
        <v>0.02</v>
      </c>
      <c r="I34" s="186">
        <v>0.05</v>
      </c>
      <c r="J34" s="187">
        <v>0.122</v>
      </c>
      <c r="K34" s="186">
        <v>0.1</v>
      </c>
      <c r="L34" s="171">
        <f t="shared" si="13"/>
        <v>2050</v>
      </c>
      <c r="M34" s="171">
        <f t="shared" si="14"/>
        <v>861</v>
      </c>
      <c r="N34" s="171">
        <f t="shared" si="15"/>
        <v>2195.5500000000002</v>
      </c>
      <c r="O34" s="171">
        <f t="shared" si="16"/>
        <v>5624.9991</v>
      </c>
      <c r="P34" s="171">
        <f t="shared" si="17"/>
        <v>5173.1549100000011</v>
      </c>
      <c r="Q34" s="170">
        <f t="shared" si="18"/>
        <v>56904.704010000001</v>
      </c>
      <c r="R34" s="185">
        <v>0.05</v>
      </c>
      <c r="S34" s="185">
        <v>0.05</v>
      </c>
      <c r="T34" s="185">
        <v>0.05</v>
      </c>
      <c r="U34" s="184">
        <v>0.1</v>
      </c>
      <c r="V34" s="167">
        <f t="shared" si="19"/>
        <v>2845.2352005000002</v>
      </c>
      <c r="W34" s="167">
        <f t="shared" si="20"/>
        <v>2845.2352005000002</v>
      </c>
      <c r="X34" s="167">
        <f t="shared" si="21"/>
        <v>2845.2352005000002</v>
      </c>
      <c r="Y34" s="167">
        <f t="shared" si="22"/>
        <v>569.04704010000012</v>
      </c>
      <c r="Z34" s="183">
        <f t="shared" si="23"/>
        <v>66009.456651600005</v>
      </c>
      <c r="AA34" s="182">
        <v>40</v>
      </c>
      <c r="AB34" s="181"/>
      <c r="AC34" s="180">
        <v>40</v>
      </c>
      <c r="AD34" s="243"/>
    </row>
    <row r="35" spans="1:30" ht="15.75">
      <c r="A35" s="236" t="s">
        <v>135</v>
      </c>
      <c r="B35" s="191"/>
      <c r="C35" s="237">
        <v>0</v>
      </c>
      <c r="D35" s="207" t="s">
        <v>3</v>
      </c>
      <c r="E35" s="230">
        <v>217</v>
      </c>
      <c r="F35" s="174">
        <f t="shared" si="12"/>
        <v>0</v>
      </c>
      <c r="G35" s="186">
        <v>0.05</v>
      </c>
      <c r="H35" s="186">
        <v>0.02</v>
      </c>
      <c r="I35" s="186">
        <v>0.05</v>
      </c>
      <c r="J35" s="187">
        <v>0.122</v>
      </c>
      <c r="K35" s="186">
        <v>0.1</v>
      </c>
      <c r="L35" s="171">
        <f t="shared" si="13"/>
        <v>0</v>
      </c>
      <c r="M35" s="171">
        <f t="shared" si="14"/>
        <v>0</v>
      </c>
      <c r="N35" s="171">
        <f t="shared" si="15"/>
        <v>0</v>
      </c>
      <c r="O35" s="171">
        <f t="shared" si="16"/>
        <v>0</v>
      </c>
      <c r="P35" s="171">
        <f t="shared" si="17"/>
        <v>0</v>
      </c>
      <c r="Q35" s="170">
        <f t="shared" si="18"/>
        <v>0</v>
      </c>
      <c r="R35" s="185">
        <v>0.05</v>
      </c>
      <c r="S35" s="185">
        <v>0.05</v>
      </c>
      <c r="T35" s="185">
        <v>0.05</v>
      </c>
      <c r="U35" s="184">
        <v>0.1</v>
      </c>
      <c r="V35" s="167">
        <f t="shared" si="19"/>
        <v>0</v>
      </c>
      <c r="W35" s="167">
        <f t="shared" si="20"/>
        <v>0</v>
      </c>
      <c r="X35" s="167">
        <f t="shared" si="21"/>
        <v>0</v>
      </c>
      <c r="Y35" s="167">
        <f t="shared" si="22"/>
        <v>0</v>
      </c>
      <c r="Z35" s="183">
        <f t="shared" si="23"/>
        <v>0</v>
      </c>
      <c r="AA35" s="182">
        <v>40</v>
      </c>
      <c r="AB35" s="181"/>
      <c r="AC35" s="180">
        <v>40</v>
      </c>
      <c r="AD35" s="243"/>
    </row>
    <row r="36" spans="1:30" ht="15.75">
      <c r="A36" s="236" t="s">
        <v>134</v>
      </c>
      <c r="B36" s="191"/>
      <c r="C36" s="237">
        <v>0</v>
      </c>
      <c r="D36" s="207" t="s">
        <v>3</v>
      </c>
      <c r="E36" s="230">
        <v>230</v>
      </c>
      <c r="F36" s="174">
        <f t="shared" si="12"/>
        <v>0</v>
      </c>
      <c r="G36" s="186">
        <v>0.05</v>
      </c>
      <c r="H36" s="186">
        <v>0.02</v>
      </c>
      <c r="I36" s="186">
        <v>0.05</v>
      </c>
      <c r="J36" s="187">
        <v>0.122</v>
      </c>
      <c r="K36" s="186">
        <v>0.1</v>
      </c>
      <c r="L36" s="171">
        <f t="shared" si="13"/>
        <v>0</v>
      </c>
      <c r="M36" s="171">
        <f t="shared" si="14"/>
        <v>0</v>
      </c>
      <c r="N36" s="171">
        <f t="shared" si="15"/>
        <v>0</v>
      </c>
      <c r="O36" s="171">
        <f t="shared" si="16"/>
        <v>0</v>
      </c>
      <c r="P36" s="171">
        <f t="shared" si="17"/>
        <v>0</v>
      </c>
      <c r="Q36" s="170">
        <f t="shared" si="18"/>
        <v>0</v>
      </c>
      <c r="R36" s="185">
        <v>0.05</v>
      </c>
      <c r="S36" s="185">
        <v>0.05</v>
      </c>
      <c r="T36" s="185">
        <v>0.05</v>
      </c>
      <c r="U36" s="184">
        <v>0.1</v>
      </c>
      <c r="V36" s="167">
        <f t="shared" si="19"/>
        <v>0</v>
      </c>
      <c r="W36" s="167">
        <f t="shared" si="20"/>
        <v>0</v>
      </c>
      <c r="X36" s="167">
        <f t="shared" si="21"/>
        <v>0</v>
      </c>
      <c r="Y36" s="167">
        <f t="shared" si="22"/>
        <v>0</v>
      </c>
      <c r="Z36" s="183">
        <f t="shared" si="23"/>
        <v>0</v>
      </c>
      <c r="AA36" s="182">
        <v>40</v>
      </c>
      <c r="AB36" s="181"/>
      <c r="AC36" s="180">
        <v>40</v>
      </c>
      <c r="AD36" s="243"/>
    </row>
    <row r="37" spans="1:30" ht="15.75">
      <c r="A37" s="236" t="s">
        <v>133</v>
      </c>
      <c r="B37" s="191"/>
      <c r="C37" s="237">
        <v>0</v>
      </c>
      <c r="D37" s="207" t="s">
        <v>3</v>
      </c>
      <c r="E37" s="230">
        <v>250</v>
      </c>
      <c r="F37" s="174">
        <f t="shared" si="12"/>
        <v>0</v>
      </c>
      <c r="G37" s="186">
        <v>0.05</v>
      </c>
      <c r="H37" s="186">
        <v>0.02</v>
      </c>
      <c r="I37" s="186">
        <v>0.05</v>
      </c>
      <c r="J37" s="187">
        <v>0.122</v>
      </c>
      <c r="K37" s="186">
        <v>0.1</v>
      </c>
      <c r="L37" s="171">
        <f t="shared" si="13"/>
        <v>0</v>
      </c>
      <c r="M37" s="171">
        <f t="shared" si="14"/>
        <v>0</v>
      </c>
      <c r="N37" s="171">
        <f t="shared" si="15"/>
        <v>0</v>
      </c>
      <c r="O37" s="171">
        <f t="shared" si="16"/>
        <v>0</v>
      </c>
      <c r="P37" s="171">
        <f t="shared" si="17"/>
        <v>0</v>
      </c>
      <c r="Q37" s="170">
        <f t="shared" si="18"/>
        <v>0</v>
      </c>
      <c r="R37" s="185">
        <v>0.05</v>
      </c>
      <c r="S37" s="185">
        <v>0.05</v>
      </c>
      <c r="T37" s="185">
        <v>0.05</v>
      </c>
      <c r="U37" s="184">
        <v>0.1</v>
      </c>
      <c r="V37" s="167">
        <f t="shared" si="19"/>
        <v>0</v>
      </c>
      <c r="W37" s="167">
        <f t="shared" si="20"/>
        <v>0</v>
      </c>
      <c r="X37" s="167">
        <f t="shared" si="21"/>
        <v>0</v>
      </c>
      <c r="Y37" s="167">
        <f t="shared" si="22"/>
        <v>0</v>
      </c>
      <c r="Z37" s="183">
        <f t="shared" si="23"/>
        <v>0</v>
      </c>
      <c r="AA37" s="182">
        <v>40</v>
      </c>
      <c r="AB37" s="181"/>
      <c r="AC37" s="180">
        <v>40</v>
      </c>
      <c r="AD37" s="243"/>
    </row>
    <row r="38" spans="1:30" ht="15.75">
      <c r="A38" s="236" t="s">
        <v>132</v>
      </c>
      <c r="B38" s="191"/>
      <c r="C38" s="237">
        <v>0</v>
      </c>
      <c r="D38" s="207" t="s">
        <v>3</v>
      </c>
      <c r="E38" s="230">
        <v>364</v>
      </c>
      <c r="F38" s="174">
        <f t="shared" si="12"/>
        <v>0</v>
      </c>
      <c r="G38" s="186">
        <v>0.05</v>
      </c>
      <c r="H38" s="186">
        <v>0.02</v>
      </c>
      <c r="I38" s="186">
        <v>0.05</v>
      </c>
      <c r="J38" s="187">
        <v>0.122</v>
      </c>
      <c r="K38" s="186">
        <v>0.1</v>
      </c>
      <c r="L38" s="171">
        <f t="shared" si="13"/>
        <v>0</v>
      </c>
      <c r="M38" s="171">
        <f t="shared" si="14"/>
        <v>0</v>
      </c>
      <c r="N38" s="171">
        <f t="shared" si="15"/>
        <v>0</v>
      </c>
      <c r="O38" s="171">
        <f t="shared" si="16"/>
        <v>0</v>
      </c>
      <c r="P38" s="171">
        <f t="shared" si="17"/>
        <v>0</v>
      </c>
      <c r="Q38" s="170">
        <f t="shared" si="18"/>
        <v>0</v>
      </c>
      <c r="R38" s="185">
        <v>0.05</v>
      </c>
      <c r="S38" s="185">
        <v>0.05</v>
      </c>
      <c r="T38" s="185">
        <v>0.05</v>
      </c>
      <c r="U38" s="184">
        <v>0.1</v>
      </c>
      <c r="V38" s="167">
        <f t="shared" si="19"/>
        <v>0</v>
      </c>
      <c r="W38" s="167">
        <f t="shared" si="20"/>
        <v>0</v>
      </c>
      <c r="X38" s="167">
        <f t="shared" si="21"/>
        <v>0</v>
      </c>
      <c r="Y38" s="167">
        <f t="shared" si="22"/>
        <v>0</v>
      </c>
      <c r="Z38" s="183">
        <f t="shared" si="23"/>
        <v>0</v>
      </c>
      <c r="AA38" s="182">
        <v>40</v>
      </c>
      <c r="AB38" s="181"/>
      <c r="AC38" s="180">
        <v>40</v>
      </c>
      <c r="AD38" s="243"/>
    </row>
    <row r="39" spans="1:30" ht="15.75">
      <c r="A39" s="236" t="s">
        <v>131</v>
      </c>
      <c r="B39" s="191"/>
      <c r="C39" s="237">
        <v>0</v>
      </c>
      <c r="D39" s="207" t="s">
        <v>3</v>
      </c>
      <c r="E39" s="230">
        <v>350</v>
      </c>
      <c r="F39" s="174">
        <f t="shared" si="12"/>
        <v>0</v>
      </c>
      <c r="G39" s="186">
        <v>0.05</v>
      </c>
      <c r="H39" s="186">
        <v>0.02</v>
      </c>
      <c r="I39" s="186">
        <v>0.05</v>
      </c>
      <c r="J39" s="187">
        <v>0.122</v>
      </c>
      <c r="K39" s="186">
        <v>0.1</v>
      </c>
      <c r="L39" s="171">
        <f t="shared" si="13"/>
        <v>0</v>
      </c>
      <c r="M39" s="171">
        <f t="shared" si="14"/>
        <v>0</v>
      </c>
      <c r="N39" s="171">
        <f t="shared" si="15"/>
        <v>0</v>
      </c>
      <c r="O39" s="171">
        <f t="shared" si="16"/>
        <v>0</v>
      </c>
      <c r="P39" s="171">
        <f t="shared" si="17"/>
        <v>0</v>
      </c>
      <c r="Q39" s="170">
        <f t="shared" si="18"/>
        <v>0</v>
      </c>
      <c r="R39" s="185">
        <v>0.05</v>
      </c>
      <c r="S39" s="185">
        <v>0.05</v>
      </c>
      <c r="T39" s="185">
        <v>0.05</v>
      </c>
      <c r="U39" s="184">
        <v>0.1</v>
      </c>
      <c r="V39" s="167">
        <f t="shared" si="19"/>
        <v>0</v>
      </c>
      <c r="W39" s="167">
        <f t="shared" si="20"/>
        <v>0</v>
      </c>
      <c r="X39" s="167">
        <f t="shared" si="21"/>
        <v>0</v>
      </c>
      <c r="Y39" s="167">
        <f t="shared" si="22"/>
        <v>0</v>
      </c>
      <c r="Z39" s="183">
        <f t="shared" si="23"/>
        <v>0</v>
      </c>
      <c r="AA39" s="182">
        <v>40</v>
      </c>
      <c r="AB39" s="181"/>
      <c r="AC39" s="180">
        <v>40</v>
      </c>
      <c r="AD39" s="243"/>
    </row>
    <row r="40" spans="1:30" ht="15.75">
      <c r="A40" s="236" t="s">
        <v>130</v>
      </c>
      <c r="B40" s="191"/>
      <c r="C40" s="190">
        <v>0</v>
      </c>
      <c r="D40" s="207" t="s">
        <v>3</v>
      </c>
      <c r="E40" s="230">
        <v>401</v>
      </c>
      <c r="F40" s="174">
        <f t="shared" si="12"/>
        <v>0</v>
      </c>
      <c r="G40" s="186">
        <v>0.05</v>
      </c>
      <c r="H40" s="186">
        <v>0.02</v>
      </c>
      <c r="I40" s="186">
        <v>0.05</v>
      </c>
      <c r="J40" s="187">
        <v>0.122</v>
      </c>
      <c r="K40" s="186">
        <v>0.1</v>
      </c>
      <c r="L40" s="171">
        <f t="shared" si="13"/>
        <v>0</v>
      </c>
      <c r="M40" s="171">
        <f t="shared" si="14"/>
        <v>0</v>
      </c>
      <c r="N40" s="171">
        <f t="shared" si="15"/>
        <v>0</v>
      </c>
      <c r="O40" s="171">
        <f t="shared" si="16"/>
        <v>0</v>
      </c>
      <c r="P40" s="171">
        <f t="shared" si="17"/>
        <v>0</v>
      </c>
      <c r="Q40" s="170">
        <f t="shared" si="18"/>
        <v>0</v>
      </c>
      <c r="R40" s="185">
        <v>0.05</v>
      </c>
      <c r="S40" s="185">
        <v>0.05</v>
      </c>
      <c r="T40" s="185">
        <v>0.05</v>
      </c>
      <c r="U40" s="184">
        <v>0.1</v>
      </c>
      <c r="V40" s="167">
        <f t="shared" si="19"/>
        <v>0</v>
      </c>
      <c r="W40" s="167">
        <f t="shared" si="20"/>
        <v>0</v>
      </c>
      <c r="X40" s="167">
        <f t="shared" si="21"/>
        <v>0</v>
      </c>
      <c r="Y40" s="167">
        <f t="shared" si="22"/>
        <v>0</v>
      </c>
      <c r="Z40" s="183">
        <f t="shared" si="23"/>
        <v>0</v>
      </c>
      <c r="AA40" s="182">
        <v>40</v>
      </c>
      <c r="AB40" s="181"/>
      <c r="AC40" s="180">
        <v>40</v>
      </c>
      <c r="AD40" s="243"/>
    </row>
    <row r="41" spans="1:30" ht="15.75">
      <c r="A41" s="236" t="s">
        <v>129</v>
      </c>
      <c r="B41" s="191"/>
      <c r="C41" s="190">
        <v>0</v>
      </c>
      <c r="D41" s="207" t="s">
        <v>3</v>
      </c>
      <c r="E41" s="230">
        <v>423</v>
      </c>
      <c r="F41" s="174">
        <f t="shared" si="12"/>
        <v>0</v>
      </c>
      <c r="G41" s="186">
        <v>0.05</v>
      </c>
      <c r="H41" s="186">
        <v>0.02</v>
      </c>
      <c r="I41" s="186">
        <v>0.05</v>
      </c>
      <c r="J41" s="187">
        <v>0.122</v>
      </c>
      <c r="K41" s="186">
        <v>0.1</v>
      </c>
      <c r="L41" s="171">
        <f t="shared" si="13"/>
        <v>0</v>
      </c>
      <c r="M41" s="171">
        <f t="shared" si="14"/>
        <v>0</v>
      </c>
      <c r="N41" s="171">
        <f t="shared" si="15"/>
        <v>0</v>
      </c>
      <c r="O41" s="171">
        <f t="shared" si="16"/>
        <v>0</v>
      </c>
      <c r="P41" s="171">
        <f t="shared" si="17"/>
        <v>0</v>
      </c>
      <c r="Q41" s="170">
        <f t="shared" si="18"/>
        <v>0</v>
      </c>
      <c r="R41" s="185">
        <v>0.05</v>
      </c>
      <c r="S41" s="185">
        <v>0.05</v>
      </c>
      <c r="T41" s="185">
        <v>0.05</v>
      </c>
      <c r="U41" s="184">
        <v>0.1</v>
      </c>
      <c r="V41" s="167">
        <f t="shared" si="19"/>
        <v>0</v>
      </c>
      <c r="W41" s="167">
        <f t="shared" si="20"/>
        <v>0</v>
      </c>
      <c r="X41" s="167">
        <f t="shared" si="21"/>
        <v>0</v>
      </c>
      <c r="Y41" s="167">
        <f t="shared" si="22"/>
        <v>0</v>
      </c>
      <c r="Z41" s="183">
        <f t="shared" si="23"/>
        <v>0</v>
      </c>
      <c r="AA41" s="182">
        <v>40</v>
      </c>
      <c r="AB41" s="181"/>
      <c r="AC41" s="180">
        <v>40</v>
      </c>
      <c r="AD41" s="243"/>
    </row>
    <row r="42" spans="1:30" ht="90">
      <c r="A42" s="246" t="s">
        <v>128</v>
      </c>
      <c r="B42" s="205"/>
      <c r="C42" s="204"/>
      <c r="D42" s="203"/>
      <c r="E42" s="242"/>
      <c r="F42" s="200"/>
      <c r="G42" s="200"/>
      <c r="H42" s="200"/>
      <c r="I42" s="200"/>
      <c r="J42" s="201"/>
      <c r="K42" s="200"/>
      <c r="L42" s="200"/>
      <c r="M42" s="200"/>
      <c r="N42" s="200"/>
      <c r="O42" s="200"/>
      <c r="P42" s="200"/>
      <c r="Q42" s="200"/>
      <c r="R42" s="199"/>
      <c r="S42" s="199"/>
      <c r="T42" s="199"/>
      <c r="U42" s="197"/>
      <c r="V42" s="197"/>
      <c r="W42" s="197"/>
      <c r="X42" s="197"/>
      <c r="Y42" s="197"/>
      <c r="Z42" s="198"/>
      <c r="AA42" s="218"/>
      <c r="AB42" s="196"/>
      <c r="AC42" s="195"/>
      <c r="AD42" s="245"/>
    </row>
    <row r="43" spans="1:30" ht="45">
      <c r="A43" s="217" t="s">
        <v>127</v>
      </c>
      <c r="B43" s="216"/>
      <c r="C43" s="215"/>
      <c r="D43" s="240"/>
      <c r="E43" s="239"/>
      <c r="F43" s="186"/>
      <c r="G43" s="186"/>
      <c r="H43" s="186"/>
      <c r="I43" s="186"/>
      <c r="J43" s="187"/>
      <c r="K43" s="186"/>
      <c r="L43" s="186"/>
      <c r="M43" s="186"/>
      <c r="N43" s="186"/>
      <c r="O43" s="186"/>
      <c r="P43" s="186"/>
      <c r="Q43" s="186"/>
      <c r="R43" s="185"/>
      <c r="S43" s="185"/>
      <c r="T43" s="185"/>
      <c r="U43" s="184"/>
      <c r="V43" s="184"/>
      <c r="W43" s="184"/>
      <c r="X43" s="184"/>
      <c r="Y43" s="184"/>
      <c r="Z43" s="212"/>
      <c r="AA43" s="182"/>
      <c r="AB43" s="181"/>
      <c r="AC43" s="180"/>
      <c r="AD43" s="211"/>
    </row>
    <row r="44" spans="1:30" ht="15.75">
      <c r="A44" s="220" t="s">
        <v>126</v>
      </c>
      <c r="B44" s="191"/>
      <c r="C44" s="237">
        <v>0</v>
      </c>
      <c r="D44" s="207" t="s">
        <v>3</v>
      </c>
      <c r="E44" s="230">
        <v>54</v>
      </c>
      <c r="F44" s="174">
        <f>E44*C44</f>
        <v>0</v>
      </c>
      <c r="G44" s="186">
        <v>0.05</v>
      </c>
      <c r="H44" s="186">
        <v>0.02</v>
      </c>
      <c r="I44" s="186">
        <v>0.05</v>
      </c>
      <c r="J44" s="187">
        <v>0.122</v>
      </c>
      <c r="K44" s="186">
        <v>0.1</v>
      </c>
      <c r="L44" s="171">
        <f>F44*G44</f>
        <v>0</v>
      </c>
      <c r="M44" s="171">
        <f>(F44+L44)*H44</f>
        <v>0</v>
      </c>
      <c r="N44" s="171">
        <f>(F44+L44+M44)*I44</f>
        <v>0</v>
      </c>
      <c r="O44" s="171">
        <f>(F44+L44+M44+N44)*J44</f>
        <v>0</v>
      </c>
      <c r="P44" s="171">
        <f>(F44+L44+M44+N44+O44)*K44</f>
        <v>0</v>
      </c>
      <c r="Q44" s="170">
        <f>F44+SUM(L44:P44)</f>
        <v>0</v>
      </c>
      <c r="R44" s="185">
        <v>0.05</v>
      </c>
      <c r="S44" s="185">
        <v>0.05</v>
      </c>
      <c r="T44" s="185">
        <v>0.05</v>
      </c>
      <c r="U44" s="184">
        <v>0.1</v>
      </c>
      <c r="V44" s="167">
        <f>Q44*R44</f>
        <v>0</v>
      </c>
      <c r="W44" s="167">
        <f>Q44*S44</f>
        <v>0</v>
      </c>
      <c r="X44" s="167">
        <f>Q44*T44</f>
        <v>0</v>
      </c>
      <c r="Y44" s="167">
        <f>U44*(V44+W44)</f>
        <v>0</v>
      </c>
      <c r="Z44" s="183">
        <f>Q44+SUM(V44:Y44)</f>
        <v>0</v>
      </c>
      <c r="AA44" s="182">
        <v>70</v>
      </c>
      <c r="AB44" s="181"/>
      <c r="AC44" s="180">
        <v>70</v>
      </c>
      <c r="AD44" s="243"/>
    </row>
    <row r="45" spans="1:30" ht="15.75">
      <c r="A45" s="220" t="s">
        <v>125</v>
      </c>
      <c r="B45" s="191"/>
      <c r="C45" s="237">
        <v>0</v>
      </c>
      <c r="D45" s="207" t="s">
        <v>3</v>
      </c>
      <c r="E45" s="230">
        <v>63</v>
      </c>
      <c r="F45" s="174">
        <f>E45*C45</f>
        <v>0</v>
      </c>
      <c r="G45" s="186">
        <v>0.05</v>
      </c>
      <c r="H45" s="186">
        <v>0.02</v>
      </c>
      <c r="I45" s="186">
        <v>0.05</v>
      </c>
      <c r="J45" s="187">
        <v>0.122</v>
      </c>
      <c r="K45" s="186">
        <v>0.1</v>
      </c>
      <c r="L45" s="171">
        <f>F45*G45</f>
        <v>0</v>
      </c>
      <c r="M45" s="171">
        <f>(F45+L45)*H45</f>
        <v>0</v>
      </c>
      <c r="N45" s="171">
        <f>(F45+L45+M45)*I45</f>
        <v>0</v>
      </c>
      <c r="O45" s="171">
        <f>(F45+L45+M45+N45)*J45</f>
        <v>0</v>
      </c>
      <c r="P45" s="171">
        <f>(F45+L45+M45+N45+O45)*K45</f>
        <v>0</v>
      </c>
      <c r="Q45" s="170">
        <f>F45+SUM(L45:P45)</f>
        <v>0</v>
      </c>
      <c r="R45" s="185">
        <v>0.05</v>
      </c>
      <c r="S45" s="185">
        <v>0.05</v>
      </c>
      <c r="T45" s="185">
        <v>0.05</v>
      </c>
      <c r="U45" s="184">
        <v>0.1</v>
      </c>
      <c r="V45" s="167">
        <f>Q45*R45</f>
        <v>0</v>
      </c>
      <c r="W45" s="167">
        <f>Q45*S45</f>
        <v>0</v>
      </c>
      <c r="X45" s="167">
        <f>Q45*T45</f>
        <v>0</v>
      </c>
      <c r="Y45" s="167">
        <f>U45*(V45+W45)</f>
        <v>0</v>
      </c>
      <c r="Z45" s="183">
        <f>Q45+SUM(V45:Y45)</f>
        <v>0</v>
      </c>
      <c r="AA45" s="182">
        <v>70</v>
      </c>
      <c r="AB45" s="181"/>
      <c r="AC45" s="180">
        <v>70</v>
      </c>
      <c r="AD45" s="243"/>
    </row>
    <row r="46" spans="1:30" ht="15.75">
      <c r="A46" s="220" t="s">
        <v>124</v>
      </c>
      <c r="B46" s="191"/>
      <c r="C46" s="190">
        <v>0</v>
      </c>
      <c r="D46" s="207" t="s">
        <v>3</v>
      </c>
      <c r="E46" s="230">
        <v>75</v>
      </c>
      <c r="F46" s="174">
        <f>E46*C46</f>
        <v>0</v>
      </c>
      <c r="G46" s="186">
        <v>0.05</v>
      </c>
      <c r="H46" s="186">
        <v>0.02</v>
      </c>
      <c r="I46" s="186">
        <v>0.05</v>
      </c>
      <c r="J46" s="187">
        <v>0.122</v>
      </c>
      <c r="K46" s="186">
        <v>0.1</v>
      </c>
      <c r="L46" s="171">
        <f>F46*G46</f>
        <v>0</v>
      </c>
      <c r="M46" s="171">
        <f>(F46+L46)*H46</f>
        <v>0</v>
      </c>
      <c r="N46" s="171">
        <f>(F46+L46+M46)*I46</f>
        <v>0</v>
      </c>
      <c r="O46" s="171">
        <f>(F46+L46+M46+N46)*J46</f>
        <v>0</v>
      </c>
      <c r="P46" s="171">
        <f>(F46+L46+M46+N46+O46)*K46</f>
        <v>0</v>
      </c>
      <c r="Q46" s="170">
        <f>F46+SUM(L46:P46)</f>
        <v>0</v>
      </c>
      <c r="R46" s="185">
        <v>0.05</v>
      </c>
      <c r="S46" s="185">
        <v>0.05</v>
      </c>
      <c r="T46" s="185">
        <v>0.05</v>
      </c>
      <c r="U46" s="184">
        <v>0.1</v>
      </c>
      <c r="V46" s="167">
        <f>Q46*R46</f>
        <v>0</v>
      </c>
      <c r="W46" s="167">
        <f>Q46*S46</f>
        <v>0</v>
      </c>
      <c r="X46" s="167">
        <f>Q46*T46</f>
        <v>0</v>
      </c>
      <c r="Y46" s="167">
        <f>U46*(V46+W46)</f>
        <v>0</v>
      </c>
      <c r="Z46" s="183">
        <f>Q46+SUM(V46:Y46)</f>
        <v>0</v>
      </c>
      <c r="AA46" s="182">
        <v>70</v>
      </c>
      <c r="AB46" s="181"/>
      <c r="AC46" s="180">
        <v>70</v>
      </c>
      <c r="AD46" s="243"/>
    </row>
    <row r="47" spans="1:30" ht="15.75">
      <c r="A47" s="220" t="s">
        <v>123</v>
      </c>
      <c r="B47" s="191"/>
      <c r="C47" s="190">
        <v>200</v>
      </c>
      <c r="D47" s="207" t="s">
        <v>3</v>
      </c>
      <c r="E47" s="230">
        <v>94</v>
      </c>
      <c r="F47" s="174">
        <f>E47*C47</f>
        <v>18800</v>
      </c>
      <c r="G47" s="186">
        <v>0.05</v>
      </c>
      <c r="H47" s="186">
        <v>0.02</v>
      </c>
      <c r="I47" s="186">
        <v>0.05</v>
      </c>
      <c r="J47" s="187">
        <v>0.122</v>
      </c>
      <c r="K47" s="186">
        <v>0.1</v>
      </c>
      <c r="L47" s="171">
        <f>F47*G47</f>
        <v>940</v>
      </c>
      <c r="M47" s="171">
        <f>(F47+L47)*H47</f>
        <v>394.8</v>
      </c>
      <c r="N47" s="171">
        <f>(F47+L47+M47)*I47</f>
        <v>1006.74</v>
      </c>
      <c r="O47" s="171">
        <f>(F47+L47+M47+N47)*J47</f>
        <v>2579.2678799999999</v>
      </c>
      <c r="P47" s="171">
        <f>(F47+L47+M47+N47+O47)*K47</f>
        <v>2372.0807880000002</v>
      </c>
      <c r="Q47" s="170">
        <f>F47+SUM(L47:P47)</f>
        <v>26092.888668</v>
      </c>
      <c r="R47" s="185">
        <v>0.05</v>
      </c>
      <c r="S47" s="185">
        <v>0.05</v>
      </c>
      <c r="T47" s="185">
        <v>0.05</v>
      </c>
      <c r="U47" s="184">
        <v>0.1</v>
      </c>
      <c r="V47" s="167">
        <f>Q47*R47</f>
        <v>1304.6444334</v>
      </c>
      <c r="W47" s="167">
        <f>Q47*S47</f>
        <v>1304.6444334</v>
      </c>
      <c r="X47" s="167">
        <f>Q47*T47</f>
        <v>1304.6444334</v>
      </c>
      <c r="Y47" s="167">
        <f>U47*(V47+W47)</f>
        <v>260.92888668000001</v>
      </c>
      <c r="Z47" s="183">
        <f>Q47+SUM(V47:Y47)</f>
        <v>30267.75085488</v>
      </c>
      <c r="AA47" s="182">
        <v>70</v>
      </c>
      <c r="AB47" s="181"/>
      <c r="AC47" s="180">
        <v>70</v>
      </c>
      <c r="AD47" s="243"/>
    </row>
    <row r="48" spans="1:30" ht="75">
      <c r="A48" s="217" t="s">
        <v>35</v>
      </c>
      <c r="B48" s="216"/>
      <c r="C48" s="215"/>
      <c r="D48" s="214"/>
      <c r="E48" s="244"/>
      <c r="F48" s="186"/>
      <c r="G48" s="186"/>
      <c r="H48" s="186"/>
      <c r="I48" s="186"/>
      <c r="J48" s="187"/>
      <c r="K48" s="186"/>
      <c r="L48" s="186"/>
      <c r="M48" s="186"/>
      <c r="N48" s="186"/>
      <c r="O48" s="186"/>
      <c r="P48" s="186"/>
      <c r="Q48" s="186"/>
      <c r="R48" s="185"/>
      <c r="S48" s="185"/>
      <c r="T48" s="185"/>
      <c r="U48" s="184"/>
      <c r="V48" s="184"/>
      <c r="W48" s="184"/>
      <c r="X48" s="184"/>
      <c r="Y48" s="184"/>
      <c r="Z48" s="212"/>
      <c r="AA48" s="182"/>
      <c r="AB48" s="181"/>
      <c r="AC48" s="180"/>
      <c r="AD48" s="211"/>
    </row>
    <row r="49" spans="1:30" ht="15.75">
      <c r="A49" s="220" t="s">
        <v>122</v>
      </c>
      <c r="B49" s="191"/>
      <c r="C49" s="190">
        <v>0</v>
      </c>
      <c r="D49" s="207" t="s">
        <v>3</v>
      </c>
      <c r="E49" s="230">
        <v>207</v>
      </c>
      <c r="F49" s="174">
        <f t="shared" ref="F49:F57" si="24">E49*C49</f>
        <v>0</v>
      </c>
      <c r="G49" s="186">
        <v>0.05</v>
      </c>
      <c r="H49" s="186">
        <v>0.02</v>
      </c>
      <c r="I49" s="186">
        <v>0.05</v>
      </c>
      <c r="J49" s="187">
        <v>0.122</v>
      </c>
      <c r="K49" s="186">
        <v>0.1</v>
      </c>
      <c r="L49" s="171">
        <f t="shared" ref="L49:L57" si="25">F49*G49</f>
        <v>0</v>
      </c>
      <c r="M49" s="171">
        <f t="shared" ref="M49:M57" si="26">(F49+L49)*H49</f>
        <v>0</v>
      </c>
      <c r="N49" s="171">
        <f t="shared" ref="N49:N57" si="27">(F49+L49+M49)*I49</f>
        <v>0</v>
      </c>
      <c r="O49" s="171">
        <f t="shared" ref="O49:O57" si="28">(F49+L49+M49+N49)*J49</f>
        <v>0</v>
      </c>
      <c r="P49" s="171">
        <f t="shared" ref="P49:P57" si="29">(F49+L49+M49+N49+O49)*K49</f>
        <v>0</v>
      </c>
      <c r="Q49" s="170">
        <f t="shared" ref="Q49:Q57" si="30">F49+SUM(L49:P49)</f>
        <v>0</v>
      </c>
      <c r="R49" s="185">
        <v>0.05</v>
      </c>
      <c r="S49" s="185">
        <v>0.05</v>
      </c>
      <c r="T49" s="185">
        <v>0.05</v>
      </c>
      <c r="U49" s="184">
        <v>0.1</v>
      </c>
      <c r="V49" s="167">
        <f t="shared" ref="V49:V57" si="31">Q49*R49</f>
        <v>0</v>
      </c>
      <c r="W49" s="167">
        <f t="shared" ref="W49:W57" si="32">Q49*S49</f>
        <v>0</v>
      </c>
      <c r="X49" s="167">
        <f t="shared" ref="X49:X57" si="33">Q49*T49</f>
        <v>0</v>
      </c>
      <c r="Y49" s="167">
        <f t="shared" ref="Y49:Y57" si="34">U49*(V49+W49)</f>
        <v>0</v>
      </c>
      <c r="Z49" s="183">
        <f t="shared" ref="Z49:Z57" si="35">Q49+SUM(V49:Y49)</f>
        <v>0</v>
      </c>
      <c r="AA49" s="182">
        <v>70</v>
      </c>
      <c r="AB49" s="181"/>
      <c r="AC49" s="180">
        <v>70</v>
      </c>
      <c r="AD49" s="243"/>
    </row>
    <row r="50" spans="1:30" ht="15.75">
      <c r="A50" s="220" t="s">
        <v>121</v>
      </c>
      <c r="B50" s="191"/>
      <c r="C50" s="190">
        <v>0</v>
      </c>
      <c r="D50" s="207" t="s">
        <v>3</v>
      </c>
      <c r="E50" s="230">
        <v>221</v>
      </c>
      <c r="F50" s="174">
        <f t="shared" si="24"/>
        <v>0</v>
      </c>
      <c r="G50" s="186">
        <v>0.05</v>
      </c>
      <c r="H50" s="186">
        <v>0.02</v>
      </c>
      <c r="I50" s="186">
        <v>0.05</v>
      </c>
      <c r="J50" s="187">
        <v>0.122</v>
      </c>
      <c r="K50" s="186">
        <v>0.1</v>
      </c>
      <c r="L50" s="171">
        <f t="shared" si="25"/>
        <v>0</v>
      </c>
      <c r="M50" s="171">
        <f t="shared" si="26"/>
        <v>0</v>
      </c>
      <c r="N50" s="171">
        <f t="shared" si="27"/>
        <v>0</v>
      </c>
      <c r="O50" s="171">
        <f t="shared" si="28"/>
        <v>0</v>
      </c>
      <c r="P50" s="171">
        <f t="shared" si="29"/>
        <v>0</v>
      </c>
      <c r="Q50" s="170">
        <f t="shared" si="30"/>
        <v>0</v>
      </c>
      <c r="R50" s="185">
        <v>0.05</v>
      </c>
      <c r="S50" s="185">
        <v>0.05</v>
      </c>
      <c r="T50" s="185">
        <v>0.05</v>
      </c>
      <c r="U50" s="184">
        <v>0.1</v>
      </c>
      <c r="V50" s="167">
        <f t="shared" si="31"/>
        <v>0</v>
      </c>
      <c r="W50" s="167">
        <f t="shared" si="32"/>
        <v>0</v>
      </c>
      <c r="X50" s="167">
        <f t="shared" si="33"/>
        <v>0</v>
      </c>
      <c r="Y50" s="167">
        <f t="shared" si="34"/>
        <v>0</v>
      </c>
      <c r="Z50" s="183">
        <f t="shared" si="35"/>
        <v>0</v>
      </c>
      <c r="AA50" s="182">
        <v>70</v>
      </c>
      <c r="AB50" s="181"/>
      <c r="AC50" s="180">
        <v>70</v>
      </c>
      <c r="AD50" s="243"/>
    </row>
    <row r="51" spans="1:30" ht="15.75">
      <c r="A51" s="220" t="s">
        <v>120</v>
      </c>
      <c r="B51" s="191"/>
      <c r="C51" s="190">
        <v>0</v>
      </c>
      <c r="D51" s="207" t="s">
        <v>3</v>
      </c>
      <c r="E51" s="230">
        <v>254</v>
      </c>
      <c r="F51" s="174">
        <f t="shared" si="24"/>
        <v>0</v>
      </c>
      <c r="G51" s="186">
        <v>0.05</v>
      </c>
      <c r="H51" s="186">
        <v>0.02</v>
      </c>
      <c r="I51" s="186">
        <v>0.05</v>
      </c>
      <c r="J51" s="187">
        <v>0.122</v>
      </c>
      <c r="K51" s="186">
        <v>0.1</v>
      </c>
      <c r="L51" s="171">
        <f t="shared" si="25"/>
        <v>0</v>
      </c>
      <c r="M51" s="171">
        <f t="shared" si="26"/>
        <v>0</v>
      </c>
      <c r="N51" s="171">
        <f t="shared" si="27"/>
        <v>0</v>
      </c>
      <c r="O51" s="171">
        <f t="shared" si="28"/>
        <v>0</v>
      </c>
      <c r="P51" s="171">
        <f t="shared" si="29"/>
        <v>0</v>
      </c>
      <c r="Q51" s="170">
        <f t="shared" si="30"/>
        <v>0</v>
      </c>
      <c r="R51" s="185">
        <v>0.05</v>
      </c>
      <c r="S51" s="185">
        <v>0.05</v>
      </c>
      <c r="T51" s="185">
        <v>0.05</v>
      </c>
      <c r="U51" s="184">
        <v>0.1</v>
      </c>
      <c r="V51" s="167">
        <f t="shared" si="31"/>
        <v>0</v>
      </c>
      <c r="W51" s="167">
        <f t="shared" si="32"/>
        <v>0</v>
      </c>
      <c r="X51" s="167">
        <f t="shared" si="33"/>
        <v>0</v>
      </c>
      <c r="Y51" s="167">
        <f t="shared" si="34"/>
        <v>0</v>
      </c>
      <c r="Z51" s="183">
        <f t="shared" si="35"/>
        <v>0</v>
      </c>
      <c r="AA51" s="182">
        <v>70</v>
      </c>
      <c r="AB51" s="181"/>
      <c r="AC51" s="180">
        <v>70</v>
      </c>
      <c r="AD51" s="243"/>
    </row>
    <row r="52" spans="1:30" ht="15.75">
      <c r="A52" s="220" t="s">
        <v>119</v>
      </c>
      <c r="B52" s="191"/>
      <c r="C52" s="190">
        <v>0</v>
      </c>
      <c r="D52" s="207" t="s">
        <v>3</v>
      </c>
      <c r="E52" s="230">
        <v>263</v>
      </c>
      <c r="F52" s="174">
        <f t="shared" si="24"/>
        <v>0</v>
      </c>
      <c r="G52" s="186">
        <v>0.05</v>
      </c>
      <c r="H52" s="186">
        <v>0.02</v>
      </c>
      <c r="I52" s="186">
        <v>0.05</v>
      </c>
      <c r="J52" s="187">
        <v>0.122</v>
      </c>
      <c r="K52" s="186">
        <v>0.1</v>
      </c>
      <c r="L52" s="171">
        <f t="shared" si="25"/>
        <v>0</v>
      </c>
      <c r="M52" s="171">
        <f t="shared" si="26"/>
        <v>0</v>
      </c>
      <c r="N52" s="171">
        <f t="shared" si="27"/>
        <v>0</v>
      </c>
      <c r="O52" s="171">
        <f t="shared" si="28"/>
        <v>0</v>
      </c>
      <c r="P52" s="171">
        <f t="shared" si="29"/>
        <v>0</v>
      </c>
      <c r="Q52" s="170">
        <f t="shared" si="30"/>
        <v>0</v>
      </c>
      <c r="R52" s="185">
        <v>0.05</v>
      </c>
      <c r="S52" s="185">
        <v>0.05</v>
      </c>
      <c r="T52" s="185">
        <v>0.05</v>
      </c>
      <c r="U52" s="184">
        <v>0.1</v>
      </c>
      <c r="V52" s="167">
        <f t="shared" si="31"/>
        <v>0</v>
      </c>
      <c r="W52" s="167">
        <f t="shared" si="32"/>
        <v>0</v>
      </c>
      <c r="X52" s="167">
        <f t="shared" si="33"/>
        <v>0</v>
      </c>
      <c r="Y52" s="167">
        <f t="shared" si="34"/>
        <v>0</v>
      </c>
      <c r="Z52" s="183">
        <f t="shared" si="35"/>
        <v>0</v>
      </c>
      <c r="AA52" s="182">
        <v>70</v>
      </c>
      <c r="AB52" s="181"/>
      <c r="AC52" s="180">
        <v>70</v>
      </c>
      <c r="AD52" s="243"/>
    </row>
    <row r="53" spans="1:30" ht="15.75">
      <c r="A53" s="220" t="s">
        <v>118</v>
      </c>
      <c r="B53" s="191"/>
      <c r="C53" s="190">
        <v>0</v>
      </c>
      <c r="D53" s="207" t="s">
        <v>3</v>
      </c>
      <c r="E53" s="230">
        <v>291</v>
      </c>
      <c r="F53" s="174">
        <f t="shared" si="24"/>
        <v>0</v>
      </c>
      <c r="G53" s="186">
        <v>0.05</v>
      </c>
      <c r="H53" s="186">
        <v>0.02</v>
      </c>
      <c r="I53" s="186">
        <v>0.05</v>
      </c>
      <c r="J53" s="187">
        <v>0.122</v>
      </c>
      <c r="K53" s="186">
        <v>0.1</v>
      </c>
      <c r="L53" s="171">
        <f t="shared" si="25"/>
        <v>0</v>
      </c>
      <c r="M53" s="171">
        <f t="shared" si="26"/>
        <v>0</v>
      </c>
      <c r="N53" s="171">
        <f t="shared" si="27"/>
        <v>0</v>
      </c>
      <c r="O53" s="171">
        <f t="shared" si="28"/>
        <v>0</v>
      </c>
      <c r="P53" s="171">
        <f t="shared" si="29"/>
        <v>0</v>
      </c>
      <c r="Q53" s="170">
        <f t="shared" si="30"/>
        <v>0</v>
      </c>
      <c r="R53" s="185">
        <v>0.05</v>
      </c>
      <c r="S53" s="185">
        <v>0.05</v>
      </c>
      <c r="T53" s="185">
        <v>0.05</v>
      </c>
      <c r="U53" s="184">
        <v>0.1</v>
      </c>
      <c r="V53" s="167">
        <f t="shared" si="31"/>
        <v>0</v>
      </c>
      <c r="W53" s="167">
        <f t="shared" si="32"/>
        <v>0</v>
      </c>
      <c r="X53" s="167">
        <f t="shared" si="33"/>
        <v>0</v>
      </c>
      <c r="Y53" s="167">
        <f t="shared" si="34"/>
        <v>0</v>
      </c>
      <c r="Z53" s="183">
        <f t="shared" si="35"/>
        <v>0</v>
      </c>
      <c r="AA53" s="182">
        <v>70</v>
      </c>
      <c r="AB53" s="181"/>
      <c r="AC53" s="180">
        <v>70</v>
      </c>
      <c r="AD53" s="243"/>
    </row>
    <row r="54" spans="1:30" ht="15.75">
      <c r="A54" s="220" t="s">
        <v>117</v>
      </c>
      <c r="B54" s="191"/>
      <c r="C54" s="190">
        <v>0</v>
      </c>
      <c r="D54" s="207" t="s">
        <v>3</v>
      </c>
      <c r="E54" s="230">
        <v>316</v>
      </c>
      <c r="F54" s="174">
        <f t="shared" si="24"/>
        <v>0</v>
      </c>
      <c r="G54" s="186">
        <v>0.05</v>
      </c>
      <c r="H54" s="186">
        <v>0.02</v>
      </c>
      <c r="I54" s="186">
        <v>0.05</v>
      </c>
      <c r="J54" s="187">
        <v>0.122</v>
      </c>
      <c r="K54" s="186">
        <v>0.1</v>
      </c>
      <c r="L54" s="171">
        <f t="shared" si="25"/>
        <v>0</v>
      </c>
      <c r="M54" s="171">
        <f t="shared" si="26"/>
        <v>0</v>
      </c>
      <c r="N54" s="171">
        <f t="shared" si="27"/>
        <v>0</v>
      </c>
      <c r="O54" s="171">
        <f t="shared" si="28"/>
        <v>0</v>
      </c>
      <c r="P54" s="171">
        <f t="shared" si="29"/>
        <v>0</v>
      </c>
      <c r="Q54" s="170">
        <f t="shared" si="30"/>
        <v>0</v>
      </c>
      <c r="R54" s="185">
        <v>0.05</v>
      </c>
      <c r="S54" s="185">
        <v>0.05</v>
      </c>
      <c r="T54" s="185">
        <v>0.05</v>
      </c>
      <c r="U54" s="184">
        <v>0.1</v>
      </c>
      <c r="V54" s="167">
        <f t="shared" si="31"/>
        <v>0</v>
      </c>
      <c r="W54" s="167">
        <f t="shared" si="32"/>
        <v>0</v>
      </c>
      <c r="X54" s="167">
        <f t="shared" si="33"/>
        <v>0</v>
      </c>
      <c r="Y54" s="167">
        <f t="shared" si="34"/>
        <v>0</v>
      </c>
      <c r="Z54" s="183">
        <f t="shared" si="35"/>
        <v>0</v>
      </c>
      <c r="AA54" s="182">
        <v>70</v>
      </c>
      <c r="AB54" s="181"/>
      <c r="AC54" s="180">
        <v>70</v>
      </c>
      <c r="AD54" s="243"/>
    </row>
    <row r="55" spans="1:30" ht="15.75">
      <c r="A55" s="220" t="s">
        <v>116</v>
      </c>
      <c r="B55" s="191"/>
      <c r="C55" s="190">
        <v>0</v>
      </c>
      <c r="D55" s="207" t="s">
        <v>3</v>
      </c>
      <c r="E55" s="230">
        <v>345</v>
      </c>
      <c r="F55" s="174">
        <f t="shared" si="24"/>
        <v>0</v>
      </c>
      <c r="G55" s="186">
        <v>0.05</v>
      </c>
      <c r="H55" s="186">
        <v>0.02</v>
      </c>
      <c r="I55" s="186">
        <v>0.05</v>
      </c>
      <c r="J55" s="187">
        <v>0.122</v>
      </c>
      <c r="K55" s="186">
        <v>0.1</v>
      </c>
      <c r="L55" s="171">
        <f t="shared" si="25"/>
        <v>0</v>
      </c>
      <c r="M55" s="171">
        <f t="shared" si="26"/>
        <v>0</v>
      </c>
      <c r="N55" s="171">
        <f t="shared" si="27"/>
        <v>0</v>
      </c>
      <c r="O55" s="171">
        <f t="shared" si="28"/>
        <v>0</v>
      </c>
      <c r="P55" s="171">
        <f t="shared" si="29"/>
        <v>0</v>
      </c>
      <c r="Q55" s="170">
        <f t="shared" si="30"/>
        <v>0</v>
      </c>
      <c r="R55" s="185">
        <v>0.05</v>
      </c>
      <c r="S55" s="185">
        <v>0.05</v>
      </c>
      <c r="T55" s="185">
        <v>0.05</v>
      </c>
      <c r="U55" s="184">
        <v>0.1</v>
      </c>
      <c r="V55" s="167">
        <f t="shared" si="31"/>
        <v>0</v>
      </c>
      <c r="W55" s="167">
        <f t="shared" si="32"/>
        <v>0</v>
      </c>
      <c r="X55" s="167">
        <f t="shared" si="33"/>
        <v>0</v>
      </c>
      <c r="Y55" s="167">
        <f t="shared" si="34"/>
        <v>0</v>
      </c>
      <c r="Z55" s="183">
        <f t="shared" si="35"/>
        <v>0</v>
      </c>
      <c r="AA55" s="182">
        <v>70</v>
      </c>
      <c r="AB55" s="181"/>
      <c r="AC55" s="180">
        <v>70</v>
      </c>
      <c r="AD55" s="243"/>
    </row>
    <row r="56" spans="1:30" ht="15.75">
      <c r="A56" s="220" t="s">
        <v>115</v>
      </c>
      <c r="B56" s="191"/>
      <c r="C56" s="190">
        <v>0</v>
      </c>
      <c r="D56" s="207" t="s">
        <v>3</v>
      </c>
      <c r="E56" s="230">
        <v>387</v>
      </c>
      <c r="F56" s="174">
        <f t="shared" si="24"/>
        <v>0</v>
      </c>
      <c r="G56" s="186">
        <v>0.05</v>
      </c>
      <c r="H56" s="186">
        <v>0.02</v>
      </c>
      <c r="I56" s="186">
        <v>0.05</v>
      </c>
      <c r="J56" s="187">
        <v>0.122</v>
      </c>
      <c r="K56" s="186">
        <v>0.1</v>
      </c>
      <c r="L56" s="171">
        <f t="shared" si="25"/>
        <v>0</v>
      </c>
      <c r="M56" s="171">
        <f t="shared" si="26"/>
        <v>0</v>
      </c>
      <c r="N56" s="171">
        <f t="shared" si="27"/>
        <v>0</v>
      </c>
      <c r="O56" s="171">
        <f t="shared" si="28"/>
        <v>0</v>
      </c>
      <c r="P56" s="171">
        <f t="shared" si="29"/>
        <v>0</v>
      </c>
      <c r="Q56" s="170">
        <f t="shared" si="30"/>
        <v>0</v>
      </c>
      <c r="R56" s="185">
        <v>0.05</v>
      </c>
      <c r="S56" s="185">
        <v>0.05</v>
      </c>
      <c r="T56" s="185">
        <v>0.05</v>
      </c>
      <c r="U56" s="184">
        <v>0.1</v>
      </c>
      <c r="V56" s="167">
        <f t="shared" si="31"/>
        <v>0</v>
      </c>
      <c r="W56" s="167">
        <f t="shared" si="32"/>
        <v>0</v>
      </c>
      <c r="X56" s="167">
        <f t="shared" si="33"/>
        <v>0</v>
      </c>
      <c r="Y56" s="167">
        <f t="shared" si="34"/>
        <v>0</v>
      </c>
      <c r="Z56" s="183">
        <f t="shared" si="35"/>
        <v>0</v>
      </c>
      <c r="AA56" s="182">
        <v>70</v>
      </c>
      <c r="AB56" s="181"/>
      <c r="AC56" s="180">
        <v>70</v>
      </c>
      <c r="AD56" s="243"/>
    </row>
    <row r="57" spans="1:30" ht="15.75">
      <c r="A57" s="220" t="s">
        <v>114</v>
      </c>
      <c r="B57" s="191"/>
      <c r="C57" s="190">
        <v>0</v>
      </c>
      <c r="D57" s="207" t="s">
        <v>3</v>
      </c>
      <c r="E57" s="230">
        <v>422</v>
      </c>
      <c r="F57" s="174">
        <f t="shared" si="24"/>
        <v>0</v>
      </c>
      <c r="G57" s="186">
        <v>0.05</v>
      </c>
      <c r="H57" s="186">
        <v>0.02</v>
      </c>
      <c r="I57" s="186">
        <v>0.05</v>
      </c>
      <c r="J57" s="187">
        <v>0.122</v>
      </c>
      <c r="K57" s="186">
        <v>0.1</v>
      </c>
      <c r="L57" s="171">
        <f t="shared" si="25"/>
        <v>0</v>
      </c>
      <c r="M57" s="171">
        <f t="shared" si="26"/>
        <v>0</v>
      </c>
      <c r="N57" s="171">
        <f t="shared" si="27"/>
        <v>0</v>
      </c>
      <c r="O57" s="171">
        <f t="shared" si="28"/>
        <v>0</v>
      </c>
      <c r="P57" s="171">
        <f t="shared" si="29"/>
        <v>0</v>
      </c>
      <c r="Q57" s="170">
        <f t="shared" si="30"/>
        <v>0</v>
      </c>
      <c r="R57" s="185">
        <v>0.05</v>
      </c>
      <c r="S57" s="185">
        <v>0.05</v>
      </c>
      <c r="T57" s="185">
        <v>0.05</v>
      </c>
      <c r="U57" s="184">
        <v>0.1</v>
      </c>
      <c r="V57" s="167">
        <f t="shared" si="31"/>
        <v>0</v>
      </c>
      <c r="W57" s="167">
        <f t="shared" si="32"/>
        <v>0</v>
      </c>
      <c r="X57" s="167">
        <f t="shared" si="33"/>
        <v>0</v>
      </c>
      <c r="Y57" s="167">
        <f t="shared" si="34"/>
        <v>0</v>
      </c>
      <c r="Z57" s="183">
        <f t="shared" si="35"/>
        <v>0</v>
      </c>
      <c r="AA57" s="182">
        <v>70</v>
      </c>
      <c r="AB57" s="181"/>
      <c r="AC57" s="180">
        <v>70</v>
      </c>
      <c r="AD57" s="243"/>
    </row>
    <row r="58" spans="1:30" ht="90">
      <c r="A58" s="219" t="s">
        <v>113</v>
      </c>
      <c r="B58" s="205"/>
      <c r="C58" s="204"/>
      <c r="D58" s="203"/>
      <c r="E58" s="242"/>
      <c r="F58" s="200"/>
      <c r="G58" s="200"/>
      <c r="H58" s="200"/>
      <c r="I58" s="200"/>
      <c r="J58" s="201"/>
      <c r="K58" s="200"/>
      <c r="L58" s="200"/>
      <c r="M58" s="200"/>
      <c r="N58" s="200"/>
      <c r="O58" s="200"/>
      <c r="P58" s="200"/>
      <c r="Q58" s="200"/>
      <c r="R58" s="199"/>
      <c r="S58" s="199"/>
      <c r="T58" s="199"/>
      <c r="U58" s="197"/>
      <c r="V58" s="197"/>
      <c r="W58" s="197"/>
      <c r="X58" s="197"/>
      <c r="Y58" s="197"/>
      <c r="Z58" s="198"/>
      <c r="AA58" s="197"/>
      <c r="AB58" s="197"/>
      <c r="AC58" s="195"/>
      <c r="AD58" s="194"/>
    </row>
    <row r="59" spans="1:30" ht="75">
      <c r="A59" s="217" t="s">
        <v>35</v>
      </c>
      <c r="B59" s="216"/>
      <c r="C59" s="241"/>
      <c r="D59" s="240"/>
      <c r="E59" s="239"/>
      <c r="F59" s="186"/>
      <c r="G59" s="186"/>
      <c r="H59" s="186"/>
      <c r="I59" s="186"/>
      <c r="J59" s="187"/>
      <c r="K59" s="186"/>
      <c r="L59" s="186"/>
      <c r="M59" s="186"/>
      <c r="N59" s="186"/>
      <c r="O59" s="186"/>
      <c r="P59" s="186"/>
      <c r="Q59" s="186"/>
      <c r="R59" s="185"/>
      <c r="S59" s="185"/>
      <c r="T59" s="185"/>
      <c r="U59" s="184"/>
      <c r="V59" s="184"/>
      <c r="W59" s="184"/>
      <c r="X59" s="184"/>
      <c r="Y59" s="184"/>
      <c r="Z59" s="212"/>
      <c r="AA59" s="184"/>
      <c r="AB59" s="184"/>
      <c r="AC59" s="180"/>
      <c r="AD59" s="211"/>
    </row>
    <row r="60" spans="1:30" ht="18">
      <c r="A60" s="206" t="s">
        <v>34</v>
      </c>
      <c r="B60" s="238"/>
      <c r="C60" s="232"/>
      <c r="D60" s="232"/>
      <c r="E60" s="231"/>
      <c r="F60" s="200"/>
      <c r="G60" s="200"/>
      <c r="H60" s="200"/>
      <c r="I60" s="200"/>
      <c r="J60" s="201"/>
      <c r="K60" s="200"/>
      <c r="L60" s="200"/>
      <c r="M60" s="200"/>
      <c r="N60" s="200"/>
      <c r="O60" s="200"/>
      <c r="P60" s="200"/>
      <c r="Q60" s="200"/>
      <c r="R60" s="199"/>
      <c r="S60" s="199"/>
      <c r="T60" s="199"/>
      <c r="U60" s="197"/>
      <c r="V60" s="197"/>
      <c r="W60" s="197"/>
      <c r="X60" s="197"/>
      <c r="Y60" s="197"/>
      <c r="Z60" s="198"/>
      <c r="AA60" s="197"/>
      <c r="AB60" s="197"/>
      <c r="AC60" s="195"/>
      <c r="AD60" s="194"/>
    </row>
    <row r="61" spans="1:30" ht="15.75">
      <c r="A61" s="208" t="s">
        <v>112</v>
      </c>
      <c r="B61" s="191"/>
      <c r="C61" s="190">
        <v>0</v>
      </c>
      <c r="D61" s="207" t="s">
        <v>3</v>
      </c>
      <c r="E61" s="230">
        <v>196</v>
      </c>
      <c r="F61" s="174">
        <f t="shared" ref="F61:F71" si="36">E61*C61</f>
        <v>0</v>
      </c>
      <c r="G61" s="186">
        <v>0.05</v>
      </c>
      <c r="H61" s="186">
        <v>0.02</v>
      </c>
      <c r="I61" s="186">
        <v>0.05</v>
      </c>
      <c r="J61" s="187">
        <v>0.122</v>
      </c>
      <c r="K61" s="186">
        <v>0.1</v>
      </c>
      <c r="L61" s="171">
        <f t="shared" ref="L61:L71" si="37">F61*G61</f>
        <v>0</v>
      </c>
      <c r="M61" s="171">
        <f t="shared" ref="M61:M71" si="38">(F61+L61)*H61</f>
        <v>0</v>
      </c>
      <c r="N61" s="171">
        <f t="shared" ref="N61:N71" si="39">(F61+L61+M61)*I61</f>
        <v>0</v>
      </c>
      <c r="O61" s="171">
        <f t="shared" ref="O61:O71" si="40">(F61+L61+M61+N61)*J61</f>
        <v>0</v>
      </c>
      <c r="P61" s="171">
        <f t="shared" ref="P61:P71" si="41">(F61+L61+M61+N61+O61)*K61</f>
        <v>0</v>
      </c>
      <c r="Q61" s="170">
        <f t="shared" ref="Q61:Q71" si="42">F61+SUM(L61:P61)</f>
        <v>0</v>
      </c>
      <c r="R61" s="185">
        <v>0.05</v>
      </c>
      <c r="S61" s="185">
        <v>0.05</v>
      </c>
      <c r="T61" s="185">
        <v>0.05</v>
      </c>
      <c r="U61" s="184">
        <v>0.1</v>
      </c>
      <c r="V61" s="167">
        <f t="shared" ref="V61:V71" si="43">Q61*R61</f>
        <v>0</v>
      </c>
      <c r="W61" s="167">
        <f t="shared" ref="W61:W71" si="44">Q61*S61</f>
        <v>0</v>
      </c>
      <c r="X61" s="167">
        <f t="shared" ref="X61:X71" si="45">Q61*T61</f>
        <v>0</v>
      </c>
      <c r="Y61" s="167">
        <f t="shared" ref="Y61:Y71" si="46">U61*(V61+W61)</f>
        <v>0</v>
      </c>
      <c r="Z61" s="183">
        <f t="shared" ref="Z61:Z71" si="47">Q61+SUM(V61:Y61)</f>
        <v>0</v>
      </c>
      <c r="AA61" s="182">
        <v>70</v>
      </c>
      <c r="AB61" s="181"/>
      <c r="AC61" s="180">
        <v>70</v>
      </c>
      <c r="AD61" s="193"/>
    </row>
    <row r="62" spans="1:30" ht="15.75">
      <c r="A62" s="208" t="s">
        <v>111</v>
      </c>
      <c r="B62" s="191"/>
      <c r="C62" s="190">
        <v>0</v>
      </c>
      <c r="D62" s="207" t="s">
        <v>3</v>
      </c>
      <c r="E62" s="230">
        <v>207</v>
      </c>
      <c r="F62" s="174">
        <f t="shared" si="36"/>
        <v>0</v>
      </c>
      <c r="G62" s="186">
        <v>0.05</v>
      </c>
      <c r="H62" s="186">
        <v>0.02</v>
      </c>
      <c r="I62" s="186">
        <v>0.05</v>
      </c>
      <c r="J62" s="187">
        <v>0.122</v>
      </c>
      <c r="K62" s="186">
        <v>0.1</v>
      </c>
      <c r="L62" s="171">
        <f t="shared" si="37"/>
        <v>0</v>
      </c>
      <c r="M62" s="171">
        <f t="shared" si="38"/>
        <v>0</v>
      </c>
      <c r="N62" s="171">
        <f t="shared" si="39"/>
        <v>0</v>
      </c>
      <c r="O62" s="171">
        <f t="shared" si="40"/>
        <v>0</v>
      </c>
      <c r="P62" s="171">
        <f t="shared" si="41"/>
        <v>0</v>
      </c>
      <c r="Q62" s="170">
        <f t="shared" si="42"/>
        <v>0</v>
      </c>
      <c r="R62" s="185">
        <v>0.05</v>
      </c>
      <c r="S62" s="185">
        <v>0.05</v>
      </c>
      <c r="T62" s="185">
        <v>0.05</v>
      </c>
      <c r="U62" s="184">
        <v>0.1</v>
      </c>
      <c r="V62" s="167">
        <f t="shared" si="43"/>
        <v>0</v>
      </c>
      <c r="W62" s="167">
        <f t="shared" si="44"/>
        <v>0</v>
      </c>
      <c r="X62" s="167">
        <f t="shared" si="45"/>
        <v>0</v>
      </c>
      <c r="Y62" s="167">
        <f t="shared" si="46"/>
        <v>0</v>
      </c>
      <c r="Z62" s="183">
        <f t="shared" si="47"/>
        <v>0</v>
      </c>
      <c r="AA62" s="182">
        <v>70</v>
      </c>
      <c r="AB62" s="181"/>
      <c r="AC62" s="180">
        <v>70</v>
      </c>
      <c r="AD62" s="193"/>
    </row>
    <row r="63" spans="1:30" ht="15.75">
      <c r="A63" s="208" t="s">
        <v>110</v>
      </c>
      <c r="B63" s="191"/>
      <c r="C63" s="190">
        <v>200</v>
      </c>
      <c r="D63" s="207" t="s">
        <v>3</v>
      </c>
      <c r="E63" s="230">
        <v>221</v>
      </c>
      <c r="F63" s="174">
        <f t="shared" si="36"/>
        <v>44200</v>
      </c>
      <c r="G63" s="186">
        <v>0.05</v>
      </c>
      <c r="H63" s="186">
        <v>0.02</v>
      </c>
      <c r="I63" s="186">
        <v>0.05</v>
      </c>
      <c r="J63" s="187">
        <v>0.122</v>
      </c>
      <c r="K63" s="186">
        <v>0.1</v>
      </c>
      <c r="L63" s="171">
        <f t="shared" si="37"/>
        <v>2210</v>
      </c>
      <c r="M63" s="171">
        <f t="shared" si="38"/>
        <v>928.2</v>
      </c>
      <c r="N63" s="171">
        <f t="shared" si="39"/>
        <v>2366.91</v>
      </c>
      <c r="O63" s="171">
        <f t="shared" si="40"/>
        <v>6064.0234199999995</v>
      </c>
      <c r="P63" s="171">
        <f t="shared" si="41"/>
        <v>5576.9133419999998</v>
      </c>
      <c r="Q63" s="170">
        <f t="shared" si="42"/>
        <v>61346.046761999998</v>
      </c>
      <c r="R63" s="185">
        <v>0.05</v>
      </c>
      <c r="S63" s="185">
        <v>0.05</v>
      </c>
      <c r="T63" s="185">
        <v>0.05</v>
      </c>
      <c r="U63" s="184">
        <v>0.1</v>
      </c>
      <c r="V63" s="167">
        <f t="shared" si="43"/>
        <v>3067.3023381000003</v>
      </c>
      <c r="W63" s="167">
        <f t="shared" si="44"/>
        <v>3067.3023381000003</v>
      </c>
      <c r="X63" s="167">
        <f t="shared" si="45"/>
        <v>3067.3023381000003</v>
      </c>
      <c r="Y63" s="167">
        <f t="shared" si="46"/>
        <v>613.46046762000003</v>
      </c>
      <c r="Z63" s="183">
        <f t="shared" si="47"/>
        <v>71161.414243919993</v>
      </c>
      <c r="AA63" s="182">
        <v>70</v>
      </c>
      <c r="AB63" s="181"/>
      <c r="AC63" s="180">
        <v>70</v>
      </c>
      <c r="AD63" s="193"/>
    </row>
    <row r="64" spans="1:30" ht="15.75">
      <c r="A64" s="208" t="s">
        <v>109</v>
      </c>
      <c r="B64" s="191"/>
      <c r="C64" s="190">
        <v>0</v>
      </c>
      <c r="D64" s="207" t="s">
        <v>3</v>
      </c>
      <c r="E64" s="230">
        <v>254</v>
      </c>
      <c r="F64" s="174">
        <f t="shared" si="36"/>
        <v>0</v>
      </c>
      <c r="G64" s="186">
        <v>0.05</v>
      </c>
      <c r="H64" s="186">
        <v>0.02</v>
      </c>
      <c r="I64" s="186">
        <v>0.05</v>
      </c>
      <c r="J64" s="187">
        <v>0.122</v>
      </c>
      <c r="K64" s="186">
        <v>0.1</v>
      </c>
      <c r="L64" s="171">
        <f t="shared" si="37"/>
        <v>0</v>
      </c>
      <c r="M64" s="171">
        <f t="shared" si="38"/>
        <v>0</v>
      </c>
      <c r="N64" s="171">
        <f t="shared" si="39"/>
        <v>0</v>
      </c>
      <c r="O64" s="171">
        <f t="shared" si="40"/>
        <v>0</v>
      </c>
      <c r="P64" s="171">
        <f t="shared" si="41"/>
        <v>0</v>
      </c>
      <c r="Q64" s="170">
        <f t="shared" si="42"/>
        <v>0</v>
      </c>
      <c r="R64" s="185">
        <v>0.05</v>
      </c>
      <c r="S64" s="185">
        <v>0.05</v>
      </c>
      <c r="T64" s="185">
        <v>0.05</v>
      </c>
      <c r="U64" s="184">
        <v>0.1</v>
      </c>
      <c r="V64" s="167">
        <f t="shared" si="43"/>
        <v>0</v>
      </c>
      <c r="W64" s="167">
        <f t="shared" si="44"/>
        <v>0</v>
      </c>
      <c r="X64" s="167">
        <f t="shared" si="45"/>
        <v>0</v>
      </c>
      <c r="Y64" s="167">
        <f t="shared" si="46"/>
        <v>0</v>
      </c>
      <c r="Z64" s="183">
        <f t="shared" si="47"/>
        <v>0</v>
      </c>
      <c r="AA64" s="182">
        <v>70</v>
      </c>
      <c r="AB64" s="181"/>
      <c r="AC64" s="180">
        <v>70</v>
      </c>
      <c r="AD64" s="193"/>
    </row>
    <row r="65" spans="1:30" ht="15.75">
      <c r="A65" s="208" t="s">
        <v>108</v>
      </c>
      <c r="B65" s="191"/>
      <c r="C65" s="190">
        <v>0</v>
      </c>
      <c r="D65" s="207" t="s">
        <v>3</v>
      </c>
      <c r="E65" s="230">
        <v>263</v>
      </c>
      <c r="F65" s="174">
        <f t="shared" si="36"/>
        <v>0</v>
      </c>
      <c r="G65" s="186">
        <v>0.05</v>
      </c>
      <c r="H65" s="186">
        <v>0.02</v>
      </c>
      <c r="I65" s="186">
        <v>0.05</v>
      </c>
      <c r="J65" s="187">
        <v>0.122</v>
      </c>
      <c r="K65" s="186">
        <v>0.1</v>
      </c>
      <c r="L65" s="171">
        <f t="shared" si="37"/>
        <v>0</v>
      </c>
      <c r="M65" s="171">
        <f t="shared" si="38"/>
        <v>0</v>
      </c>
      <c r="N65" s="171">
        <f t="shared" si="39"/>
        <v>0</v>
      </c>
      <c r="O65" s="171">
        <f t="shared" si="40"/>
        <v>0</v>
      </c>
      <c r="P65" s="171">
        <f t="shared" si="41"/>
        <v>0</v>
      </c>
      <c r="Q65" s="170">
        <f t="shared" si="42"/>
        <v>0</v>
      </c>
      <c r="R65" s="185">
        <v>0.05</v>
      </c>
      <c r="S65" s="185">
        <v>0.05</v>
      </c>
      <c r="T65" s="185">
        <v>0.05</v>
      </c>
      <c r="U65" s="184">
        <v>0.1</v>
      </c>
      <c r="V65" s="167">
        <f t="shared" si="43"/>
        <v>0</v>
      </c>
      <c r="W65" s="167">
        <f t="shared" si="44"/>
        <v>0</v>
      </c>
      <c r="X65" s="167">
        <f t="shared" si="45"/>
        <v>0</v>
      </c>
      <c r="Y65" s="167">
        <f t="shared" si="46"/>
        <v>0</v>
      </c>
      <c r="Z65" s="183">
        <f t="shared" si="47"/>
        <v>0</v>
      </c>
      <c r="AA65" s="182">
        <v>70</v>
      </c>
      <c r="AB65" s="181"/>
      <c r="AC65" s="180">
        <v>70</v>
      </c>
      <c r="AD65" s="193"/>
    </row>
    <row r="66" spans="1:30" ht="15.75">
      <c r="A66" s="208" t="s">
        <v>107</v>
      </c>
      <c r="B66" s="191"/>
      <c r="C66" s="190">
        <v>0</v>
      </c>
      <c r="D66" s="207" t="s">
        <v>3</v>
      </c>
      <c r="E66" s="230">
        <v>291</v>
      </c>
      <c r="F66" s="174">
        <f t="shared" si="36"/>
        <v>0</v>
      </c>
      <c r="G66" s="186">
        <v>0.05</v>
      </c>
      <c r="H66" s="186">
        <v>0.02</v>
      </c>
      <c r="I66" s="186">
        <v>0.05</v>
      </c>
      <c r="J66" s="187">
        <v>0.122</v>
      </c>
      <c r="K66" s="186">
        <v>0.1</v>
      </c>
      <c r="L66" s="171">
        <f t="shared" si="37"/>
        <v>0</v>
      </c>
      <c r="M66" s="171">
        <f t="shared" si="38"/>
        <v>0</v>
      </c>
      <c r="N66" s="171">
        <f t="shared" si="39"/>
        <v>0</v>
      </c>
      <c r="O66" s="171">
        <f t="shared" si="40"/>
        <v>0</v>
      </c>
      <c r="P66" s="171">
        <f t="shared" si="41"/>
        <v>0</v>
      </c>
      <c r="Q66" s="170">
        <f t="shared" si="42"/>
        <v>0</v>
      </c>
      <c r="R66" s="185">
        <v>0.05</v>
      </c>
      <c r="S66" s="185">
        <v>0.05</v>
      </c>
      <c r="T66" s="185">
        <v>0.05</v>
      </c>
      <c r="U66" s="184">
        <v>0.1</v>
      </c>
      <c r="V66" s="167">
        <f t="shared" si="43"/>
        <v>0</v>
      </c>
      <c r="W66" s="167">
        <f t="shared" si="44"/>
        <v>0</v>
      </c>
      <c r="X66" s="167">
        <f t="shared" si="45"/>
        <v>0</v>
      </c>
      <c r="Y66" s="167">
        <f t="shared" si="46"/>
        <v>0</v>
      </c>
      <c r="Z66" s="183">
        <f t="shared" si="47"/>
        <v>0</v>
      </c>
      <c r="AA66" s="182">
        <v>70</v>
      </c>
      <c r="AB66" s="181"/>
      <c r="AC66" s="180">
        <v>70</v>
      </c>
      <c r="AD66" s="193"/>
    </row>
    <row r="67" spans="1:30" ht="15.75">
      <c r="A67" s="208" t="s">
        <v>106</v>
      </c>
      <c r="B67" s="191"/>
      <c r="C67" s="190">
        <v>0</v>
      </c>
      <c r="D67" s="207" t="s">
        <v>3</v>
      </c>
      <c r="E67" s="230">
        <v>316</v>
      </c>
      <c r="F67" s="174">
        <f t="shared" si="36"/>
        <v>0</v>
      </c>
      <c r="G67" s="186">
        <v>0.05</v>
      </c>
      <c r="H67" s="186">
        <v>0.02</v>
      </c>
      <c r="I67" s="186">
        <v>0.05</v>
      </c>
      <c r="J67" s="187">
        <v>0.122</v>
      </c>
      <c r="K67" s="186">
        <v>0.1</v>
      </c>
      <c r="L67" s="171">
        <f t="shared" si="37"/>
        <v>0</v>
      </c>
      <c r="M67" s="171">
        <f t="shared" si="38"/>
        <v>0</v>
      </c>
      <c r="N67" s="171">
        <f t="shared" si="39"/>
        <v>0</v>
      </c>
      <c r="O67" s="171">
        <f t="shared" si="40"/>
        <v>0</v>
      </c>
      <c r="P67" s="171">
        <f t="shared" si="41"/>
        <v>0</v>
      </c>
      <c r="Q67" s="170">
        <f t="shared" si="42"/>
        <v>0</v>
      </c>
      <c r="R67" s="185">
        <v>0.05</v>
      </c>
      <c r="S67" s="185">
        <v>0.05</v>
      </c>
      <c r="T67" s="185">
        <v>0.05</v>
      </c>
      <c r="U67" s="184">
        <v>0.1</v>
      </c>
      <c r="V67" s="167">
        <f t="shared" si="43"/>
        <v>0</v>
      </c>
      <c r="W67" s="167">
        <f t="shared" si="44"/>
        <v>0</v>
      </c>
      <c r="X67" s="167">
        <f t="shared" si="45"/>
        <v>0</v>
      </c>
      <c r="Y67" s="167">
        <f t="shared" si="46"/>
        <v>0</v>
      </c>
      <c r="Z67" s="183">
        <f t="shared" si="47"/>
        <v>0</v>
      </c>
      <c r="AA67" s="182">
        <v>70</v>
      </c>
      <c r="AB67" s="181"/>
      <c r="AC67" s="180">
        <v>70</v>
      </c>
      <c r="AD67" s="193"/>
    </row>
    <row r="68" spans="1:30" ht="15.75">
      <c r="A68" s="208" t="s">
        <v>105</v>
      </c>
      <c r="B68" s="191"/>
      <c r="C68" s="190">
        <v>0</v>
      </c>
      <c r="D68" s="207" t="s">
        <v>3</v>
      </c>
      <c r="E68" s="230">
        <v>345</v>
      </c>
      <c r="F68" s="174">
        <f t="shared" si="36"/>
        <v>0</v>
      </c>
      <c r="G68" s="186">
        <v>0.05</v>
      </c>
      <c r="H68" s="186">
        <v>0.02</v>
      </c>
      <c r="I68" s="186">
        <v>0.05</v>
      </c>
      <c r="J68" s="187">
        <v>0.122</v>
      </c>
      <c r="K68" s="186">
        <v>0.1</v>
      </c>
      <c r="L68" s="171">
        <f t="shared" si="37"/>
        <v>0</v>
      </c>
      <c r="M68" s="171">
        <f t="shared" si="38"/>
        <v>0</v>
      </c>
      <c r="N68" s="171">
        <f t="shared" si="39"/>
        <v>0</v>
      </c>
      <c r="O68" s="171">
        <f t="shared" si="40"/>
        <v>0</v>
      </c>
      <c r="P68" s="171">
        <f t="shared" si="41"/>
        <v>0</v>
      </c>
      <c r="Q68" s="170">
        <f t="shared" si="42"/>
        <v>0</v>
      </c>
      <c r="R68" s="185">
        <v>0.05</v>
      </c>
      <c r="S68" s="185">
        <v>0.05</v>
      </c>
      <c r="T68" s="185">
        <v>0.05</v>
      </c>
      <c r="U68" s="184">
        <v>0.1</v>
      </c>
      <c r="V68" s="167">
        <f t="shared" si="43"/>
        <v>0</v>
      </c>
      <c r="W68" s="167">
        <f t="shared" si="44"/>
        <v>0</v>
      </c>
      <c r="X68" s="167">
        <f t="shared" si="45"/>
        <v>0</v>
      </c>
      <c r="Y68" s="167">
        <f t="shared" si="46"/>
        <v>0</v>
      </c>
      <c r="Z68" s="183">
        <f t="shared" si="47"/>
        <v>0</v>
      </c>
      <c r="AA68" s="182">
        <v>70</v>
      </c>
      <c r="AB68" s="181"/>
      <c r="AC68" s="180">
        <v>70</v>
      </c>
      <c r="AD68" s="193"/>
    </row>
    <row r="69" spans="1:30" ht="15.75">
      <c r="A69" s="208" t="s">
        <v>104</v>
      </c>
      <c r="B69" s="191"/>
      <c r="C69" s="190">
        <v>0</v>
      </c>
      <c r="D69" s="207" t="s">
        <v>3</v>
      </c>
      <c r="E69" s="230">
        <v>387</v>
      </c>
      <c r="F69" s="174">
        <f t="shared" si="36"/>
        <v>0</v>
      </c>
      <c r="G69" s="186">
        <v>0.05</v>
      </c>
      <c r="H69" s="186">
        <v>0.02</v>
      </c>
      <c r="I69" s="186">
        <v>0.05</v>
      </c>
      <c r="J69" s="187">
        <v>0.122</v>
      </c>
      <c r="K69" s="186">
        <v>0.1</v>
      </c>
      <c r="L69" s="171">
        <f t="shared" si="37"/>
        <v>0</v>
      </c>
      <c r="M69" s="171">
        <f t="shared" si="38"/>
        <v>0</v>
      </c>
      <c r="N69" s="171">
        <f t="shared" si="39"/>
        <v>0</v>
      </c>
      <c r="O69" s="171">
        <f t="shared" si="40"/>
        <v>0</v>
      </c>
      <c r="P69" s="171">
        <f t="shared" si="41"/>
        <v>0</v>
      </c>
      <c r="Q69" s="170">
        <f t="shared" si="42"/>
        <v>0</v>
      </c>
      <c r="R69" s="185">
        <v>0.05</v>
      </c>
      <c r="S69" s="185">
        <v>0.05</v>
      </c>
      <c r="T69" s="185">
        <v>0.05</v>
      </c>
      <c r="U69" s="184">
        <v>0.1</v>
      </c>
      <c r="V69" s="167">
        <f t="shared" si="43"/>
        <v>0</v>
      </c>
      <c r="W69" s="167">
        <f t="shared" si="44"/>
        <v>0</v>
      </c>
      <c r="X69" s="167">
        <f t="shared" si="45"/>
        <v>0</v>
      </c>
      <c r="Y69" s="167">
        <f t="shared" si="46"/>
        <v>0</v>
      </c>
      <c r="Z69" s="183">
        <f t="shared" si="47"/>
        <v>0</v>
      </c>
      <c r="AA69" s="182">
        <v>70</v>
      </c>
      <c r="AB69" s="181"/>
      <c r="AC69" s="180">
        <v>70</v>
      </c>
      <c r="AD69" s="193"/>
    </row>
    <row r="70" spans="1:30" ht="15.75">
      <c r="A70" s="208" t="s">
        <v>103</v>
      </c>
      <c r="B70" s="191"/>
      <c r="C70" s="190">
        <v>0</v>
      </c>
      <c r="D70" s="207" t="s">
        <v>3</v>
      </c>
      <c r="E70" s="230">
        <v>422</v>
      </c>
      <c r="F70" s="174">
        <f t="shared" si="36"/>
        <v>0</v>
      </c>
      <c r="G70" s="186">
        <v>0.05</v>
      </c>
      <c r="H70" s="186">
        <v>0.02</v>
      </c>
      <c r="I70" s="186">
        <v>0.05</v>
      </c>
      <c r="J70" s="187">
        <v>0.122</v>
      </c>
      <c r="K70" s="186">
        <v>0.1</v>
      </c>
      <c r="L70" s="171">
        <f t="shared" si="37"/>
        <v>0</v>
      </c>
      <c r="M70" s="171">
        <f t="shared" si="38"/>
        <v>0</v>
      </c>
      <c r="N70" s="171">
        <f t="shared" si="39"/>
        <v>0</v>
      </c>
      <c r="O70" s="171">
        <f t="shared" si="40"/>
        <v>0</v>
      </c>
      <c r="P70" s="171">
        <f t="shared" si="41"/>
        <v>0</v>
      </c>
      <c r="Q70" s="170">
        <f t="shared" si="42"/>
        <v>0</v>
      </c>
      <c r="R70" s="185">
        <v>0.05</v>
      </c>
      <c r="S70" s="185">
        <v>0.05</v>
      </c>
      <c r="T70" s="185">
        <v>0.05</v>
      </c>
      <c r="U70" s="184">
        <v>0.1</v>
      </c>
      <c r="V70" s="167">
        <f t="shared" si="43"/>
        <v>0</v>
      </c>
      <c r="W70" s="167">
        <f t="shared" si="44"/>
        <v>0</v>
      </c>
      <c r="X70" s="167">
        <f t="shared" si="45"/>
        <v>0</v>
      </c>
      <c r="Y70" s="167">
        <f t="shared" si="46"/>
        <v>0</v>
      </c>
      <c r="Z70" s="183">
        <f t="shared" si="47"/>
        <v>0</v>
      </c>
      <c r="AA70" s="182">
        <v>70</v>
      </c>
      <c r="AB70" s="181"/>
      <c r="AC70" s="180">
        <v>70</v>
      </c>
      <c r="AD70" s="193"/>
    </row>
    <row r="71" spans="1:30" ht="15.75">
      <c r="A71" s="208" t="s">
        <v>102</v>
      </c>
      <c r="B71" s="191"/>
      <c r="C71" s="190">
        <v>0</v>
      </c>
      <c r="D71" s="207" t="s">
        <v>3</v>
      </c>
      <c r="E71" s="230">
        <v>476</v>
      </c>
      <c r="F71" s="174">
        <f t="shared" si="36"/>
        <v>0</v>
      </c>
      <c r="G71" s="186">
        <v>0.05</v>
      </c>
      <c r="H71" s="186">
        <v>0.02</v>
      </c>
      <c r="I71" s="186">
        <v>0.05</v>
      </c>
      <c r="J71" s="187">
        <v>0.122</v>
      </c>
      <c r="K71" s="186">
        <v>0.1</v>
      </c>
      <c r="L71" s="171">
        <f t="shared" si="37"/>
        <v>0</v>
      </c>
      <c r="M71" s="171">
        <f t="shared" si="38"/>
        <v>0</v>
      </c>
      <c r="N71" s="171">
        <f t="shared" si="39"/>
        <v>0</v>
      </c>
      <c r="O71" s="171">
        <f t="shared" si="40"/>
        <v>0</v>
      </c>
      <c r="P71" s="171">
        <f t="shared" si="41"/>
        <v>0</v>
      </c>
      <c r="Q71" s="170">
        <f t="shared" si="42"/>
        <v>0</v>
      </c>
      <c r="R71" s="185">
        <v>0.05</v>
      </c>
      <c r="S71" s="185">
        <v>0.05</v>
      </c>
      <c r="T71" s="185">
        <v>0.05</v>
      </c>
      <c r="U71" s="184">
        <v>0.1</v>
      </c>
      <c r="V71" s="167">
        <f t="shared" si="43"/>
        <v>0</v>
      </c>
      <c r="W71" s="167">
        <f t="shared" si="44"/>
        <v>0</v>
      </c>
      <c r="X71" s="167">
        <f t="shared" si="45"/>
        <v>0</v>
      </c>
      <c r="Y71" s="167">
        <f t="shared" si="46"/>
        <v>0</v>
      </c>
      <c r="Z71" s="183">
        <f t="shared" si="47"/>
        <v>0</v>
      </c>
      <c r="AA71" s="182">
        <v>70</v>
      </c>
      <c r="AB71" s="181"/>
      <c r="AC71" s="180">
        <v>70</v>
      </c>
      <c r="AD71" s="193"/>
    </row>
    <row r="72" spans="1:30" ht="18">
      <c r="A72" s="235" t="s">
        <v>22</v>
      </c>
      <c r="B72" s="234"/>
      <c r="C72" s="233"/>
      <c r="D72" s="232"/>
      <c r="E72" s="231"/>
      <c r="F72" s="200"/>
      <c r="G72" s="200"/>
      <c r="H72" s="200"/>
      <c r="I72" s="200"/>
      <c r="J72" s="201"/>
      <c r="K72" s="200"/>
      <c r="L72" s="200"/>
      <c r="M72" s="200"/>
      <c r="N72" s="200"/>
      <c r="O72" s="200"/>
      <c r="P72" s="200"/>
      <c r="Q72" s="200"/>
      <c r="R72" s="199"/>
      <c r="S72" s="199"/>
      <c r="T72" s="199"/>
      <c r="U72" s="197"/>
      <c r="V72" s="197"/>
      <c r="W72" s="197"/>
      <c r="X72" s="197"/>
      <c r="Y72" s="197"/>
      <c r="Z72" s="198"/>
      <c r="AA72" s="197"/>
      <c r="AB72" s="197"/>
      <c r="AC72" s="197"/>
      <c r="AD72" s="194"/>
    </row>
    <row r="73" spans="1:30" ht="15.75">
      <c r="A73" s="236" t="s">
        <v>101</v>
      </c>
      <c r="B73" s="191"/>
      <c r="C73" s="190">
        <v>0</v>
      </c>
      <c r="D73" s="207" t="s">
        <v>3</v>
      </c>
      <c r="E73" s="230">
        <v>207</v>
      </c>
      <c r="F73" s="174">
        <f t="shared" ref="F73:F82" si="48">E73*C73</f>
        <v>0</v>
      </c>
      <c r="G73" s="186">
        <v>0.05</v>
      </c>
      <c r="H73" s="186">
        <v>0.02</v>
      </c>
      <c r="I73" s="186">
        <v>0.05</v>
      </c>
      <c r="J73" s="187">
        <v>0.122</v>
      </c>
      <c r="K73" s="186">
        <v>0.1</v>
      </c>
      <c r="L73" s="171">
        <f t="shared" ref="L73:L82" si="49">F73*G73</f>
        <v>0</v>
      </c>
      <c r="M73" s="171">
        <f t="shared" ref="M73:M82" si="50">(F73+L73)*H73</f>
        <v>0</v>
      </c>
      <c r="N73" s="171">
        <f t="shared" ref="N73:N82" si="51">(F73+L73+M73)*I73</f>
        <v>0</v>
      </c>
      <c r="O73" s="171">
        <f t="shared" ref="O73:O82" si="52">(F73+L73+M73+N73)*J73</f>
        <v>0</v>
      </c>
      <c r="P73" s="171">
        <f t="shared" ref="P73:P82" si="53">(F73+L73+M73+N73+O73)*K73</f>
        <v>0</v>
      </c>
      <c r="Q73" s="170">
        <f t="shared" ref="Q73:Q82" si="54">F73+SUM(L73:P73)</f>
        <v>0</v>
      </c>
      <c r="R73" s="185">
        <v>0.05</v>
      </c>
      <c r="S73" s="185">
        <v>0.05</v>
      </c>
      <c r="T73" s="185">
        <v>0.05</v>
      </c>
      <c r="U73" s="184">
        <v>0.1</v>
      </c>
      <c r="V73" s="167">
        <f t="shared" ref="V73:V82" si="55">Q73*R73</f>
        <v>0</v>
      </c>
      <c r="W73" s="167">
        <f t="shared" ref="W73:W82" si="56">Q73*S73</f>
        <v>0</v>
      </c>
      <c r="X73" s="167">
        <f t="shared" ref="X73:X82" si="57">Q73*T73</f>
        <v>0</v>
      </c>
      <c r="Y73" s="167">
        <f t="shared" ref="Y73:Y82" si="58">U73*(V73+W73)</f>
        <v>0</v>
      </c>
      <c r="Z73" s="183">
        <f t="shared" ref="Z73:Z82" si="59">Q73+SUM(V73:Y73)</f>
        <v>0</v>
      </c>
      <c r="AA73" s="182">
        <v>70</v>
      </c>
      <c r="AB73" s="181"/>
      <c r="AC73" s="180">
        <v>70</v>
      </c>
      <c r="AD73" s="193"/>
    </row>
    <row r="74" spans="1:30" ht="15.75">
      <c r="A74" s="236" t="s">
        <v>100</v>
      </c>
      <c r="B74" s="191"/>
      <c r="C74" s="190">
        <v>0</v>
      </c>
      <c r="D74" s="207" t="s">
        <v>3</v>
      </c>
      <c r="E74" s="230">
        <v>221</v>
      </c>
      <c r="F74" s="174">
        <f t="shared" si="48"/>
        <v>0</v>
      </c>
      <c r="G74" s="186">
        <v>0.05</v>
      </c>
      <c r="H74" s="186">
        <v>0.02</v>
      </c>
      <c r="I74" s="186">
        <v>0.05</v>
      </c>
      <c r="J74" s="187">
        <v>0.122</v>
      </c>
      <c r="K74" s="186">
        <v>0.1</v>
      </c>
      <c r="L74" s="171">
        <f t="shared" si="49"/>
        <v>0</v>
      </c>
      <c r="M74" s="171">
        <f t="shared" si="50"/>
        <v>0</v>
      </c>
      <c r="N74" s="171">
        <f t="shared" si="51"/>
        <v>0</v>
      </c>
      <c r="O74" s="171">
        <f t="shared" si="52"/>
        <v>0</v>
      </c>
      <c r="P74" s="171">
        <f t="shared" si="53"/>
        <v>0</v>
      </c>
      <c r="Q74" s="170">
        <f t="shared" si="54"/>
        <v>0</v>
      </c>
      <c r="R74" s="185">
        <v>0.05</v>
      </c>
      <c r="S74" s="185">
        <v>0.05</v>
      </c>
      <c r="T74" s="185">
        <v>0.05</v>
      </c>
      <c r="U74" s="184">
        <v>0.1</v>
      </c>
      <c r="V74" s="167">
        <f t="shared" si="55"/>
        <v>0</v>
      </c>
      <c r="W74" s="167">
        <f t="shared" si="56"/>
        <v>0</v>
      </c>
      <c r="X74" s="167">
        <f t="shared" si="57"/>
        <v>0</v>
      </c>
      <c r="Y74" s="167">
        <f t="shared" si="58"/>
        <v>0</v>
      </c>
      <c r="Z74" s="183">
        <f t="shared" si="59"/>
        <v>0</v>
      </c>
      <c r="AA74" s="182">
        <v>70</v>
      </c>
      <c r="AB74" s="181"/>
      <c r="AC74" s="180">
        <v>70</v>
      </c>
      <c r="AD74" s="193"/>
    </row>
    <row r="75" spans="1:30" ht="15.75">
      <c r="A75" s="236" t="s">
        <v>99</v>
      </c>
      <c r="B75" s="191"/>
      <c r="C75" s="190">
        <v>0</v>
      </c>
      <c r="D75" s="207" t="s">
        <v>3</v>
      </c>
      <c r="E75" s="230">
        <v>254</v>
      </c>
      <c r="F75" s="174">
        <f t="shared" si="48"/>
        <v>0</v>
      </c>
      <c r="G75" s="186">
        <v>0.05</v>
      </c>
      <c r="H75" s="186">
        <v>0.02</v>
      </c>
      <c r="I75" s="186">
        <v>0.05</v>
      </c>
      <c r="J75" s="187">
        <v>0.122</v>
      </c>
      <c r="K75" s="186">
        <v>0.1</v>
      </c>
      <c r="L75" s="171">
        <f t="shared" si="49"/>
        <v>0</v>
      </c>
      <c r="M75" s="171">
        <f t="shared" si="50"/>
        <v>0</v>
      </c>
      <c r="N75" s="171">
        <f t="shared" si="51"/>
        <v>0</v>
      </c>
      <c r="O75" s="171">
        <f t="shared" si="52"/>
        <v>0</v>
      </c>
      <c r="P75" s="171">
        <f t="shared" si="53"/>
        <v>0</v>
      </c>
      <c r="Q75" s="170">
        <f t="shared" si="54"/>
        <v>0</v>
      </c>
      <c r="R75" s="185">
        <v>0.05</v>
      </c>
      <c r="S75" s="185">
        <v>0.05</v>
      </c>
      <c r="T75" s="185">
        <v>0.05</v>
      </c>
      <c r="U75" s="184">
        <v>0.1</v>
      </c>
      <c r="V75" s="167">
        <f t="shared" si="55"/>
        <v>0</v>
      </c>
      <c r="W75" s="167">
        <f t="shared" si="56"/>
        <v>0</v>
      </c>
      <c r="X75" s="167">
        <f t="shared" si="57"/>
        <v>0</v>
      </c>
      <c r="Y75" s="167">
        <f t="shared" si="58"/>
        <v>0</v>
      </c>
      <c r="Z75" s="183">
        <f t="shared" si="59"/>
        <v>0</v>
      </c>
      <c r="AA75" s="182">
        <v>70</v>
      </c>
      <c r="AB75" s="181"/>
      <c r="AC75" s="180">
        <v>70</v>
      </c>
      <c r="AD75" s="193"/>
    </row>
    <row r="76" spans="1:30" ht="15.75">
      <c r="A76" s="236" t="s">
        <v>98</v>
      </c>
      <c r="B76" s="191"/>
      <c r="C76" s="190">
        <v>0</v>
      </c>
      <c r="D76" s="207" t="s">
        <v>3</v>
      </c>
      <c r="E76" s="230">
        <v>263</v>
      </c>
      <c r="F76" s="174">
        <f t="shared" si="48"/>
        <v>0</v>
      </c>
      <c r="G76" s="186">
        <v>0.05</v>
      </c>
      <c r="H76" s="186">
        <v>0.02</v>
      </c>
      <c r="I76" s="186">
        <v>0.05</v>
      </c>
      <c r="J76" s="187">
        <v>0.122</v>
      </c>
      <c r="K76" s="186">
        <v>0.1</v>
      </c>
      <c r="L76" s="171">
        <f t="shared" si="49"/>
        <v>0</v>
      </c>
      <c r="M76" s="171">
        <f t="shared" si="50"/>
        <v>0</v>
      </c>
      <c r="N76" s="171">
        <f t="shared" si="51"/>
        <v>0</v>
      </c>
      <c r="O76" s="171">
        <f t="shared" si="52"/>
        <v>0</v>
      </c>
      <c r="P76" s="171">
        <f t="shared" si="53"/>
        <v>0</v>
      </c>
      <c r="Q76" s="170">
        <f t="shared" si="54"/>
        <v>0</v>
      </c>
      <c r="R76" s="185">
        <v>0.05</v>
      </c>
      <c r="S76" s="185">
        <v>0.05</v>
      </c>
      <c r="T76" s="185">
        <v>0.05</v>
      </c>
      <c r="U76" s="184">
        <v>0.1</v>
      </c>
      <c r="V76" s="167">
        <f t="shared" si="55"/>
        <v>0</v>
      </c>
      <c r="W76" s="167">
        <f t="shared" si="56"/>
        <v>0</v>
      </c>
      <c r="X76" s="167">
        <f t="shared" si="57"/>
        <v>0</v>
      </c>
      <c r="Y76" s="167">
        <f t="shared" si="58"/>
        <v>0</v>
      </c>
      <c r="Z76" s="183">
        <f t="shared" si="59"/>
        <v>0</v>
      </c>
      <c r="AA76" s="182">
        <v>70</v>
      </c>
      <c r="AB76" s="181"/>
      <c r="AC76" s="180">
        <v>70</v>
      </c>
      <c r="AD76" s="193"/>
    </row>
    <row r="77" spans="1:30" ht="15.75">
      <c r="A77" s="236" t="s">
        <v>97</v>
      </c>
      <c r="B77" s="191"/>
      <c r="C77" s="190">
        <v>0</v>
      </c>
      <c r="D77" s="207" t="s">
        <v>3</v>
      </c>
      <c r="E77" s="230">
        <v>291</v>
      </c>
      <c r="F77" s="174">
        <f t="shared" si="48"/>
        <v>0</v>
      </c>
      <c r="G77" s="186">
        <v>0.05</v>
      </c>
      <c r="H77" s="186">
        <v>0.02</v>
      </c>
      <c r="I77" s="186">
        <v>0.05</v>
      </c>
      <c r="J77" s="187">
        <v>0.122</v>
      </c>
      <c r="K77" s="186">
        <v>0.1</v>
      </c>
      <c r="L77" s="171">
        <f t="shared" si="49"/>
        <v>0</v>
      </c>
      <c r="M77" s="171">
        <f t="shared" si="50"/>
        <v>0</v>
      </c>
      <c r="N77" s="171">
        <f t="shared" si="51"/>
        <v>0</v>
      </c>
      <c r="O77" s="171">
        <f t="shared" si="52"/>
        <v>0</v>
      </c>
      <c r="P77" s="171">
        <f t="shared" si="53"/>
        <v>0</v>
      </c>
      <c r="Q77" s="170">
        <f t="shared" si="54"/>
        <v>0</v>
      </c>
      <c r="R77" s="185">
        <v>0.05</v>
      </c>
      <c r="S77" s="185">
        <v>0.05</v>
      </c>
      <c r="T77" s="185">
        <v>0.05</v>
      </c>
      <c r="U77" s="184">
        <v>0.1</v>
      </c>
      <c r="V77" s="167">
        <f t="shared" si="55"/>
        <v>0</v>
      </c>
      <c r="W77" s="167">
        <f t="shared" si="56"/>
        <v>0</v>
      </c>
      <c r="X77" s="167">
        <f t="shared" si="57"/>
        <v>0</v>
      </c>
      <c r="Y77" s="167">
        <f t="shared" si="58"/>
        <v>0</v>
      </c>
      <c r="Z77" s="183">
        <f t="shared" si="59"/>
        <v>0</v>
      </c>
      <c r="AA77" s="182">
        <v>70</v>
      </c>
      <c r="AB77" s="181"/>
      <c r="AC77" s="180">
        <v>70</v>
      </c>
      <c r="AD77" s="193"/>
    </row>
    <row r="78" spans="1:30" ht="15.75">
      <c r="A78" s="236" t="s">
        <v>96</v>
      </c>
      <c r="B78" s="191"/>
      <c r="C78" s="237">
        <v>0</v>
      </c>
      <c r="D78" s="207" t="s">
        <v>3</v>
      </c>
      <c r="E78" s="230">
        <v>316</v>
      </c>
      <c r="F78" s="174">
        <f t="shared" si="48"/>
        <v>0</v>
      </c>
      <c r="G78" s="186">
        <v>0.05</v>
      </c>
      <c r="H78" s="186">
        <v>0.02</v>
      </c>
      <c r="I78" s="186">
        <v>0.05</v>
      </c>
      <c r="J78" s="187">
        <v>0.122</v>
      </c>
      <c r="K78" s="186">
        <v>0.1</v>
      </c>
      <c r="L78" s="171">
        <f t="shared" si="49"/>
        <v>0</v>
      </c>
      <c r="M78" s="171">
        <f t="shared" si="50"/>
        <v>0</v>
      </c>
      <c r="N78" s="171">
        <f t="shared" si="51"/>
        <v>0</v>
      </c>
      <c r="O78" s="171">
        <f t="shared" si="52"/>
        <v>0</v>
      </c>
      <c r="P78" s="171">
        <f t="shared" si="53"/>
        <v>0</v>
      </c>
      <c r="Q78" s="170">
        <f t="shared" si="54"/>
        <v>0</v>
      </c>
      <c r="R78" s="185">
        <v>0.05</v>
      </c>
      <c r="S78" s="185">
        <v>0.05</v>
      </c>
      <c r="T78" s="185">
        <v>0.05</v>
      </c>
      <c r="U78" s="184">
        <v>0.1</v>
      </c>
      <c r="V78" s="167">
        <f t="shared" si="55"/>
        <v>0</v>
      </c>
      <c r="W78" s="167">
        <f t="shared" si="56"/>
        <v>0</v>
      </c>
      <c r="X78" s="167">
        <f t="shared" si="57"/>
        <v>0</v>
      </c>
      <c r="Y78" s="167">
        <f t="shared" si="58"/>
        <v>0</v>
      </c>
      <c r="Z78" s="183">
        <f t="shared" si="59"/>
        <v>0</v>
      </c>
      <c r="AA78" s="182">
        <v>70</v>
      </c>
      <c r="AB78" s="181"/>
      <c r="AC78" s="180">
        <v>70</v>
      </c>
      <c r="AD78" s="193"/>
    </row>
    <row r="79" spans="1:30" ht="15.75">
      <c r="A79" s="236" t="s">
        <v>95</v>
      </c>
      <c r="B79" s="191"/>
      <c r="C79" s="190">
        <v>0</v>
      </c>
      <c r="D79" s="207" t="s">
        <v>3</v>
      </c>
      <c r="E79" s="230">
        <v>345</v>
      </c>
      <c r="F79" s="174">
        <f t="shared" si="48"/>
        <v>0</v>
      </c>
      <c r="G79" s="186">
        <v>0.05</v>
      </c>
      <c r="H79" s="186">
        <v>0.02</v>
      </c>
      <c r="I79" s="186">
        <v>0.05</v>
      </c>
      <c r="J79" s="187">
        <v>0.122</v>
      </c>
      <c r="K79" s="186">
        <v>0.1</v>
      </c>
      <c r="L79" s="171">
        <f t="shared" si="49"/>
        <v>0</v>
      </c>
      <c r="M79" s="171">
        <f t="shared" si="50"/>
        <v>0</v>
      </c>
      <c r="N79" s="171">
        <f t="shared" si="51"/>
        <v>0</v>
      </c>
      <c r="O79" s="171">
        <f t="shared" si="52"/>
        <v>0</v>
      </c>
      <c r="P79" s="171">
        <f t="shared" si="53"/>
        <v>0</v>
      </c>
      <c r="Q79" s="170">
        <f t="shared" si="54"/>
        <v>0</v>
      </c>
      <c r="R79" s="185">
        <v>0.05</v>
      </c>
      <c r="S79" s="185">
        <v>0.05</v>
      </c>
      <c r="T79" s="185">
        <v>0.05</v>
      </c>
      <c r="U79" s="184">
        <v>0.1</v>
      </c>
      <c r="V79" s="167">
        <f t="shared" si="55"/>
        <v>0</v>
      </c>
      <c r="W79" s="167">
        <f t="shared" si="56"/>
        <v>0</v>
      </c>
      <c r="X79" s="167">
        <f t="shared" si="57"/>
        <v>0</v>
      </c>
      <c r="Y79" s="167">
        <f t="shared" si="58"/>
        <v>0</v>
      </c>
      <c r="Z79" s="183">
        <f t="shared" si="59"/>
        <v>0</v>
      </c>
      <c r="AA79" s="182">
        <v>70</v>
      </c>
      <c r="AB79" s="181"/>
      <c r="AC79" s="180">
        <v>70</v>
      </c>
      <c r="AD79" s="193"/>
    </row>
    <row r="80" spans="1:30" ht="15.75">
      <c r="A80" s="236" t="s">
        <v>94</v>
      </c>
      <c r="B80" s="191"/>
      <c r="C80" s="190">
        <v>0</v>
      </c>
      <c r="D80" s="207" t="s">
        <v>3</v>
      </c>
      <c r="E80" s="230">
        <v>387</v>
      </c>
      <c r="F80" s="174">
        <f t="shared" si="48"/>
        <v>0</v>
      </c>
      <c r="G80" s="186">
        <v>0.05</v>
      </c>
      <c r="H80" s="186">
        <v>0.02</v>
      </c>
      <c r="I80" s="186">
        <v>0.05</v>
      </c>
      <c r="J80" s="187">
        <v>0.122</v>
      </c>
      <c r="K80" s="186">
        <v>0.1</v>
      </c>
      <c r="L80" s="171">
        <f t="shared" si="49"/>
        <v>0</v>
      </c>
      <c r="M80" s="171">
        <f t="shared" si="50"/>
        <v>0</v>
      </c>
      <c r="N80" s="171">
        <f t="shared" si="51"/>
        <v>0</v>
      </c>
      <c r="O80" s="171">
        <f t="shared" si="52"/>
        <v>0</v>
      </c>
      <c r="P80" s="171">
        <f t="shared" si="53"/>
        <v>0</v>
      </c>
      <c r="Q80" s="170">
        <f t="shared" si="54"/>
        <v>0</v>
      </c>
      <c r="R80" s="185">
        <v>0.05</v>
      </c>
      <c r="S80" s="185">
        <v>0.05</v>
      </c>
      <c r="T80" s="185">
        <v>0.05</v>
      </c>
      <c r="U80" s="184">
        <v>0.1</v>
      </c>
      <c r="V80" s="167">
        <f t="shared" si="55"/>
        <v>0</v>
      </c>
      <c r="W80" s="167">
        <f t="shared" si="56"/>
        <v>0</v>
      </c>
      <c r="X80" s="167">
        <f t="shared" si="57"/>
        <v>0</v>
      </c>
      <c r="Y80" s="167">
        <f t="shared" si="58"/>
        <v>0</v>
      </c>
      <c r="Z80" s="183">
        <f t="shared" si="59"/>
        <v>0</v>
      </c>
      <c r="AA80" s="182">
        <v>70</v>
      </c>
      <c r="AB80" s="181"/>
      <c r="AC80" s="180">
        <v>70</v>
      </c>
      <c r="AD80" s="193"/>
    </row>
    <row r="81" spans="1:30" ht="15.75">
      <c r="A81" s="236" t="s">
        <v>93</v>
      </c>
      <c r="B81" s="191"/>
      <c r="C81" s="190">
        <v>0</v>
      </c>
      <c r="D81" s="207" t="s">
        <v>3</v>
      </c>
      <c r="E81" s="230">
        <v>422</v>
      </c>
      <c r="F81" s="174">
        <f t="shared" si="48"/>
        <v>0</v>
      </c>
      <c r="G81" s="186">
        <v>0.05</v>
      </c>
      <c r="H81" s="186">
        <v>0.02</v>
      </c>
      <c r="I81" s="186">
        <v>0.05</v>
      </c>
      <c r="J81" s="187">
        <v>0.122</v>
      </c>
      <c r="K81" s="186">
        <v>0.1</v>
      </c>
      <c r="L81" s="171">
        <f t="shared" si="49"/>
        <v>0</v>
      </c>
      <c r="M81" s="171">
        <f t="shared" si="50"/>
        <v>0</v>
      </c>
      <c r="N81" s="171">
        <f t="shared" si="51"/>
        <v>0</v>
      </c>
      <c r="O81" s="171">
        <f t="shared" si="52"/>
        <v>0</v>
      </c>
      <c r="P81" s="171">
        <f t="shared" si="53"/>
        <v>0</v>
      </c>
      <c r="Q81" s="170">
        <f t="shared" si="54"/>
        <v>0</v>
      </c>
      <c r="R81" s="185">
        <v>0.05</v>
      </c>
      <c r="S81" s="185">
        <v>0.05</v>
      </c>
      <c r="T81" s="185">
        <v>0.05</v>
      </c>
      <c r="U81" s="184">
        <v>0.1</v>
      </c>
      <c r="V81" s="167">
        <f t="shared" si="55"/>
        <v>0</v>
      </c>
      <c r="W81" s="167">
        <f t="shared" si="56"/>
        <v>0</v>
      </c>
      <c r="X81" s="167">
        <f t="shared" si="57"/>
        <v>0</v>
      </c>
      <c r="Y81" s="167">
        <f t="shared" si="58"/>
        <v>0</v>
      </c>
      <c r="Z81" s="183">
        <f t="shared" si="59"/>
        <v>0</v>
      </c>
      <c r="AA81" s="182">
        <v>70</v>
      </c>
      <c r="AB81" s="181"/>
      <c r="AC81" s="180">
        <v>70</v>
      </c>
      <c r="AD81" s="193"/>
    </row>
    <row r="82" spans="1:30" ht="15.75">
      <c r="A82" s="236" t="s">
        <v>92</v>
      </c>
      <c r="B82" s="191"/>
      <c r="C82" s="190">
        <v>0</v>
      </c>
      <c r="D82" s="207" t="s">
        <v>3</v>
      </c>
      <c r="E82" s="230">
        <v>476</v>
      </c>
      <c r="F82" s="174">
        <f t="shared" si="48"/>
        <v>0</v>
      </c>
      <c r="G82" s="186">
        <v>0.05</v>
      </c>
      <c r="H82" s="186">
        <v>0.02</v>
      </c>
      <c r="I82" s="186">
        <v>0.05</v>
      </c>
      <c r="J82" s="187">
        <v>0.122</v>
      </c>
      <c r="K82" s="186">
        <v>0.1</v>
      </c>
      <c r="L82" s="171">
        <f t="shared" si="49"/>
        <v>0</v>
      </c>
      <c r="M82" s="171">
        <f t="shared" si="50"/>
        <v>0</v>
      </c>
      <c r="N82" s="171">
        <f t="shared" si="51"/>
        <v>0</v>
      </c>
      <c r="O82" s="171">
        <f t="shared" si="52"/>
        <v>0</v>
      </c>
      <c r="P82" s="171">
        <f t="shared" si="53"/>
        <v>0</v>
      </c>
      <c r="Q82" s="170">
        <f t="shared" si="54"/>
        <v>0</v>
      </c>
      <c r="R82" s="185">
        <v>0.05</v>
      </c>
      <c r="S82" s="185">
        <v>0.05</v>
      </c>
      <c r="T82" s="185">
        <v>0.05</v>
      </c>
      <c r="U82" s="184">
        <v>0.1</v>
      </c>
      <c r="V82" s="167">
        <f t="shared" si="55"/>
        <v>0</v>
      </c>
      <c r="W82" s="167">
        <f t="shared" si="56"/>
        <v>0</v>
      </c>
      <c r="X82" s="167">
        <f t="shared" si="57"/>
        <v>0</v>
      </c>
      <c r="Y82" s="167">
        <f t="shared" si="58"/>
        <v>0</v>
      </c>
      <c r="Z82" s="183">
        <f t="shared" si="59"/>
        <v>0</v>
      </c>
      <c r="AA82" s="182">
        <v>70</v>
      </c>
      <c r="AB82" s="181"/>
      <c r="AC82" s="180">
        <v>70</v>
      </c>
      <c r="AD82" s="193"/>
    </row>
    <row r="83" spans="1:30" ht="18">
      <c r="A83" s="235" t="s">
        <v>91</v>
      </c>
      <c r="B83" s="234"/>
      <c r="C83" s="233"/>
      <c r="D83" s="232"/>
      <c r="E83" s="231"/>
      <c r="F83" s="200"/>
      <c r="G83" s="200"/>
      <c r="H83" s="200"/>
      <c r="I83" s="200"/>
      <c r="J83" s="201"/>
      <c r="K83" s="200"/>
      <c r="L83" s="200"/>
      <c r="M83" s="200"/>
      <c r="N83" s="200"/>
      <c r="O83" s="200"/>
      <c r="P83" s="200"/>
      <c r="Q83" s="200"/>
      <c r="R83" s="199"/>
      <c r="S83" s="199"/>
      <c r="T83" s="199"/>
      <c r="U83" s="197"/>
      <c r="V83" s="197"/>
      <c r="W83" s="197"/>
      <c r="X83" s="197"/>
      <c r="Y83" s="197"/>
      <c r="Z83" s="198"/>
      <c r="AA83" s="197"/>
      <c r="AB83" s="196"/>
      <c r="AC83" s="195"/>
      <c r="AD83" s="194"/>
    </row>
    <row r="84" spans="1:30" ht="45">
      <c r="A84" s="192" t="s">
        <v>90</v>
      </c>
      <c r="B84" s="191"/>
      <c r="C84" s="190">
        <v>0</v>
      </c>
      <c r="D84" s="207" t="s">
        <v>3</v>
      </c>
      <c r="E84" s="230">
        <v>125</v>
      </c>
      <c r="F84" s="174">
        <f t="shared" ref="F84:F89" si="60">E84*C84</f>
        <v>0</v>
      </c>
      <c r="G84" s="186">
        <v>0.05</v>
      </c>
      <c r="H84" s="186">
        <v>0.02</v>
      </c>
      <c r="I84" s="186">
        <v>0.05</v>
      </c>
      <c r="J84" s="187">
        <v>0.122</v>
      </c>
      <c r="K84" s="186">
        <v>0.1</v>
      </c>
      <c r="L84" s="171">
        <f t="shared" ref="L84:L89" si="61">F84*G84</f>
        <v>0</v>
      </c>
      <c r="M84" s="171">
        <f t="shared" ref="M84:M89" si="62">(F84+L84)*H84</f>
        <v>0</v>
      </c>
      <c r="N84" s="171">
        <f t="shared" ref="N84:N89" si="63">(F84+L84+M84)*I84</f>
        <v>0</v>
      </c>
      <c r="O84" s="171">
        <f t="shared" ref="O84:O89" si="64">(F84+L84+M84+N84)*J84</f>
        <v>0</v>
      </c>
      <c r="P84" s="171">
        <f t="shared" ref="P84:P89" si="65">(F84+L84+M84+N84+O84)*K84</f>
        <v>0</v>
      </c>
      <c r="Q84" s="170">
        <f t="shared" ref="Q84:Q89" si="66">F84+SUM(L84:P84)</f>
        <v>0</v>
      </c>
      <c r="R84" s="185">
        <v>0.05</v>
      </c>
      <c r="S84" s="185">
        <v>0.05</v>
      </c>
      <c r="T84" s="185">
        <v>0.05</v>
      </c>
      <c r="U84" s="184">
        <v>0.1</v>
      </c>
      <c r="V84" s="167">
        <f t="shared" ref="V84:V89" si="67">Q84*R84</f>
        <v>0</v>
      </c>
      <c r="W84" s="167">
        <f t="shared" ref="W84:W89" si="68">Q84*S84</f>
        <v>0</v>
      </c>
      <c r="X84" s="167">
        <f t="shared" ref="X84:X89" si="69">Q84*T84</f>
        <v>0</v>
      </c>
      <c r="Y84" s="167">
        <f t="shared" ref="Y84:Y89" si="70">U84*(V84+W84)</f>
        <v>0</v>
      </c>
      <c r="Z84" s="183">
        <f t="shared" ref="Z84:Z89" si="71">Q84+SUM(V84:Y84)</f>
        <v>0</v>
      </c>
      <c r="AA84" s="182">
        <v>75</v>
      </c>
      <c r="AB84" s="181"/>
      <c r="AC84" s="180">
        <v>75</v>
      </c>
      <c r="AD84" s="193"/>
    </row>
    <row r="85" spans="1:30" ht="30">
      <c r="A85" s="221" t="s">
        <v>89</v>
      </c>
      <c r="B85" s="191"/>
      <c r="C85" s="190">
        <v>0</v>
      </c>
      <c r="D85" s="207" t="s">
        <v>5</v>
      </c>
      <c r="E85" s="188">
        <v>1750</v>
      </c>
      <c r="F85" s="174">
        <f t="shared" si="60"/>
        <v>0</v>
      </c>
      <c r="G85" s="186">
        <v>0.05</v>
      </c>
      <c r="H85" s="186">
        <v>0.02</v>
      </c>
      <c r="I85" s="186">
        <v>0.05</v>
      </c>
      <c r="J85" s="187">
        <v>0.122</v>
      </c>
      <c r="K85" s="186">
        <v>0.1</v>
      </c>
      <c r="L85" s="171">
        <f t="shared" si="61"/>
        <v>0</v>
      </c>
      <c r="M85" s="171">
        <f t="shared" si="62"/>
        <v>0</v>
      </c>
      <c r="N85" s="171">
        <f t="shared" si="63"/>
        <v>0</v>
      </c>
      <c r="O85" s="171">
        <f t="shared" si="64"/>
        <v>0</v>
      </c>
      <c r="P85" s="171">
        <f t="shared" si="65"/>
        <v>0</v>
      </c>
      <c r="Q85" s="170">
        <f t="shared" si="66"/>
        <v>0</v>
      </c>
      <c r="R85" s="185">
        <v>0.05</v>
      </c>
      <c r="S85" s="185">
        <v>0.05</v>
      </c>
      <c r="T85" s="185">
        <v>0.05</v>
      </c>
      <c r="U85" s="184">
        <v>0.1</v>
      </c>
      <c r="V85" s="167">
        <f t="shared" si="67"/>
        <v>0</v>
      </c>
      <c r="W85" s="167">
        <f t="shared" si="68"/>
        <v>0</v>
      </c>
      <c r="X85" s="167">
        <f t="shared" si="69"/>
        <v>0</v>
      </c>
      <c r="Y85" s="167">
        <f t="shared" si="70"/>
        <v>0</v>
      </c>
      <c r="Z85" s="183">
        <f t="shared" si="71"/>
        <v>0</v>
      </c>
      <c r="AA85" s="182">
        <v>75</v>
      </c>
      <c r="AB85" s="181"/>
      <c r="AC85" s="180">
        <v>75</v>
      </c>
      <c r="AD85" s="193"/>
    </row>
    <row r="86" spans="1:30" ht="30">
      <c r="A86" s="221" t="s">
        <v>88</v>
      </c>
      <c r="B86" s="191"/>
      <c r="C86" s="190">
        <v>0</v>
      </c>
      <c r="D86" s="207" t="s">
        <v>5</v>
      </c>
      <c r="E86" s="188">
        <v>2200</v>
      </c>
      <c r="F86" s="174">
        <f t="shared" si="60"/>
        <v>0</v>
      </c>
      <c r="G86" s="186">
        <v>0.05</v>
      </c>
      <c r="H86" s="186">
        <v>0.02</v>
      </c>
      <c r="I86" s="186">
        <v>0.05</v>
      </c>
      <c r="J86" s="187">
        <v>0.122</v>
      </c>
      <c r="K86" s="186">
        <v>0.1</v>
      </c>
      <c r="L86" s="171">
        <f t="shared" si="61"/>
        <v>0</v>
      </c>
      <c r="M86" s="171">
        <f t="shared" si="62"/>
        <v>0</v>
      </c>
      <c r="N86" s="171">
        <f t="shared" si="63"/>
        <v>0</v>
      </c>
      <c r="O86" s="171">
        <f t="shared" si="64"/>
        <v>0</v>
      </c>
      <c r="P86" s="171">
        <f t="shared" si="65"/>
        <v>0</v>
      </c>
      <c r="Q86" s="170">
        <f t="shared" si="66"/>
        <v>0</v>
      </c>
      <c r="R86" s="185">
        <v>0.05</v>
      </c>
      <c r="S86" s="185">
        <v>0.05</v>
      </c>
      <c r="T86" s="185">
        <v>0.05</v>
      </c>
      <c r="U86" s="184">
        <v>0.1</v>
      </c>
      <c r="V86" s="167">
        <f t="shared" si="67"/>
        <v>0</v>
      </c>
      <c r="W86" s="167">
        <f t="shared" si="68"/>
        <v>0</v>
      </c>
      <c r="X86" s="167">
        <f t="shared" si="69"/>
        <v>0</v>
      </c>
      <c r="Y86" s="167">
        <f t="shared" si="70"/>
        <v>0</v>
      </c>
      <c r="Z86" s="183">
        <f t="shared" si="71"/>
        <v>0</v>
      </c>
      <c r="AA86" s="182">
        <v>75</v>
      </c>
      <c r="AB86" s="181"/>
      <c r="AC86" s="180">
        <v>75</v>
      </c>
      <c r="AD86" s="193"/>
    </row>
    <row r="87" spans="1:30" ht="30">
      <c r="A87" s="221" t="s">
        <v>87</v>
      </c>
      <c r="B87" s="191"/>
      <c r="C87" s="190">
        <v>0</v>
      </c>
      <c r="D87" s="207" t="s">
        <v>5</v>
      </c>
      <c r="E87" s="188">
        <v>1800</v>
      </c>
      <c r="F87" s="174">
        <f t="shared" si="60"/>
        <v>0</v>
      </c>
      <c r="G87" s="186">
        <v>0.05</v>
      </c>
      <c r="H87" s="186">
        <v>0.02</v>
      </c>
      <c r="I87" s="186">
        <v>0.05</v>
      </c>
      <c r="J87" s="187">
        <v>0.122</v>
      </c>
      <c r="K87" s="186">
        <v>0.1</v>
      </c>
      <c r="L87" s="171">
        <f t="shared" si="61"/>
        <v>0</v>
      </c>
      <c r="M87" s="171">
        <f t="shared" si="62"/>
        <v>0</v>
      </c>
      <c r="N87" s="171">
        <f t="shared" si="63"/>
        <v>0</v>
      </c>
      <c r="O87" s="171">
        <f t="shared" si="64"/>
        <v>0</v>
      </c>
      <c r="P87" s="171">
        <f t="shared" si="65"/>
        <v>0</v>
      </c>
      <c r="Q87" s="170">
        <f t="shared" si="66"/>
        <v>0</v>
      </c>
      <c r="R87" s="185">
        <v>0.05</v>
      </c>
      <c r="S87" s="185">
        <v>0.05</v>
      </c>
      <c r="T87" s="185">
        <v>0.05</v>
      </c>
      <c r="U87" s="184">
        <v>0.1</v>
      </c>
      <c r="V87" s="167">
        <f t="shared" si="67"/>
        <v>0</v>
      </c>
      <c r="W87" s="167">
        <f t="shared" si="68"/>
        <v>0</v>
      </c>
      <c r="X87" s="167">
        <f t="shared" si="69"/>
        <v>0</v>
      </c>
      <c r="Y87" s="167">
        <f t="shared" si="70"/>
        <v>0</v>
      </c>
      <c r="Z87" s="183">
        <f t="shared" si="71"/>
        <v>0</v>
      </c>
      <c r="AA87" s="182">
        <v>25</v>
      </c>
      <c r="AB87" s="181"/>
      <c r="AC87" s="180">
        <v>25</v>
      </c>
      <c r="AD87" s="193"/>
    </row>
    <row r="88" spans="1:30" ht="30">
      <c r="A88" s="221" t="s">
        <v>86</v>
      </c>
      <c r="B88" s="191"/>
      <c r="C88" s="190">
        <v>0</v>
      </c>
      <c r="D88" s="207" t="s">
        <v>5</v>
      </c>
      <c r="E88" s="188">
        <v>2600</v>
      </c>
      <c r="F88" s="174">
        <f t="shared" si="60"/>
        <v>0</v>
      </c>
      <c r="G88" s="186">
        <v>0.05</v>
      </c>
      <c r="H88" s="186">
        <v>0.02</v>
      </c>
      <c r="I88" s="186">
        <v>0.05</v>
      </c>
      <c r="J88" s="187">
        <v>0.122</v>
      </c>
      <c r="K88" s="186">
        <v>0.1</v>
      </c>
      <c r="L88" s="171">
        <f t="shared" si="61"/>
        <v>0</v>
      </c>
      <c r="M88" s="171">
        <f t="shared" si="62"/>
        <v>0</v>
      </c>
      <c r="N88" s="171">
        <f t="shared" si="63"/>
        <v>0</v>
      </c>
      <c r="O88" s="171">
        <f t="shared" si="64"/>
        <v>0</v>
      </c>
      <c r="P88" s="171">
        <f t="shared" si="65"/>
        <v>0</v>
      </c>
      <c r="Q88" s="170">
        <f t="shared" si="66"/>
        <v>0</v>
      </c>
      <c r="R88" s="185">
        <v>0.05</v>
      </c>
      <c r="S88" s="185">
        <v>0.05</v>
      </c>
      <c r="T88" s="185">
        <v>0.05</v>
      </c>
      <c r="U88" s="184">
        <v>0.1</v>
      </c>
      <c r="V88" s="167">
        <f t="shared" si="67"/>
        <v>0</v>
      </c>
      <c r="W88" s="167">
        <f t="shared" si="68"/>
        <v>0</v>
      </c>
      <c r="X88" s="167">
        <f t="shared" si="69"/>
        <v>0</v>
      </c>
      <c r="Y88" s="167">
        <f t="shared" si="70"/>
        <v>0</v>
      </c>
      <c r="Z88" s="183">
        <f t="shared" si="71"/>
        <v>0</v>
      </c>
      <c r="AA88" s="182">
        <v>25</v>
      </c>
      <c r="AB88" s="181"/>
      <c r="AC88" s="180">
        <v>25</v>
      </c>
      <c r="AD88" s="193"/>
    </row>
    <row r="89" spans="1:30" ht="30">
      <c r="A89" s="221" t="s">
        <v>85</v>
      </c>
      <c r="B89" s="191"/>
      <c r="C89" s="190">
        <v>0</v>
      </c>
      <c r="D89" s="207" t="s">
        <v>5</v>
      </c>
      <c r="E89" s="188">
        <v>3065</v>
      </c>
      <c r="F89" s="174">
        <f t="shared" si="60"/>
        <v>0</v>
      </c>
      <c r="G89" s="186">
        <v>0.05</v>
      </c>
      <c r="H89" s="186">
        <v>0.02</v>
      </c>
      <c r="I89" s="186">
        <v>0.05</v>
      </c>
      <c r="J89" s="187">
        <v>0.122</v>
      </c>
      <c r="K89" s="186">
        <v>0.1</v>
      </c>
      <c r="L89" s="171">
        <f t="shared" si="61"/>
        <v>0</v>
      </c>
      <c r="M89" s="171">
        <f t="shared" si="62"/>
        <v>0</v>
      </c>
      <c r="N89" s="171">
        <f t="shared" si="63"/>
        <v>0</v>
      </c>
      <c r="O89" s="171">
        <f t="shared" si="64"/>
        <v>0</v>
      </c>
      <c r="P89" s="171">
        <f t="shared" si="65"/>
        <v>0</v>
      </c>
      <c r="Q89" s="170">
        <f t="shared" si="66"/>
        <v>0</v>
      </c>
      <c r="R89" s="185">
        <v>0.05</v>
      </c>
      <c r="S89" s="185">
        <v>0.05</v>
      </c>
      <c r="T89" s="185">
        <v>0.05</v>
      </c>
      <c r="U89" s="184">
        <v>0.1</v>
      </c>
      <c r="V89" s="167">
        <f t="shared" si="67"/>
        <v>0</v>
      </c>
      <c r="W89" s="167">
        <f t="shared" si="68"/>
        <v>0</v>
      </c>
      <c r="X89" s="167">
        <f t="shared" si="69"/>
        <v>0</v>
      </c>
      <c r="Y89" s="167">
        <f t="shared" si="70"/>
        <v>0</v>
      </c>
      <c r="Z89" s="183">
        <f t="shared" si="71"/>
        <v>0</v>
      </c>
      <c r="AA89" s="182">
        <v>75</v>
      </c>
      <c r="AB89" s="181"/>
      <c r="AC89" s="180">
        <v>75</v>
      </c>
      <c r="AD89" s="193"/>
    </row>
    <row r="90" spans="1:30" ht="90">
      <c r="A90" s="229" t="s">
        <v>84</v>
      </c>
      <c r="B90" s="228"/>
      <c r="C90" s="227"/>
      <c r="D90" s="227"/>
      <c r="E90" s="226"/>
      <c r="F90" s="200"/>
      <c r="G90" s="200"/>
      <c r="H90" s="200"/>
      <c r="I90" s="200"/>
      <c r="J90" s="201"/>
      <c r="K90" s="200"/>
      <c r="L90" s="200"/>
      <c r="M90" s="200"/>
      <c r="N90" s="200"/>
      <c r="O90" s="200"/>
      <c r="P90" s="200"/>
      <c r="Q90" s="200"/>
      <c r="R90" s="199"/>
      <c r="S90" s="199"/>
      <c r="T90" s="199"/>
      <c r="U90" s="197"/>
      <c r="V90" s="197"/>
      <c r="W90" s="197"/>
      <c r="X90" s="197"/>
      <c r="Y90" s="197"/>
      <c r="Z90" s="198"/>
      <c r="AA90" s="218"/>
      <c r="AB90" s="196"/>
      <c r="AC90" s="195"/>
      <c r="AD90" s="194"/>
    </row>
    <row r="91" spans="1:30" ht="54">
      <c r="A91" s="225" t="s">
        <v>83</v>
      </c>
      <c r="B91" s="224"/>
      <c r="C91" s="223"/>
      <c r="D91" s="223"/>
      <c r="E91" s="222"/>
      <c r="F91" s="186"/>
      <c r="G91" s="186"/>
      <c r="H91" s="186"/>
      <c r="I91" s="186"/>
      <c r="J91" s="187"/>
      <c r="K91" s="186"/>
      <c r="L91" s="186"/>
      <c r="M91" s="186"/>
      <c r="N91" s="186"/>
      <c r="O91" s="186"/>
      <c r="P91" s="186"/>
      <c r="Q91" s="186"/>
      <c r="R91" s="185"/>
      <c r="S91" s="185"/>
      <c r="T91" s="185"/>
      <c r="U91" s="184"/>
      <c r="V91" s="184"/>
      <c r="W91" s="184"/>
      <c r="X91" s="184"/>
      <c r="Y91" s="184"/>
      <c r="Z91" s="212"/>
      <c r="AA91" s="182"/>
      <c r="AB91" s="181"/>
      <c r="AC91" s="180"/>
      <c r="AD91" s="211"/>
    </row>
    <row r="92" spans="1:30" ht="15.75">
      <c r="A92" s="221" t="s">
        <v>82</v>
      </c>
      <c r="B92" s="191"/>
      <c r="C92" s="190">
        <v>0</v>
      </c>
      <c r="D92" s="207" t="s">
        <v>3</v>
      </c>
      <c r="E92" s="188"/>
      <c r="F92" s="174">
        <f t="shared" ref="F92:F120" si="72">E92*C92</f>
        <v>0</v>
      </c>
      <c r="G92" s="186">
        <v>0.05</v>
      </c>
      <c r="H92" s="186">
        <v>0.02</v>
      </c>
      <c r="I92" s="186">
        <v>0.05</v>
      </c>
      <c r="J92" s="187">
        <v>0.122</v>
      </c>
      <c r="K92" s="186">
        <v>0.1</v>
      </c>
      <c r="L92" s="171">
        <f t="shared" ref="L92:L120" si="73">F92*G92</f>
        <v>0</v>
      </c>
      <c r="M92" s="171">
        <f t="shared" ref="M92:M120" si="74">(F92+L92)*H92</f>
        <v>0</v>
      </c>
      <c r="N92" s="171">
        <f t="shared" ref="N92:N120" si="75">(F92+L92+M92)*I92</f>
        <v>0</v>
      </c>
      <c r="O92" s="171">
        <f t="shared" ref="O92:O120" si="76">(F92+L92+M92+N92)*J92</f>
        <v>0</v>
      </c>
      <c r="P92" s="171">
        <f t="shared" ref="P92:P120" si="77">(F92+L92+M92+N92+O92)*K92</f>
        <v>0</v>
      </c>
      <c r="Q92" s="170">
        <f t="shared" ref="Q92:Q120" si="78">F92+SUM(L92:P92)</f>
        <v>0</v>
      </c>
      <c r="R92" s="185">
        <v>0.05</v>
      </c>
      <c r="S92" s="185">
        <v>0.05</v>
      </c>
      <c r="T92" s="185">
        <v>0.05</v>
      </c>
      <c r="U92" s="184">
        <v>0.1</v>
      </c>
      <c r="V92" s="167">
        <f t="shared" ref="V92:V120" si="79">Q92*R92</f>
        <v>0</v>
      </c>
      <c r="W92" s="167">
        <f t="shared" ref="W92:W120" si="80">Q92*S92</f>
        <v>0</v>
      </c>
      <c r="X92" s="167">
        <f t="shared" ref="X92:X120" si="81">Q92*T92</f>
        <v>0</v>
      </c>
      <c r="Y92" s="167">
        <f t="shared" ref="Y92:Y120" si="82">U92*(V92+W92)</f>
        <v>0</v>
      </c>
      <c r="Z92" s="183">
        <f t="shared" ref="Z92:Z120" si="83">Q92+SUM(V92:Y92)</f>
        <v>0</v>
      </c>
      <c r="AA92" s="182">
        <v>75</v>
      </c>
      <c r="AB92" s="181"/>
      <c r="AC92" s="180">
        <v>75</v>
      </c>
      <c r="AD92" s="193"/>
    </row>
    <row r="93" spans="1:30" ht="15.75">
      <c r="A93" s="221" t="s">
        <v>81</v>
      </c>
      <c r="B93" s="191"/>
      <c r="C93" s="190">
        <v>0</v>
      </c>
      <c r="D93" s="207" t="s">
        <v>3</v>
      </c>
      <c r="E93" s="188">
        <v>920</v>
      </c>
      <c r="F93" s="174">
        <f t="shared" si="72"/>
        <v>0</v>
      </c>
      <c r="G93" s="186">
        <v>0.05</v>
      </c>
      <c r="H93" s="186">
        <v>0.02</v>
      </c>
      <c r="I93" s="186">
        <v>0.05</v>
      </c>
      <c r="J93" s="187">
        <v>0.122</v>
      </c>
      <c r="K93" s="186">
        <v>0.1</v>
      </c>
      <c r="L93" s="171">
        <f t="shared" si="73"/>
        <v>0</v>
      </c>
      <c r="M93" s="171">
        <f t="shared" si="74"/>
        <v>0</v>
      </c>
      <c r="N93" s="171">
        <f t="shared" si="75"/>
        <v>0</v>
      </c>
      <c r="O93" s="171">
        <f t="shared" si="76"/>
        <v>0</v>
      </c>
      <c r="P93" s="171">
        <f t="shared" si="77"/>
        <v>0</v>
      </c>
      <c r="Q93" s="170">
        <f t="shared" si="78"/>
        <v>0</v>
      </c>
      <c r="R93" s="185">
        <v>0.05</v>
      </c>
      <c r="S93" s="185">
        <v>0.05</v>
      </c>
      <c r="T93" s="185">
        <v>0.05</v>
      </c>
      <c r="U93" s="184">
        <v>0.1</v>
      </c>
      <c r="V93" s="167">
        <f t="shared" si="79"/>
        <v>0</v>
      </c>
      <c r="W93" s="167">
        <f t="shared" si="80"/>
        <v>0</v>
      </c>
      <c r="X93" s="167">
        <f t="shared" si="81"/>
        <v>0</v>
      </c>
      <c r="Y93" s="167">
        <f t="shared" si="82"/>
        <v>0</v>
      </c>
      <c r="Z93" s="183">
        <f t="shared" si="83"/>
        <v>0</v>
      </c>
      <c r="AA93" s="182">
        <v>75</v>
      </c>
      <c r="AB93" s="181"/>
      <c r="AC93" s="180">
        <v>75</v>
      </c>
      <c r="AD93" s="193"/>
    </row>
    <row r="94" spans="1:30" ht="15.75">
      <c r="A94" s="221" t="s">
        <v>80</v>
      </c>
      <c r="B94" s="191"/>
      <c r="C94" s="190">
        <v>0</v>
      </c>
      <c r="D94" s="207" t="s">
        <v>3</v>
      </c>
      <c r="E94" s="188">
        <v>789</v>
      </c>
      <c r="F94" s="174">
        <f t="shared" si="72"/>
        <v>0</v>
      </c>
      <c r="G94" s="186">
        <v>0.05</v>
      </c>
      <c r="H94" s="186">
        <v>0.02</v>
      </c>
      <c r="I94" s="186">
        <v>0.05</v>
      </c>
      <c r="J94" s="187">
        <v>0.122</v>
      </c>
      <c r="K94" s="186">
        <v>0.1</v>
      </c>
      <c r="L94" s="171">
        <f t="shared" si="73"/>
        <v>0</v>
      </c>
      <c r="M94" s="171">
        <f t="shared" si="74"/>
        <v>0</v>
      </c>
      <c r="N94" s="171">
        <f t="shared" si="75"/>
        <v>0</v>
      </c>
      <c r="O94" s="171">
        <f t="shared" si="76"/>
        <v>0</v>
      </c>
      <c r="P94" s="171">
        <f t="shared" si="77"/>
        <v>0</v>
      </c>
      <c r="Q94" s="170">
        <f t="shared" si="78"/>
        <v>0</v>
      </c>
      <c r="R94" s="185">
        <v>0.05</v>
      </c>
      <c r="S94" s="185">
        <v>0.05</v>
      </c>
      <c r="T94" s="185">
        <v>0.05</v>
      </c>
      <c r="U94" s="184">
        <v>0.1</v>
      </c>
      <c r="V94" s="167">
        <f t="shared" si="79"/>
        <v>0</v>
      </c>
      <c r="W94" s="167">
        <f t="shared" si="80"/>
        <v>0</v>
      </c>
      <c r="X94" s="167">
        <f t="shared" si="81"/>
        <v>0</v>
      </c>
      <c r="Y94" s="167">
        <f t="shared" si="82"/>
        <v>0</v>
      </c>
      <c r="Z94" s="183">
        <f t="shared" si="83"/>
        <v>0</v>
      </c>
      <c r="AA94" s="182">
        <v>75</v>
      </c>
      <c r="AB94" s="181"/>
      <c r="AC94" s="180">
        <v>75</v>
      </c>
      <c r="AD94" s="193"/>
    </row>
    <row r="95" spans="1:30" ht="15.75">
      <c r="A95" s="221" t="s">
        <v>79</v>
      </c>
      <c r="B95" s="191"/>
      <c r="C95" s="190">
        <v>0</v>
      </c>
      <c r="D95" s="207" t="s">
        <v>3</v>
      </c>
      <c r="E95" s="188">
        <v>723</v>
      </c>
      <c r="F95" s="174">
        <f t="shared" si="72"/>
        <v>0</v>
      </c>
      <c r="G95" s="186">
        <v>0.05</v>
      </c>
      <c r="H95" s="186">
        <v>0.02</v>
      </c>
      <c r="I95" s="186">
        <v>0.05</v>
      </c>
      <c r="J95" s="187">
        <v>0.122</v>
      </c>
      <c r="K95" s="186">
        <v>0.1</v>
      </c>
      <c r="L95" s="171">
        <f t="shared" si="73"/>
        <v>0</v>
      </c>
      <c r="M95" s="171">
        <f t="shared" si="74"/>
        <v>0</v>
      </c>
      <c r="N95" s="171">
        <f t="shared" si="75"/>
        <v>0</v>
      </c>
      <c r="O95" s="171">
        <f t="shared" si="76"/>
        <v>0</v>
      </c>
      <c r="P95" s="171">
        <f t="shared" si="77"/>
        <v>0</v>
      </c>
      <c r="Q95" s="170">
        <f t="shared" si="78"/>
        <v>0</v>
      </c>
      <c r="R95" s="185">
        <v>0.05</v>
      </c>
      <c r="S95" s="185">
        <v>0.05</v>
      </c>
      <c r="T95" s="185">
        <v>0.05</v>
      </c>
      <c r="U95" s="184">
        <v>0.1</v>
      </c>
      <c r="V95" s="167">
        <f t="shared" si="79"/>
        <v>0</v>
      </c>
      <c r="W95" s="167">
        <f t="shared" si="80"/>
        <v>0</v>
      </c>
      <c r="X95" s="167">
        <f t="shared" si="81"/>
        <v>0</v>
      </c>
      <c r="Y95" s="167">
        <f t="shared" si="82"/>
        <v>0</v>
      </c>
      <c r="Z95" s="183">
        <f t="shared" si="83"/>
        <v>0</v>
      </c>
      <c r="AA95" s="182">
        <v>75</v>
      </c>
      <c r="AB95" s="181"/>
      <c r="AC95" s="180">
        <v>75</v>
      </c>
      <c r="AD95" s="193"/>
    </row>
    <row r="96" spans="1:30" ht="15.75">
      <c r="A96" s="221" t="s">
        <v>78</v>
      </c>
      <c r="B96" s="191"/>
      <c r="C96" s="190">
        <v>0</v>
      </c>
      <c r="D96" s="207" t="s">
        <v>3</v>
      </c>
      <c r="E96" s="188">
        <v>862</v>
      </c>
      <c r="F96" s="174">
        <f t="shared" si="72"/>
        <v>0</v>
      </c>
      <c r="G96" s="186">
        <v>0.05</v>
      </c>
      <c r="H96" s="186">
        <v>0.02</v>
      </c>
      <c r="I96" s="186">
        <v>0.05</v>
      </c>
      <c r="J96" s="187">
        <v>0.122</v>
      </c>
      <c r="K96" s="186">
        <v>0.1</v>
      </c>
      <c r="L96" s="171">
        <f t="shared" si="73"/>
        <v>0</v>
      </c>
      <c r="M96" s="171">
        <f t="shared" si="74"/>
        <v>0</v>
      </c>
      <c r="N96" s="171">
        <f t="shared" si="75"/>
        <v>0</v>
      </c>
      <c r="O96" s="171">
        <f t="shared" si="76"/>
        <v>0</v>
      </c>
      <c r="P96" s="171">
        <f t="shared" si="77"/>
        <v>0</v>
      </c>
      <c r="Q96" s="170">
        <f t="shared" si="78"/>
        <v>0</v>
      </c>
      <c r="R96" s="185">
        <v>0.05</v>
      </c>
      <c r="S96" s="185">
        <v>0.05</v>
      </c>
      <c r="T96" s="185">
        <v>0.05</v>
      </c>
      <c r="U96" s="184">
        <v>0.1</v>
      </c>
      <c r="V96" s="167">
        <f t="shared" si="79"/>
        <v>0</v>
      </c>
      <c r="W96" s="167">
        <f t="shared" si="80"/>
        <v>0</v>
      </c>
      <c r="X96" s="167">
        <f t="shared" si="81"/>
        <v>0</v>
      </c>
      <c r="Y96" s="167">
        <f t="shared" si="82"/>
        <v>0</v>
      </c>
      <c r="Z96" s="183">
        <f t="shared" si="83"/>
        <v>0</v>
      </c>
      <c r="AA96" s="182">
        <v>75</v>
      </c>
      <c r="AB96" s="181"/>
      <c r="AC96" s="180">
        <v>75</v>
      </c>
      <c r="AD96" s="193"/>
    </row>
    <row r="97" spans="1:30" ht="15.75">
      <c r="A97" s="221" t="s">
        <v>77</v>
      </c>
      <c r="B97" s="191"/>
      <c r="C97" s="190">
        <v>0</v>
      </c>
      <c r="D97" s="207" t="s">
        <v>3</v>
      </c>
      <c r="E97" s="188"/>
      <c r="F97" s="174">
        <f t="shared" si="72"/>
        <v>0</v>
      </c>
      <c r="G97" s="186">
        <v>0.05</v>
      </c>
      <c r="H97" s="186">
        <v>0.02</v>
      </c>
      <c r="I97" s="186">
        <v>0.05</v>
      </c>
      <c r="J97" s="187">
        <v>0.122</v>
      </c>
      <c r="K97" s="186">
        <v>0.1</v>
      </c>
      <c r="L97" s="171">
        <f t="shared" si="73"/>
        <v>0</v>
      </c>
      <c r="M97" s="171">
        <f t="shared" si="74"/>
        <v>0</v>
      </c>
      <c r="N97" s="171">
        <f t="shared" si="75"/>
        <v>0</v>
      </c>
      <c r="O97" s="171">
        <f t="shared" si="76"/>
        <v>0</v>
      </c>
      <c r="P97" s="171">
        <f t="shared" si="77"/>
        <v>0</v>
      </c>
      <c r="Q97" s="170">
        <f t="shared" si="78"/>
        <v>0</v>
      </c>
      <c r="R97" s="185">
        <v>0.05</v>
      </c>
      <c r="S97" s="185">
        <v>0.05</v>
      </c>
      <c r="T97" s="185">
        <v>0.05</v>
      </c>
      <c r="U97" s="184">
        <v>0.1</v>
      </c>
      <c r="V97" s="167">
        <f t="shared" si="79"/>
        <v>0</v>
      </c>
      <c r="W97" s="167">
        <f t="shared" si="80"/>
        <v>0</v>
      </c>
      <c r="X97" s="167">
        <f t="shared" si="81"/>
        <v>0</v>
      </c>
      <c r="Y97" s="167">
        <f t="shared" si="82"/>
        <v>0</v>
      </c>
      <c r="Z97" s="183">
        <f t="shared" si="83"/>
        <v>0</v>
      </c>
      <c r="AA97" s="182">
        <v>75</v>
      </c>
      <c r="AB97" s="181"/>
      <c r="AC97" s="180">
        <v>75</v>
      </c>
      <c r="AD97" s="193"/>
    </row>
    <row r="98" spans="1:30" ht="15.75">
      <c r="A98" s="221" t="s">
        <v>76</v>
      </c>
      <c r="B98" s="191"/>
      <c r="C98" s="190">
        <v>0</v>
      </c>
      <c r="D98" s="207" t="s">
        <v>3</v>
      </c>
      <c r="E98" s="188">
        <v>804</v>
      </c>
      <c r="F98" s="174">
        <f t="shared" si="72"/>
        <v>0</v>
      </c>
      <c r="G98" s="186">
        <v>0.05</v>
      </c>
      <c r="H98" s="186">
        <v>0.02</v>
      </c>
      <c r="I98" s="186">
        <v>0.05</v>
      </c>
      <c r="J98" s="187">
        <v>0.122</v>
      </c>
      <c r="K98" s="186">
        <v>0.1</v>
      </c>
      <c r="L98" s="171">
        <f t="shared" si="73"/>
        <v>0</v>
      </c>
      <c r="M98" s="171">
        <f t="shared" si="74"/>
        <v>0</v>
      </c>
      <c r="N98" s="171">
        <f t="shared" si="75"/>
        <v>0</v>
      </c>
      <c r="O98" s="171">
        <f t="shared" si="76"/>
        <v>0</v>
      </c>
      <c r="P98" s="171">
        <f t="shared" si="77"/>
        <v>0</v>
      </c>
      <c r="Q98" s="170">
        <f t="shared" si="78"/>
        <v>0</v>
      </c>
      <c r="R98" s="185">
        <v>0.05</v>
      </c>
      <c r="S98" s="185">
        <v>0.05</v>
      </c>
      <c r="T98" s="185">
        <v>0.05</v>
      </c>
      <c r="U98" s="184">
        <v>0.1</v>
      </c>
      <c r="V98" s="167">
        <f t="shared" si="79"/>
        <v>0</v>
      </c>
      <c r="W98" s="167">
        <f t="shared" si="80"/>
        <v>0</v>
      </c>
      <c r="X98" s="167">
        <f t="shared" si="81"/>
        <v>0</v>
      </c>
      <c r="Y98" s="167">
        <f t="shared" si="82"/>
        <v>0</v>
      </c>
      <c r="Z98" s="183">
        <f t="shared" si="83"/>
        <v>0</v>
      </c>
      <c r="AA98" s="182">
        <v>75</v>
      </c>
      <c r="AB98" s="181"/>
      <c r="AC98" s="180">
        <v>75</v>
      </c>
      <c r="AD98" s="193"/>
    </row>
    <row r="99" spans="1:30" ht="15.75">
      <c r="A99" s="221" t="s">
        <v>75</v>
      </c>
      <c r="B99" s="191"/>
      <c r="C99" s="190">
        <v>0</v>
      </c>
      <c r="D99" s="207" t="s">
        <v>3</v>
      </c>
      <c r="E99" s="188">
        <v>738</v>
      </c>
      <c r="F99" s="174">
        <f t="shared" si="72"/>
        <v>0</v>
      </c>
      <c r="G99" s="186">
        <v>0.05</v>
      </c>
      <c r="H99" s="186">
        <v>0.02</v>
      </c>
      <c r="I99" s="186">
        <v>0.05</v>
      </c>
      <c r="J99" s="187">
        <v>0.122</v>
      </c>
      <c r="K99" s="186">
        <v>0.1</v>
      </c>
      <c r="L99" s="171">
        <f t="shared" si="73"/>
        <v>0</v>
      </c>
      <c r="M99" s="171">
        <f t="shared" si="74"/>
        <v>0</v>
      </c>
      <c r="N99" s="171">
        <f t="shared" si="75"/>
        <v>0</v>
      </c>
      <c r="O99" s="171">
        <f t="shared" si="76"/>
        <v>0</v>
      </c>
      <c r="P99" s="171">
        <f t="shared" si="77"/>
        <v>0</v>
      </c>
      <c r="Q99" s="170">
        <f t="shared" si="78"/>
        <v>0</v>
      </c>
      <c r="R99" s="185">
        <v>0.05</v>
      </c>
      <c r="S99" s="185">
        <v>0.05</v>
      </c>
      <c r="T99" s="185">
        <v>0.05</v>
      </c>
      <c r="U99" s="184">
        <v>0.1</v>
      </c>
      <c r="V99" s="167">
        <f t="shared" si="79"/>
        <v>0</v>
      </c>
      <c r="W99" s="167">
        <f t="shared" si="80"/>
        <v>0</v>
      </c>
      <c r="X99" s="167">
        <f t="shared" si="81"/>
        <v>0</v>
      </c>
      <c r="Y99" s="167">
        <f t="shared" si="82"/>
        <v>0</v>
      </c>
      <c r="Z99" s="183">
        <f t="shared" si="83"/>
        <v>0</v>
      </c>
      <c r="AA99" s="182">
        <v>75</v>
      </c>
      <c r="AB99" s="181"/>
      <c r="AC99" s="180">
        <v>75</v>
      </c>
      <c r="AD99" s="193"/>
    </row>
    <row r="100" spans="1:30" ht="15.75">
      <c r="A100" s="221" t="s">
        <v>74</v>
      </c>
      <c r="B100" s="191"/>
      <c r="C100" s="190">
        <v>0</v>
      </c>
      <c r="D100" s="207" t="s">
        <v>3</v>
      </c>
      <c r="E100" s="188">
        <v>607</v>
      </c>
      <c r="F100" s="174">
        <f t="shared" si="72"/>
        <v>0</v>
      </c>
      <c r="G100" s="186">
        <v>0.05</v>
      </c>
      <c r="H100" s="186">
        <v>0.02</v>
      </c>
      <c r="I100" s="186">
        <v>0.05</v>
      </c>
      <c r="J100" s="187">
        <v>0.122</v>
      </c>
      <c r="K100" s="186">
        <v>0.1</v>
      </c>
      <c r="L100" s="171">
        <f t="shared" si="73"/>
        <v>0</v>
      </c>
      <c r="M100" s="171">
        <f t="shared" si="74"/>
        <v>0</v>
      </c>
      <c r="N100" s="171">
        <f t="shared" si="75"/>
        <v>0</v>
      </c>
      <c r="O100" s="171">
        <f t="shared" si="76"/>
        <v>0</v>
      </c>
      <c r="P100" s="171">
        <f t="shared" si="77"/>
        <v>0</v>
      </c>
      <c r="Q100" s="170">
        <f t="shared" si="78"/>
        <v>0</v>
      </c>
      <c r="R100" s="185">
        <v>0.05</v>
      </c>
      <c r="S100" s="185">
        <v>0.05</v>
      </c>
      <c r="T100" s="185">
        <v>0.05</v>
      </c>
      <c r="U100" s="184">
        <v>0.1</v>
      </c>
      <c r="V100" s="167">
        <f t="shared" si="79"/>
        <v>0</v>
      </c>
      <c r="W100" s="167">
        <f t="shared" si="80"/>
        <v>0</v>
      </c>
      <c r="X100" s="167">
        <f t="shared" si="81"/>
        <v>0</v>
      </c>
      <c r="Y100" s="167">
        <f t="shared" si="82"/>
        <v>0</v>
      </c>
      <c r="Z100" s="183">
        <f t="shared" si="83"/>
        <v>0</v>
      </c>
      <c r="AA100" s="182">
        <v>75</v>
      </c>
      <c r="AB100" s="181"/>
      <c r="AC100" s="180">
        <v>75</v>
      </c>
      <c r="AD100" s="193"/>
    </row>
    <row r="101" spans="1:30" ht="15.75">
      <c r="A101" s="221" t="s">
        <v>73</v>
      </c>
      <c r="B101" s="191"/>
      <c r="C101" s="190">
        <v>0</v>
      </c>
      <c r="D101" s="207" t="s">
        <v>3</v>
      </c>
      <c r="E101" s="188">
        <v>754</v>
      </c>
      <c r="F101" s="174">
        <f t="shared" si="72"/>
        <v>0</v>
      </c>
      <c r="G101" s="186"/>
      <c r="H101" s="186"/>
      <c r="I101" s="186"/>
      <c r="J101" s="187"/>
      <c r="K101" s="186"/>
      <c r="L101" s="171">
        <f t="shared" si="73"/>
        <v>0</v>
      </c>
      <c r="M101" s="171">
        <f t="shared" si="74"/>
        <v>0</v>
      </c>
      <c r="N101" s="171">
        <f t="shared" si="75"/>
        <v>0</v>
      </c>
      <c r="O101" s="171">
        <f t="shared" si="76"/>
        <v>0</v>
      </c>
      <c r="P101" s="171">
        <f t="shared" si="77"/>
        <v>0</v>
      </c>
      <c r="Q101" s="170">
        <f t="shared" si="78"/>
        <v>0</v>
      </c>
      <c r="R101" s="185"/>
      <c r="S101" s="185"/>
      <c r="T101" s="185"/>
      <c r="U101" s="184"/>
      <c r="V101" s="167">
        <f t="shared" si="79"/>
        <v>0</v>
      </c>
      <c r="W101" s="167">
        <f t="shared" si="80"/>
        <v>0</v>
      </c>
      <c r="X101" s="167">
        <f t="shared" si="81"/>
        <v>0</v>
      </c>
      <c r="Y101" s="167">
        <f t="shared" si="82"/>
        <v>0</v>
      </c>
      <c r="Z101" s="183">
        <f t="shared" si="83"/>
        <v>0</v>
      </c>
      <c r="AA101" s="182"/>
      <c r="AB101" s="181"/>
      <c r="AC101" s="180"/>
      <c r="AD101" s="193"/>
    </row>
    <row r="102" spans="1:30" ht="15.75">
      <c r="A102" s="221" t="s">
        <v>72</v>
      </c>
      <c r="B102" s="191"/>
      <c r="C102" s="190">
        <v>0</v>
      </c>
      <c r="D102" s="207" t="s">
        <v>3</v>
      </c>
      <c r="E102" s="188">
        <v>688</v>
      </c>
      <c r="F102" s="174">
        <f t="shared" si="72"/>
        <v>0</v>
      </c>
      <c r="G102" s="186">
        <v>0.05</v>
      </c>
      <c r="H102" s="186">
        <v>0.02</v>
      </c>
      <c r="I102" s="186">
        <v>0.05</v>
      </c>
      <c r="J102" s="187">
        <v>0.122</v>
      </c>
      <c r="K102" s="186">
        <v>0.1</v>
      </c>
      <c r="L102" s="171">
        <f t="shared" si="73"/>
        <v>0</v>
      </c>
      <c r="M102" s="171">
        <f t="shared" si="74"/>
        <v>0</v>
      </c>
      <c r="N102" s="171">
        <f t="shared" si="75"/>
        <v>0</v>
      </c>
      <c r="O102" s="171">
        <f t="shared" si="76"/>
        <v>0</v>
      </c>
      <c r="P102" s="171">
        <f t="shared" si="77"/>
        <v>0</v>
      </c>
      <c r="Q102" s="170">
        <f t="shared" si="78"/>
        <v>0</v>
      </c>
      <c r="R102" s="185">
        <v>0.05</v>
      </c>
      <c r="S102" s="185">
        <v>0.05</v>
      </c>
      <c r="T102" s="185">
        <v>0.05</v>
      </c>
      <c r="U102" s="184">
        <v>0.1</v>
      </c>
      <c r="V102" s="167">
        <f t="shared" si="79"/>
        <v>0</v>
      </c>
      <c r="W102" s="167">
        <f t="shared" si="80"/>
        <v>0</v>
      </c>
      <c r="X102" s="167">
        <f t="shared" si="81"/>
        <v>0</v>
      </c>
      <c r="Y102" s="167">
        <f t="shared" si="82"/>
        <v>0</v>
      </c>
      <c r="Z102" s="183">
        <f t="shared" si="83"/>
        <v>0</v>
      </c>
      <c r="AA102" s="182">
        <v>75</v>
      </c>
      <c r="AB102" s="181"/>
      <c r="AC102" s="180">
        <v>75</v>
      </c>
      <c r="AD102" s="193"/>
    </row>
    <row r="103" spans="1:30" ht="15.75">
      <c r="A103" s="221" t="s">
        <v>71</v>
      </c>
      <c r="B103" s="191"/>
      <c r="C103" s="190">
        <v>0</v>
      </c>
      <c r="D103" s="207" t="s">
        <v>3</v>
      </c>
      <c r="E103" s="188">
        <v>623</v>
      </c>
      <c r="F103" s="174">
        <f t="shared" si="72"/>
        <v>0</v>
      </c>
      <c r="G103" s="186">
        <v>0.05</v>
      </c>
      <c r="H103" s="186">
        <v>0.02</v>
      </c>
      <c r="I103" s="186">
        <v>0.05</v>
      </c>
      <c r="J103" s="187">
        <v>0.122</v>
      </c>
      <c r="K103" s="186">
        <v>0.1</v>
      </c>
      <c r="L103" s="171">
        <f t="shared" si="73"/>
        <v>0</v>
      </c>
      <c r="M103" s="171">
        <f t="shared" si="74"/>
        <v>0</v>
      </c>
      <c r="N103" s="171">
        <f t="shared" si="75"/>
        <v>0</v>
      </c>
      <c r="O103" s="171">
        <f t="shared" si="76"/>
        <v>0</v>
      </c>
      <c r="P103" s="171">
        <f t="shared" si="77"/>
        <v>0</v>
      </c>
      <c r="Q103" s="170">
        <f t="shared" si="78"/>
        <v>0</v>
      </c>
      <c r="R103" s="185">
        <v>0.05</v>
      </c>
      <c r="S103" s="185">
        <v>0.05</v>
      </c>
      <c r="T103" s="185">
        <v>0.05</v>
      </c>
      <c r="U103" s="184">
        <v>0.1</v>
      </c>
      <c r="V103" s="167">
        <f t="shared" si="79"/>
        <v>0</v>
      </c>
      <c r="W103" s="167">
        <f t="shared" si="80"/>
        <v>0</v>
      </c>
      <c r="X103" s="167">
        <f t="shared" si="81"/>
        <v>0</v>
      </c>
      <c r="Y103" s="167">
        <f t="shared" si="82"/>
        <v>0</v>
      </c>
      <c r="Z103" s="183">
        <f t="shared" si="83"/>
        <v>0</v>
      </c>
      <c r="AA103" s="182">
        <v>75</v>
      </c>
      <c r="AB103" s="181"/>
      <c r="AC103" s="180">
        <v>75</v>
      </c>
      <c r="AD103" s="193"/>
    </row>
    <row r="104" spans="1:30" ht="15.75">
      <c r="A104" s="221" t="s">
        <v>70</v>
      </c>
      <c r="B104" s="191"/>
      <c r="C104" s="190">
        <v>0</v>
      </c>
      <c r="D104" s="207" t="s">
        <v>3</v>
      </c>
      <c r="E104" s="188">
        <v>524</v>
      </c>
      <c r="F104" s="174">
        <f t="shared" si="72"/>
        <v>0</v>
      </c>
      <c r="G104" s="186">
        <v>0.05</v>
      </c>
      <c r="H104" s="186">
        <v>0.02</v>
      </c>
      <c r="I104" s="186">
        <v>0.05</v>
      </c>
      <c r="J104" s="187">
        <v>0.122</v>
      </c>
      <c r="K104" s="186">
        <v>0.1</v>
      </c>
      <c r="L104" s="171">
        <f t="shared" si="73"/>
        <v>0</v>
      </c>
      <c r="M104" s="171">
        <f t="shared" si="74"/>
        <v>0</v>
      </c>
      <c r="N104" s="171">
        <f t="shared" si="75"/>
        <v>0</v>
      </c>
      <c r="O104" s="171">
        <f t="shared" si="76"/>
        <v>0</v>
      </c>
      <c r="P104" s="171">
        <f t="shared" si="77"/>
        <v>0</v>
      </c>
      <c r="Q104" s="170">
        <f t="shared" si="78"/>
        <v>0</v>
      </c>
      <c r="R104" s="185">
        <v>0.05</v>
      </c>
      <c r="S104" s="185">
        <v>0.05</v>
      </c>
      <c r="T104" s="185">
        <v>0.05</v>
      </c>
      <c r="U104" s="184">
        <v>0.1</v>
      </c>
      <c r="V104" s="167">
        <f t="shared" si="79"/>
        <v>0</v>
      </c>
      <c r="W104" s="167">
        <f t="shared" si="80"/>
        <v>0</v>
      </c>
      <c r="X104" s="167">
        <f t="shared" si="81"/>
        <v>0</v>
      </c>
      <c r="Y104" s="167">
        <f t="shared" si="82"/>
        <v>0</v>
      </c>
      <c r="Z104" s="183">
        <f t="shared" si="83"/>
        <v>0</v>
      </c>
      <c r="AA104" s="182">
        <v>75</v>
      </c>
      <c r="AB104" s="181"/>
      <c r="AC104" s="180">
        <v>75</v>
      </c>
      <c r="AD104" s="193"/>
    </row>
    <row r="105" spans="1:30" ht="15.75">
      <c r="A105" s="221" t="s">
        <v>69</v>
      </c>
      <c r="B105" s="191"/>
      <c r="C105" s="190">
        <v>0</v>
      </c>
      <c r="D105" s="207" t="s">
        <v>3</v>
      </c>
      <c r="E105" s="188">
        <v>663</v>
      </c>
      <c r="F105" s="174">
        <f t="shared" si="72"/>
        <v>0</v>
      </c>
      <c r="G105" s="186">
        <v>0.05</v>
      </c>
      <c r="H105" s="186">
        <v>0.02</v>
      </c>
      <c r="I105" s="186">
        <v>0.05</v>
      </c>
      <c r="J105" s="187">
        <v>0.122</v>
      </c>
      <c r="K105" s="186">
        <v>0.1</v>
      </c>
      <c r="L105" s="171">
        <f t="shared" si="73"/>
        <v>0</v>
      </c>
      <c r="M105" s="171">
        <f t="shared" si="74"/>
        <v>0</v>
      </c>
      <c r="N105" s="171">
        <f t="shared" si="75"/>
        <v>0</v>
      </c>
      <c r="O105" s="171">
        <f t="shared" si="76"/>
        <v>0</v>
      </c>
      <c r="P105" s="171">
        <f t="shared" si="77"/>
        <v>0</v>
      </c>
      <c r="Q105" s="170">
        <f t="shared" si="78"/>
        <v>0</v>
      </c>
      <c r="R105" s="185">
        <v>0.05</v>
      </c>
      <c r="S105" s="185">
        <v>0.05</v>
      </c>
      <c r="T105" s="185">
        <v>0.05</v>
      </c>
      <c r="U105" s="184">
        <v>0.1</v>
      </c>
      <c r="V105" s="167">
        <f t="shared" si="79"/>
        <v>0</v>
      </c>
      <c r="W105" s="167">
        <f t="shared" si="80"/>
        <v>0</v>
      </c>
      <c r="X105" s="167">
        <f t="shared" si="81"/>
        <v>0</v>
      </c>
      <c r="Y105" s="167">
        <f t="shared" si="82"/>
        <v>0</v>
      </c>
      <c r="Z105" s="183">
        <f t="shared" si="83"/>
        <v>0</v>
      </c>
      <c r="AA105" s="182">
        <v>75</v>
      </c>
      <c r="AB105" s="181"/>
      <c r="AC105" s="180">
        <v>75</v>
      </c>
      <c r="AD105" s="193"/>
    </row>
    <row r="106" spans="1:30" ht="15.75">
      <c r="A106" s="221" t="s">
        <v>68</v>
      </c>
      <c r="B106" s="191"/>
      <c r="C106" s="190">
        <v>0</v>
      </c>
      <c r="D106" s="207" t="s">
        <v>3</v>
      </c>
      <c r="E106" s="188">
        <v>630</v>
      </c>
      <c r="F106" s="174">
        <f t="shared" si="72"/>
        <v>0</v>
      </c>
      <c r="G106" s="186">
        <v>0.05</v>
      </c>
      <c r="H106" s="186">
        <v>0.02</v>
      </c>
      <c r="I106" s="186">
        <v>0.05</v>
      </c>
      <c r="J106" s="187">
        <v>0.122</v>
      </c>
      <c r="K106" s="186">
        <v>0.1</v>
      </c>
      <c r="L106" s="171">
        <f t="shared" si="73"/>
        <v>0</v>
      </c>
      <c r="M106" s="171">
        <f t="shared" si="74"/>
        <v>0</v>
      </c>
      <c r="N106" s="171">
        <f t="shared" si="75"/>
        <v>0</v>
      </c>
      <c r="O106" s="171">
        <f t="shared" si="76"/>
        <v>0</v>
      </c>
      <c r="P106" s="171">
        <f t="shared" si="77"/>
        <v>0</v>
      </c>
      <c r="Q106" s="170">
        <f t="shared" si="78"/>
        <v>0</v>
      </c>
      <c r="R106" s="185">
        <v>0.05</v>
      </c>
      <c r="S106" s="185">
        <v>0.05</v>
      </c>
      <c r="T106" s="185">
        <v>0.05</v>
      </c>
      <c r="U106" s="184">
        <v>0.1</v>
      </c>
      <c r="V106" s="167">
        <f t="shared" si="79"/>
        <v>0</v>
      </c>
      <c r="W106" s="167">
        <f t="shared" si="80"/>
        <v>0</v>
      </c>
      <c r="X106" s="167">
        <f t="shared" si="81"/>
        <v>0</v>
      </c>
      <c r="Y106" s="167">
        <f t="shared" si="82"/>
        <v>0</v>
      </c>
      <c r="Z106" s="183">
        <f t="shared" si="83"/>
        <v>0</v>
      </c>
      <c r="AA106" s="182">
        <v>75</v>
      </c>
      <c r="AB106" s="181"/>
      <c r="AC106" s="180">
        <v>75</v>
      </c>
      <c r="AD106" s="193"/>
    </row>
    <row r="107" spans="1:30" ht="15.75">
      <c r="A107" s="221" t="s">
        <v>67</v>
      </c>
      <c r="B107" s="191"/>
      <c r="C107" s="190">
        <v>0</v>
      </c>
      <c r="D107" s="207" t="s">
        <v>3</v>
      </c>
      <c r="E107" s="188"/>
      <c r="F107" s="174">
        <f t="shared" si="72"/>
        <v>0</v>
      </c>
      <c r="G107" s="186">
        <v>0.05</v>
      </c>
      <c r="H107" s="186">
        <v>0.02</v>
      </c>
      <c r="I107" s="186">
        <v>0.05</v>
      </c>
      <c r="J107" s="187">
        <v>0.122</v>
      </c>
      <c r="K107" s="186">
        <v>0.1</v>
      </c>
      <c r="L107" s="171">
        <f t="shared" si="73"/>
        <v>0</v>
      </c>
      <c r="M107" s="171">
        <f t="shared" si="74"/>
        <v>0</v>
      </c>
      <c r="N107" s="171">
        <f t="shared" si="75"/>
        <v>0</v>
      </c>
      <c r="O107" s="171">
        <f t="shared" si="76"/>
        <v>0</v>
      </c>
      <c r="P107" s="171">
        <f t="shared" si="77"/>
        <v>0</v>
      </c>
      <c r="Q107" s="170">
        <f t="shared" si="78"/>
        <v>0</v>
      </c>
      <c r="R107" s="185">
        <v>0.05</v>
      </c>
      <c r="S107" s="185">
        <v>0.05</v>
      </c>
      <c r="T107" s="185">
        <v>0.05</v>
      </c>
      <c r="U107" s="184">
        <v>0.1</v>
      </c>
      <c r="V107" s="167">
        <f t="shared" si="79"/>
        <v>0</v>
      </c>
      <c r="W107" s="167">
        <f t="shared" si="80"/>
        <v>0</v>
      </c>
      <c r="X107" s="167">
        <f t="shared" si="81"/>
        <v>0</v>
      </c>
      <c r="Y107" s="167">
        <f t="shared" si="82"/>
        <v>0</v>
      </c>
      <c r="Z107" s="183">
        <f t="shared" si="83"/>
        <v>0</v>
      </c>
      <c r="AA107" s="182">
        <v>75</v>
      </c>
      <c r="AB107" s="181"/>
      <c r="AC107" s="180">
        <v>75</v>
      </c>
      <c r="AD107" s="193"/>
    </row>
    <row r="108" spans="1:30" ht="15.75">
      <c r="A108" s="221" t="s">
        <v>66</v>
      </c>
      <c r="B108" s="191"/>
      <c r="C108" s="190">
        <v>0</v>
      </c>
      <c r="D108" s="207" t="s">
        <v>3</v>
      </c>
      <c r="E108" s="188">
        <v>572</v>
      </c>
      <c r="F108" s="174">
        <f t="shared" si="72"/>
        <v>0</v>
      </c>
      <c r="G108" s="186">
        <v>0.05</v>
      </c>
      <c r="H108" s="186">
        <v>0.02</v>
      </c>
      <c r="I108" s="186">
        <v>0.05</v>
      </c>
      <c r="J108" s="187">
        <v>0.122</v>
      </c>
      <c r="K108" s="186">
        <v>0.1</v>
      </c>
      <c r="L108" s="171">
        <f t="shared" si="73"/>
        <v>0</v>
      </c>
      <c r="M108" s="171">
        <f t="shared" si="74"/>
        <v>0</v>
      </c>
      <c r="N108" s="171">
        <f t="shared" si="75"/>
        <v>0</v>
      </c>
      <c r="O108" s="171">
        <f t="shared" si="76"/>
        <v>0</v>
      </c>
      <c r="P108" s="171">
        <f t="shared" si="77"/>
        <v>0</v>
      </c>
      <c r="Q108" s="170">
        <f t="shared" si="78"/>
        <v>0</v>
      </c>
      <c r="R108" s="185">
        <v>0.05</v>
      </c>
      <c r="S108" s="185">
        <v>0.05</v>
      </c>
      <c r="T108" s="185">
        <v>0.05</v>
      </c>
      <c r="U108" s="184">
        <v>0.1</v>
      </c>
      <c r="V108" s="167">
        <f t="shared" si="79"/>
        <v>0</v>
      </c>
      <c r="W108" s="167">
        <f t="shared" si="80"/>
        <v>0</v>
      </c>
      <c r="X108" s="167">
        <f t="shared" si="81"/>
        <v>0</v>
      </c>
      <c r="Y108" s="167">
        <f t="shared" si="82"/>
        <v>0</v>
      </c>
      <c r="Z108" s="183">
        <f t="shared" si="83"/>
        <v>0</v>
      </c>
      <c r="AA108" s="182">
        <v>75</v>
      </c>
      <c r="AB108" s="181"/>
      <c r="AC108" s="180">
        <v>75</v>
      </c>
      <c r="AD108" s="193"/>
    </row>
    <row r="109" spans="1:30" ht="15.75">
      <c r="A109" s="221" t="s">
        <v>65</v>
      </c>
      <c r="B109" s="191"/>
      <c r="C109" s="190">
        <v>0</v>
      </c>
      <c r="D109" s="207" t="s">
        <v>3</v>
      </c>
      <c r="E109" s="188"/>
      <c r="F109" s="174">
        <f t="shared" si="72"/>
        <v>0</v>
      </c>
      <c r="G109" s="186">
        <v>0.05</v>
      </c>
      <c r="H109" s="186">
        <v>0.02</v>
      </c>
      <c r="I109" s="186">
        <v>0.05</v>
      </c>
      <c r="J109" s="187">
        <v>0.122</v>
      </c>
      <c r="K109" s="186">
        <v>0.1</v>
      </c>
      <c r="L109" s="171">
        <f t="shared" si="73"/>
        <v>0</v>
      </c>
      <c r="M109" s="171">
        <f t="shared" si="74"/>
        <v>0</v>
      </c>
      <c r="N109" s="171">
        <f t="shared" si="75"/>
        <v>0</v>
      </c>
      <c r="O109" s="171">
        <f t="shared" si="76"/>
        <v>0</v>
      </c>
      <c r="P109" s="171">
        <f t="shared" si="77"/>
        <v>0</v>
      </c>
      <c r="Q109" s="170">
        <f t="shared" si="78"/>
        <v>0</v>
      </c>
      <c r="R109" s="185">
        <v>0.05</v>
      </c>
      <c r="S109" s="185">
        <v>0.05</v>
      </c>
      <c r="T109" s="185">
        <v>0.05</v>
      </c>
      <c r="U109" s="184">
        <v>0.1</v>
      </c>
      <c r="V109" s="167">
        <f t="shared" si="79"/>
        <v>0</v>
      </c>
      <c r="W109" s="167">
        <f t="shared" si="80"/>
        <v>0</v>
      </c>
      <c r="X109" s="167">
        <f t="shared" si="81"/>
        <v>0</v>
      </c>
      <c r="Y109" s="167">
        <f t="shared" si="82"/>
        <v>0</v>
      </c>
      <c r="Z109" s="183">
        <f t="shared" si="83"/>
        <v>0</v>
      </c>
      <c r="AA109" s="182">
        <v>75</v>
      </c>
      <c r="AB109" s="181"/>
      <c r="AC109" s="180">
        <v>75</v>
      </c>
      <c r="AD109" s="193"/>
    </row>
    <row r="110" spans="1:30" ht="15.75">
      <c r="A110" s="221" t="s">
        <v>64</v>
      </c>
      <c r="B110" s="191"/>
      <c r="C110" s="190">
        <v>0</v>
      </c>
      <c r="D110" s="207" t="s">
        <v>3</v>
      </c>
      <c r="E110" s="188"/>
      <c r="F110" s="174">
        <f t="shared" si="72"/>
        <v>0</v>
      </c>
      <c r="G110" s="186">
        <v>0.05</v>
      </c>
      <c r="H110" s="186">
        <v>0.02</v>
      </c>
      <c r="I110" s="186">
        <v>0.05</v>
      </c>
      <c r="J110" s="187">
        <v>0.122</v>
      </c>
      <c r="K110" s="186">
        <v>0.1</v>
      </c>
      <c r="L110" s="171">
        <f t="shared" si="73"/>
        <v>0</v>
      </c>
      <c r="M110" s="171">
        <f t="shared" si="74"/>
        <v>0</v>
      </c>
      <c r="N110" s="171">
        <f t="shared" si="75"/>
        <v>0</v>
      </c>
      <c r="O110" s="171">
        <f t="shared" si="76"/>
        <v>0</v>
      </c>
      <c r="P110" s="171">
        <f t="shared" si="77"/>
        <v>0</v>
      </c>
      <c r="Q110" s="170">
        <f t="shared" si="78"/>
        <v>0</v>
      </c>
      <c r="R110" s="185">
        <v>0.05</v>
      </c>
      <c r="S110" s="185">
        <v>0.05</v>
      </c>
      <c r="T110" s="185">
        <v>0.05</v>
      </c>
      <c r="U110" s="184">
        <v>0.1</v>
      </c>
      <c r="V110" s="167">
        <f t="shared" si="79"/>
        <v>0</v>
      </c>
      <c r="W110" s="167">
        <f t="shared" si="80"/>
        <v>0</v>
      </c>
      <c r="X110" s="167">
        <f t="shared" si="81"/>
        <v>0</v>
      </c>
      <c r="Y110" s="167">
        <f t="shared" si="82"/>
        <v>0</v>
      </c>
      <c r="Z110" s="183">
        <f t="shared" si="83"/>
        <v>0</v>
      </c>
      <c r="AA110" s="182">
        <v>75</v>
      </c>
      <c r="AB110" s="181"/>
      <c r="AC110" s="180">
        <v>75</v>
      </c>
      <c r="AD110" s="193"/>
    </row>
    <row r="111" spans="1:30" ht="15.75">
      <c r="A111" s="221" t="s">
        <v>63</v>
      </c>
      <c r="B111" s="191"/>
      <c r="C111" s="190">
        <v>0</v>
      </c>
      <c r="D111" s="207" t="s">
        <v>3</v>
      </c>
      <c r="E111" s="188"/>
      <c r="F111" s="174">
        <f t="shared" si="72"/>
        <v>0</v>
      </c>
      <c r="G111" s="186">
        <v>0.05</v>
      </c>
      <c r="H111" s="186">
        <v>0.02</v>
      </c>
      <c r="I111" s="186">
        <v>0.05</v>
      </c>
      <c r="J111" s="187">
        <v>0.122</v>
      </c>
      <c r="K111" s="186">
        <v>0.1</v>
      </c>
      <c r="L111" s="171">
        <f t="shared" si="73"/>
        <v>0</v>
      </c>
      <c r="M111" s="171">
        <f t="shared" si="74"/>
        <v>0</v>
      </c>
      <c r="N111" s="171">
        <f t="shared" si="75"/>
        <v>0</v>
      </c>
      <c r="O111" s="171">
        <f t="shared" si="76"/>
        <v>0</v>
      </c>
      <c r="P111" s="171">
        <f t="shared" si="77"/>
        <v>0</v>
      </c>
      <c r="Q111" s="170">
        <f t="shared" si="78"/>
        <v>0</v>
      </c>
      <c r="R111" s="185">
        <v>0.05</v>
      </c>
      <c r="S111" s="185">
        <v>0.05</v>
      </c>
      <c r="T111" s="185">
        <v>0.05</v>
      </c>
      <c r="U111" s="184">
        <v>0.1</v>
      </c>
      <c r="V111" s="167">
        <f t="shared" si="79"/>
        <v>0</v>
      </c>
      <c r="W111" s="167">
        <f t="shared" si="80"/>
        <v>0</v>
      </c>
      <c r="X111" s="167">
        <f t="shared" si="81"/>
        <v>0</v>
      </c>
      <c r="Y111" s="167">
        <f t="shared" si="82"/>
        <v>0</v>
      </c>
      <c r="Z111" s="183">
        <f t="shared" si="83"/>
        <v>0</v>
      </c>
      <c r="AA111" s="182">
        <v>75</v>
      </c>
      <c r="AB111" s="181"/>
      <c r="AC111" s="180">
        <v>75</v>
      </c>
      <c r="AD111" s="193"/>
    </row>
    <row r="112" spans="1:30" ht="15.75">
      <c r="A112" s="221" t="s">
        <v>62</v>
      </c>
      <c r="B112" s="191"/>
      <c r="C112" s="190">
        <v>0</v>
      </c>
      <c r="D112" s="207" t="s">
        <v>3</v>
      </c>
      <c r="E112" s="188"/>
      <c r="F112" s="174">
        <f t="shared" si="72"/>
        <v>0</v>
      </c>
      <c r="G112" s="186">
        <v>0.05</v>
      </c>
      <c r="H112" s="186">
        <v>0.02</v>
      </c>
      <c r="I112" s="186">
        <v>0.05</v>
      </c>
      <c r="J112" s="187">
        <v>0.122</v>
      </c>
      <c r="K112" s="186">
        <v>0.1</v>
      </c>
      <c r="L112" s="171">
        <f t="shared" si="73"/>
        <v>0</v>
      </c>
      <c r="M112" s="171">
        <f t="shared" si="74"/>
        <v>0</v>
      </c>
      <c r="N112" s="171">
        <f t="shared" si="75"/>
        <v>0</v>
      </c>
      <c r="O112" s="171">
        <f t="shared" si="76"/>
        <v>0</v>
      </c>
      <c r="P112" s="171">
        <f t="shared" si="77"/>
        <v>0</v>
      </c>
      <c r="Q112" s="170">
        <f t="shared" si="78"/>
        <v>0</v>
      </c>
      <c r="R112" s="185">
        <v>0.05</v>
      </c>
      <c r="S112" s="185">
        <v>0.05</v>
      </c>
      <c r="T112" s="185">
        <v>0.05</v>
      </c>
      <c r="U112" s="184">
        <v>0.1</v>
      </c>
      <c r="V112" s="167">
        <f t="shared" si="79"/>
        <v>0</v>
      </c>
      <c r="W112" s="167">
        <f t="shared" si="80"/>
        <v>0</v>
      </c>
      <c r="X112" s="167">
        <f t="shared" si="81"/>
        <v>0</v>
      </c>
      <c r="Y112" s="167">
        <f t="shared" si="82"/>
        <v>0</v>
      </c>
      <c r="Z112" s="183">
        <f t="shared" si="83"/>
        <v>0</v>
      </c>
      <c r="AA112" s="182">
        <v>75</v>
      </c>
      <c r="AB112" s="181"/>
      <c r="AC112" s="180">
        <v>75</v>
      </c>
      <c r="AD112" s="193"/>
    </row>
    <row r="113" spans="1:30" ht="15.75">
      <c r="A113" s="221" t="s">
        <v>61</v>
      </c>
      <c r="B113" s="191"/>
      <c r="C113" s="190">
        <v>0</v>
      </c>
      <c r="D113" s="207" t="s">
        <v>3</v>
      </c>
      <c r="E113" s="188"/>
      <c r="F113" s="174">
        <f t="shared" si="72"/>
        <v>0</v>
      </c>
      <c r="G113" s="186">
        <v>0.05</v>
      </c>
      <c r="H113" s="186">
        <v>0.02</v>
      </c>
      <c r="I113" s="186">
        <v>0.05</v>
      </c>
      <c r="J113" s="187">
        <v>0.122</v>
      </c>
      <c r="K113" s="186">
        <v>0.1</v>
      </c>
      <c r="L113" s="171">
        <f t="shared" si="73"/>
        <v>0</v>
      </c>
      <c r="M113" s="171">
        <f t="shared" si="74"/>
        <v>0</v>
      </c>
      <c r="N113" s="171">
        <f t="shared" si="75"/>
        <v>0</v>
      </c>
      <c r="O113" s="171">
        <f t="shared" si="76"/>
        <v>0</v>
      </c>
      <c r="P113" s="171">
        <f t="shared" si="77"/>
        <v>0</v>
      </c>
      <c r="Q113" s="170">
        <f t="shared" si="78"/>
        <v>0</v>
      </c>
      <c r="R113" s="185">
        <v>0.05</v>
      </c>
      <c r="S113" s="185">
        <v>0.05</v>
      </c>
      <c r="T113" s="185">
        <v>0.05</v>
      </c>
      <c r="U113" s="184">
        <v>0.1</v>
      </c>
      <c r="V113" s="167">
        <f t="shared" si="79"/>
        <v>0</v>
      </c>
      <c r="W113" s="167">
        <f t="shared" si="80"/>
        <v>0</v>
      </c>
      <c r="X113" s="167">
        <f t="shared" si="81"/>
        <v>0</v>
      </c>
      <c r="Y113" s="167">
        <f t="shared" si="82"/>
        <v>0</v>
      </c>
      <c r="Z113" s="183">
        <f t="shared" si="83"/>
        <v>0</v>
      </c>
      <c r="AA113" s="182">
        <v>75</v>
      </c>
      <c r="AB113" s="181"/>
      <c r="AC113" s="180">
        <v>75</v>
      </c>
      <c r="AD113" s="193"/>
    </row>
    <row r="114" spans="1:30" ht="15.75">
      <c r="A114" s="221" t="s">
        <v>60</v>
      </c>
      <c r="B114" s="191"/>
      <c r="C114" s="190">
        <v>0</v>
      </c>
      <c r="D114" s="207" t="s">
        <v>3</v>
      </c>
      <c r="E114" s="188"/>
      <c r="F114" s="174">
        <f t="shared" si="72"/>
        <v>0</v>
      </c>
      <c r="G114" s="186">
        <v>0.05</v>
      </c>
      <c r="H114" s="186">
        <v>0.02</v>
      </c>
      <c r="I114" s="186">
        <v>0.05</v>
      </c>
      <c r="J114" s="187">
        <v>0.122</v>
      </c>
      <c r="K114" s="186">
        <v>0.1</v>
      </c>
      <c r="L114" s="171">
        <f t="shared" si="73"/>
        <v>0</v>
      </c>
      <c r="M114" s="171">
        <f t="shared" si="74"/>
        <v>0</v>
      </c>
      <c r="N114" s="171">
        <f t="shared" si="75"/>
        <v>0</v>
      </c>
      <c r="O114" s="171">
        <f t="shared" si="76"/>
        <v>0</v>
      </c>
      <c r="P114" s="171">
        <f t="shared" si="77"/>
        <v>0</v>
      </c>
      <c r="Q114" s="170">
        <f t="shared" si="78"/>
        <v>0</v>
      </c>
      <c r="R114" s="185">
        <v>0.05</v>
      </c>
      <c r="S114" s="185">
        <v>0.05</v>
      </c>
      <c r="T114" s="185">
        <v>0.05</v>
      </c>
      <c r="U114" s="184">
        <v>0.1</v>
      </c>
      <c r="V114" s="167">
        <f t="shared" si="79"/>
        <v>0</v>
      </c>
      <c r="W114" s="167">
        <f t="shared" si="80"/>
        <v>0</v>
      </c>
      <c r="X114" s="167">
        <f t="shared" si="81"/>
        <v>0</v>
      </c>
      <c r="Y114" s="167">
        <f t="shared" si="82"/>
        <v>0</v>
      </c>
      <c r="Z114" s="183">
        <f t="shared" si="83"/>
        <v>0</v>
      </c>
      <c r="AA114" s="182">
        <v>75</v>
      </c>
      <c r="AB114" s="181"/>
      <c r="AC114" s="180">
        <v>75</v>
      </c>
      <c r="AD114" s="193"/>
    </row>
    <row r="115" spans="1:30" ht="15.75">
      <c r="A115" s="221" t="s">
        <v>59</v>
      </c>
      <c r="B115" s="191"/>
      <c r="C115" s="190">
        <v>0</v>
      </c>
      <c r="D115" s="207" t="s">
        <v>3</v>
      </c>
      <c r="E115" s="188"/>
      <c r="F115" s="174">
        <f t="shared" si="72"/>
        <v>0</v>
      </c>
      <c r="G115" s="186">
        <v>0.05</v>
      </c>
      <c r="H115" s="186">
        <v>0.02</v>
      </c>
      <c r="I115" s="186">
        <v>0.05</v>
      </c>
      <c r="J115" s="187">
        <v>0.122</v>
      </c>
      <c r="K115" s="186">
        <v>0.1</v>
      </c>
      <c r="L115" s="171">
        <f t="shared" si="73"/>
        <v>0</v>
      </c>
      <c r="M115" s="171">
        <f t="shared" si="74"/>
        <v>0</v>
      </c>
      <c r="N115" s="171">
        <f t="shared" si="75"/>
        <v>0</v>
      </c>
      <c r="O115" s="171">
        <f t="shared" si="76"/>
        <v>0</v>
      </c>
      <c r="P115" s="171">
        <f t="shared" si="77"/>
        <v>0</v>
      </c>
      <c r="Q115" s="170">
        <f t="shared" si="78"/>
        <v>0</v>
      </c>
      <c r="R115" s="185">
        <v>0.05</v>
      </c>
      <c r="S115" s="185">
        <v>0.05</v>
      </c>
      <c r="T115" s="185">
        <v>0.05</v>
      </c>
      <c r="U115" s="184">
        <v>0.1</v>
      </c>
      <c r="V115" s="167">
        <f t="shared" si="79"/>
        <v>0</v>
      </c>
      <c r="W115" s="167">
        <f t="shared" si="80"/>
        <v>0</v>
      </c>
      <c r="X115" s="167">
        <f t="shared" si="81"/>
        <v>0</v>
      </c>
      <c r="Y115" s="167">
        <f t="shared" si="82"/>
        <v>0</v>
      </c>
      <c r="Z115" s="183">
        <f t="shared" si="83"/>
        <v>0</v>
      </c>
      <c r="AA115" s="182">
        <v>75</v>
      </c>
      <c r="AB115" s="181"/>
      <c r="AC115" s="180">
        <v>75</v>
      </c>
      <c r="AD115" s="193"/>
    </row>
    <row r="116" spans="1:30" ht="15.75">
      <c r="A116" s="221" t="s">
        <v>58</v>
      </c>
      <c r="B116" s="191"/>
      <c r="C116" s="190">
        <v>0</v>
      </c>
      <c r="D116" s="207" t="s">
        <v>3</v>
      </c>
      <c r="E116" s="188"/>
      <c r="F116" s="174">
        <f t="shared" si="72"/>
        <v>0</v>
      </c>
      <c r="G116" s="186">
        <v>0.05</v>
      </c>
      <c r="H116" s="186">
        <v>0.02</v>
      </c>
      <c r="I116" s="186">
        <v>0.05</v>
      </c>
      <c r="J116" s="187">
        <v>0.122</v>
      </c>
      <c r="K116" s="186">
        <v>0.1</v>
      </c>
      <c r="L116" s="171">
        <f t="shared" si="73"/>
        <v>0</v>
      </c>
      <c r="M116" s="171">
        <f t="shared" si="74"/>
        <v>0</v>
      </c>
      <c r="N116" s="171">
        <f t="shared" si="75"/>
        <v>0</v>
      </c>
      <c r="O116" s="171">
        <f t="shared" si="76"/>
        <v>0</v>
      </c>
      <c r="P116" s="171">
        <f t="shared" si="77"/>
        <v>0</v>
      </c>
      <c r="Q116" s="170">
        <f t="shared" si="78"/>
        <v>0</v>
      </c>
      <c r="R116" s="185">
        <v>0.05</v>
      </c>
      <c r="S116" s="185">
        <v>0.05</v>
      </c>
      <c r="T116" s="185">
        <v>0.05</v>
      </c>
      <c r="U116" s="184">
        <v>0.1</v>
      </c>
      <c r="V116" s="167">
        <f t="shared" si="79"/>
        <v>0</v>
      </c>
      <c r="W116" s="167">
        <f t="shared" si="80"/>
        <v>0</v>
      </c>
      <c r="X116" s="167">
        <f t="shared" si="81"/>
        <v>0</v>
      </c>
      <c r="Y116" s="167">
        <f t="shared" si="82"/>
        <v>0</v>
      </c>
      <c r="Z116" s="183">
        <f t="shared" si="83"/>
        <v>0</v>
      </c>
      <c r="AA116" s="182">
        <v>75</v>
      </c>
      <c r="AB116" s="181"/>
      <c r="AC116" s="180">
        <v>75</v>
      </c>
      <c r="AD116" s="193"/>
    </row>
    <row r="117" spans="1:30" ht="15.75">
      <c r="A117" s="221" t="s">
        <v>57</v>
      </c>
      <c r="B117" s="191"/>
      <c r="C117" s="190">
        <v>0</v>
      </c>
      <c r="D117" s="207" t="s">
        <v>3</v>
      </c>
      <c r="E117" s="188"/>
      <c r="F117" s="174">
        <f t="shared" si="72"/>
        <v>0</v>
      </c>
      <c r="G117" s="186">
        <v>0.05</v>
      </c>
      <c r="H117" s="186">
        <v>0.02</v>
      </c>
      <c r="I117" s="186">
        <v>0.05</v>
      </c>
      <c r="J117" s="187">
        <v>0.122</v>
      </c>
      <c r="K117" s="186">
        <v>0.1</v>
      </c>
      <c r="L117" s="171">
        <f t="shared" si="73"/>
        <v>0</v>
      </c>
      <c r="M117" s="171">
        <f t="shared" si="74"/>
        <v>0</v>
      </c>
      <c r="N117" s="171">
        <f t="shared" si="75"/>
        <v>0</v>
      </c>
      <c r="O117" s="171">
        <f t="shared" si="76"/>
        <v>0</v>
      </c>
      <c r="P117" s="171">
        <f t="shared" si="77"/>
        <v>0</v>
      </c>
      <c r="Q117" s="170">
        <f t="shared" si="78"/>
        <v>0</v>
      </c>
      <c r="R117" s="185">
        <v>0.05</v>
      </c>
      <c r="S117" s="185">
        <v>0.05</v>
      </c>
      <c r="T117" s="185">
        <v>0.05</v>
      </c>
      <c r="U117" s="184">
        <v>0.1</v>
      </c>
      <c r="V117" s="167">
        <f t="shared" si="79"/>
        <v>0</v>
      </c>
      <c r="W117" s="167">
        <f t="shared" si="80"/>
        <v>0</v>
      </c>
      <c r="X117" s="167">
        <f t="shared" si="81"/>
        <v>0</v>
      </c>
      <c r="Y117" s="167">
        <f t="shared" si="82"/>
        <v>0</v>
      </c>
      <c r="Z117" s="183">
        <f t="shared" si="83"/>
        <v>0</v>
      </c>
      <c r="AA117" s="182">
        <v>75</v>
      </c>
      <c r="AB117" s="181"/>
      <c r="AC117" s="180">
        <v>75</v>
      </c>
      <c r="AD117" s="193"/>
    </row>
    <row r="118" spans="1:30" ht="15.75">
      <c r="A118" s="221" t="s">
        <v>56</v>
      </c>
      <c r="B118" s="191"/>
      <c r="C118" s="190">
        <v>200</v>
      </c>
      <c r="D118" s="207" t="s">
        <v>3</v>
      </c>
      <c r="E118" s="188">
        <v>265</v>
      </c>
      <c r="F118" s="174">
        <f t="shared" si="72"/>
        <v>53000</v>
      </c>
      <c r="G118" s="186">
        <v>0.05</v>
      </c>
      <c r="H118" s="186">
        <v>0.02</v>
      </c>
      <c r="I118" s="186">
        <v>0.05</v>
      </c>
      <c r="J118" s="187">
        <v>0.122</v>
      </c>
      <c r="K118" s="186">
        <v>0.1</v>
      </c>
      <c r="L118" s="171">
        <f t="shared" si="73"/>
        <v>2650</v>
      </c>
      <c r="M118" s="171">
        <f t="shared" si="74"/>
        <v>1113</v>
      </c>
      <c r="N118" s="171">
        <f t="shared" si="75"/>
        <v>2838.15</v>
      </c>
      <c r="O118" s="171">
        <f t="shared" si="76"/>
        <v>7271.3402999999998</v>
      </c>
      <c r="P118" s="171">
        <f t="shared" si="77"/>
        <v>6687.2490300000009</v>
      </c>
      <c r="Q118" s="170">
        <f t="shared" si="78"/>
        <v>73559.739329999997</v>
      </c>
      <c r="R118" s="185">
        <v>0.05</v>
      </c>
      <c r="S118" s="185">
        <v>0.05</v>
      </c>
      <c r="T118" s="185">
        <v>0.05</v>
      </c>
      <c r="U118" s="184">
        <v>0.1</v>
      </c>
      <c r="V118" s="167">
        <f t="shared" si="79"/>
        <v>3677.9869665000001</v>
      </c>
      <c r="W118" s="167">
        <f t="shared" si="80"/>
        <v>3677.9869665000001</v>
      </c>
      <c r="X118" s="167">
        <f t="shared" si="81"/>
        <v>3677.9869665000001</v>
      </c>
      <c r="Y118" s="167">
        <f t="shared" si="82"/>
        <v>735.59739330000002</v>
      </c>
      <c r="Z118" s="183">
        <f t="shared" si="83"/>
        <v>85329.29762279999</v>
      </c>
      <c r="AA118" s="182">
        <v>75</v>
      </c>
      <c r="AB118" s="181"/>
      <c r="AC118" s="180">
        <v>75</v>
      </c>
      <c r="AD118" s="193"/>
    </row>
    <row r="119" spans="1:30" ht="15.75">
      <c r="A119" s="221" t="s">
        <v>55</v>
      </c>
      <c r="B119" s="191"/>
      <c r="C119" s="190">
        <v>0</v>
      </c>
      <c r="D119" s="207" t="s">
        <v>3</v>
      </c>
      <c r="E119" s="188"/>
      <c r="F119" s="174">
        <f t="shared" si="72"/>
        <v>0</v>
      </c>
      <c r="G119" s="186">
        <v>0.05</v>
      </c>
      <c r="H119" s="186">
        <v>0.02</v>
      </c>
      <c r="I119" s="186">
        <v>0.05</v>
      </c>
      <c r="J119" s="187">
        <v>0.122</v>
      </c>
      <c r="K119" s="186">
        <v>0.1</v>
      </c>
      <c r="L119" s="171">
        <f t="shared" si="73"/>
        <v>0</v>
      </c>
      <c r="M119" s="171">
        <f t="shared" si="74"/>
        <v>0</v>
      </c>
      <c r="N119" s="171">
        <f t="shared" si="75"/>
        <v>0</v>
      </c>
      <c r="O119" s="171">
        <f t="shared" si="76"/>
        <v>0</v>
      </c>
      <c r="P119" s="171">
        <f t="shared" si="77"/>
        <v>0</v>
      </c>
      <c r="Q119" s="170">
        <f t="shared" si="78"/>
        <v>0</v>
      </c>
      <c r="R119" s="185">
        <v>0.05</v>
      </c>
      <c r="S119" s="185">
        <v>0.05</v>
      </c>
      <c r="T119" s="185">
        <v>0.05</v>
      </c>
      <c r="U119" s="184">
        <v>0.1</v>
      </c>
      <c r="V119" s="167">
        <f t="shared" si="79"/>
        <v>0</v>
      </c>
      <c r="W119" s="167">
        <f t="shared" si="80"/>
        <v>0</v>
      </c>
      <c r="X119" s="167">
        <f t="shared" si="81"/>
        <v>0</v>
      </c>
      <c r="Y119" s="167">
        <f t="shared" si="82"/>
        <v>0</v>
      </c>
      <c r="Z119" s="183">
        <f t="shared" si="83"/>
        <v>0</v>
      </c>
      <c r="AA119" s="182">
        <v>75</v>
      </c>
      <c r="AB119" s="181"/>
      <c r="AC119" s="180">
        <v>75</v>
      </c>
      <c r="AD119" s="193"/>
    </row>
    <row r="120" spans="1:30" ht="15.75">
      <c r="A120" s="221" t="s">
        <v>54</v>
      </c>
      <c r="B120" s="191"/>
      <c r="C120" s="190">
        <v>0</v>
      </c>
      <c r="D120" s="207" t="s">
        <v>3</v>
      </c>
      <c r="E120" s="188"/>
      <c r="F120" s="174">
        <f t="shared" si="72"/>
        <v>0</v>
      </c>
      <c r="G120" s="186">
        <v>0.05</v>
      </c>
      <c r="H120" s="186">
        <v>0.02</v>
      </c>
      <c r="I120" s="186">
        <v>0.05</v>
      </c>
      <c r="J120" s="187">
        <v>0.122</v>
      </c>
      <c r="K120" s="186">
        <v>0.1</v>
      </c>
      <c r="L120" s="171">
        <f t="shared" si="73"/>
        <v>0</v>
      </c>
      <c r="M120" s="171">
        <f t="shared" si="74"/>
        <v>0</v>
      </c>
      <c r="N120" s="171">
        <f t="shared" si="75"/>
        <v>0</v>
      </c>
      <c r="O120" s="171">
        <f t="shared" si="76"/>
        <v>0</v>
      </c>
      <c r="P120" s="171">
        <f t="shared" si="77"/>
        <v>0</v>
      </c>
      <c r="Q120" s="170">
        <f t="shared" si="78"/>
        <v>0</v>
      </c>
      <c r="R120" s="185">
        <v>0.05</v>
      </c>
      <c r="S120" s="185">
        <v>0.05</v>
      </c>
      <c r="T120" s="185">
        <v>0.05</v>
      </c>
      <c r="U120" s="184">
        <v>0.1</v>
      </c>
      <c r="V120" s="167">
        <f t="shared" si="79"/>
        <v>0</v>
      </c>
      <c r="W120" s="167">
        <f t="shared" si="80"/>
        <v>0</v>
      </c>
      <c r="X120" s="167">
        <f t="shared" si="81"/>
        <v>0</v>
      </c>
      <c r="Y120" s="167">
        <f t="shared" si="82"/>
        <v>0</v>
      </c>
      <c r="Z120" s="183">
        <f t="shared" si="83"/>
        <v>0</v>
      </c>
      <c r="AA120" s="182">
        <v>75</v>
      </c>
      <c r="AB120" s="181"/>
      <c r="AC120" s="180">
        <v>75</v>
      </c>
      <c r="AD120" s="193"/>
    </row>
    <row r="121" spans="1:30" ht="90">
      <c r="A121" s="219" t="s">
        <v>53</v>
      </c>
      <c r="B121" s="205"/>
      <c r="C121" s="204"/>
      <c r="D121" s="210"/>
      <c r="E121" s="209"/>
      <c r="F121" s="200"/>
      <c r="G121" s="200"/>
      <c r="H121" s="200"/>
      <c r="I121" s="200"/>
      <c r="J121" s="201"/>
      <c r="K121" s="200"/>
      <c r="L121" s="200"/>
      <c r="M121" s="200"/>
      <c r="N121" s="200"/>
      <c r="O121" s="200"/>
      <c r="P121" s="200"/>
      <c r="Q121" s="200"/>
      <c r="R121" s="199"/>
      <c r="S121" s="199"/>
      <c r="T121" s="199"/>
      <c r="U121" s="197"/>
      <c r="V121" s="197"/>
      <c r="W121" s="197"/>
      <c r="X121" s="197"/>
      <c r="Y121" s="197"/>
      <c r="Z121" s="198"/>
      <c r="AA121" s="218"/>
      <c r="AB121" s="196"/>
      <c r="AC121" s="195"/>
      <c r="AD121" s="194"/>
    </row>
    <row r="122" spans="1:30" ht="60">
      <c r="A122" s="217" t="s">
        <v>52</v>
      </c>
      <c r="B122" s="216"/>
      <c r="C122" s="215"/>
      <c r="D122" s="214"/>
      <c r="E122" s="213"/>
      <c r="F122" s="186"/>
      <c r="G122" s="186"/>
      <c r="H122" s="186"/>
      <c r="I122" s="186"/>
      <c r="J122" s="187"/>
      <c r="K122" s="186"/>
      <c r="L122" s="186"/>
      <c r="M122" s="186"/>
      <c r="N122" s="186"/>
      <c r="O122" s="186"/>
      <c r="P122" s="186"/>
      <c r="Q122" s="186"/>
      <c r="R122" s="185"/>
      <c r="S122" s="185"/>
      <c r="T122" s="185"/>
      <c r="U122" s="184"/>
      <c r="V122" s="184"/>
      <c r="W122" s="184"/>
      <c r="X122" s="184"/>
      <c r="Y122" s="184"/>
      <c r="Z122" s="212"/>
      <c r="AA122" s="182"/>
      <c r="AB122" s="181"/>
      <c r="AC122" s="180"/>
      <c r="AD122" s="211"/>
    </row>
    <row r="123" spans="1:30" ht="30">
      <c r="A123" s="192" t="s">
        <v>51</v>
      </c>
      <c r="B123" s="191"/>
      <c r="C123" s="190">
        <v>0</v>
      </c>
      <c r="D123" s="189" t="s">
        <v>3</v>
      </c>
      <c r="E123" s="188">
        <v>200</v>
      </c>
      <c r="F123" s="174">
        <f>E123*C123</f>
        <v>0</v>
      </c>
      <c r="G123" s="186">
        <v>0.05</v>
      </c>
      <c r="H123" s="186">
        <v>0.02</v>
      </c>
      <c r="I123" s="186">
        <v>0.05</v>
      </c>
      <c r="J123" s="187">
        <v>0.122</v>
      </c>
      <c r="K123" s="186">
        <v>0.1</v>
      </c>
      <c r="L123" s="171">
        <f>F123*G123</f>
        <v>0</v>
      </c>
      <c r="M123" s="171">
        <f>(F123+L123)*H123</f>
        <v>0</v>
      </c>
      <c r="N123" s="171">
        <f>(F123+L123+M123)*I123</f>
        <v>0</v>
      </c>
      <c r="O123" s="171">
        <f>(F123+L123+M123+N123)*J123</f>
        <v>0</v>
      </c>
      <c r="P123" s="171">
        <f>(F123+L123+M123+N123+O123)*K123</f>
        <v>0</v>
      </c>
      <c r="Q123" s="170">
        <f>F123+SUM(L123:P123)</f>
        <v>0</v>
      </c>
      <c r="R123" s="185">
        <v>0.05</v>
      </c>
      <c r="S123" s="185">
        <v>0.05</v>
      </c>
      <c r="T123" s="185">
        <v>0.05</v>
      </c>
      <c r="U123" s="184">
        <v>0.1</v>
      </c>
      <c r="V123" s="167">
        <f>Q123*R123</f>
        <v>0</v>
      </c>
      <c r="W123" s="167">
        <f>Q123*S123</f>
        <v>0</v>
      </c>
      <c r="X123" s="167">
        <f>Q123*T123</f>
        <v>0</v>
      </c>
      <c r="Y123" s="167">
        <f>U123*(V123+W123)</f>
        <v>0</v>
      </c>
      <c r="Z123" s="183">
        <f>Q123+SUM(V123:Y123)</f>
        <v>0</v>
      </c>
      <c r="AA123" s="182">
        <v>30</v>
      </c>
      <c r="AB123" s="181"/>
      <c r="AC123" s="180">
        <v>30</v>
      </c>
      <c r="AD123" s="193"/>
    </row>
    <row r="124" spans="1:30" ht="30">
      <c r="A124" s="192" t="s">
        <v>50</v>
      </c>
      <c r="B124" s="191"/>
      <c r="C124" s="190">
        <v>0</v>
      </c>
      <c r="D124" s="189" t="s">
        <v>3</v>
      </c>
      <c r="E124" s="188">
        <v>280</v>
      </c>
      <c r="F124" s="174">
        <f>E124*C124</f>
        <v>0</v>
      </c>
      <c r="G124" s="186">
        <v>0.05</v>
      </c>
      <c r="H124" s="186">
        <v>0.02</v>
      </c>
      <c r="I124" s="186">
        <v>0.05</v>
      </c>
      <c r="J124" s="187">
        <v>0.122</v>
      </c>
      <c r="K124" s="186">
        <v>0.1</v>
      </c>
      <c r="L124" s="171">
        <f>F124*G124</f>
        <v>0</v>
      </c>
      <c r="M124" s="171">
        <f>(F124+L124)*H124</f>
        <v>0</v>
      </c>
      <c r="N124" s="171">
        <f>(F124+L124+M124)*I124</f>
        <v>0</v>
      </c>
      <c r="O124" s="171">
        <f>(F124+L124+M124+N124)*J124</f>
        <v>0</v>
      </c>
      <c r="P124" s="171">
        <f>(F124+L124+M124+N124+O124)*K124</f>
        <v>0</v>
      </c>
      <c r="Q124" s="170">
        <f>F124+SUM(L124:P124)</f>
        <v>0</v>
      </c>
      <c r="R124" s="185">
        <v>0.05</v>
      </c>
      <c r="S124" s="185">
        <v>0.05</v>
      </c>
      <c r="T124" s="185">
        <v>0.05</v>
      </c>
      <c r="U124" s="184">
        <v>0.1</v>
      </c>
      <c r="V124" s="167">
        <f>Q124*R124</f>
        <v>0</v>
      </c>
      <c r="W124" s="167">
        <f>Q124*S124</f>
        <v>0</v>
      </c>
      <c r="X124" s="167">
        <f>Q124*T124</f>
        <v>0</v>
      </c>
      <c r="Y124" s="167">
        <f>U124*(V124+W124)</f>
        <v>0</v>
      </c>
      <c r="Z124" s="183">
        <f>Q124+SUM(V124:Y124)</f>
        <v>0</v>
      </c>
      <c r="AA124" s="182">
        <v>30</v>
      </c>
      <c r="AB124" s="181"/>
      <c r="AC124" s="180">
        <v>30</v>
      </c>
      <c r="AD124" s="193"/>
    </row>
    <row r="125" spans="1:30" ht="30">
      <c r="A125" s="192" t="s">
        <v>49</v>
      </c>
      <c r="B125" s="191"/>
      <c r="C125" s="190">
        <v>0</v>
      </c>
      <c r="D125" s="189" t="s">
        <v>3</v>
      </c>
      <c r="E125" s="188">
        <v>370</v>
      </c>
      <c r="F125" s="174">
        <f>E125*C125</f>
        <v>0</v>
      </c>
      <c r="G125" s="186">
        <v>0.05</v>
      </c>
      <c r="H125" s="186">
        <v>0.02</v>
      </c>
      <c r="I125" s="186">
        <v>0.05</v>
      </c>
      <c r="J125" s="187">
        <v>0.122</v>
      </c>
      <c r="K125" s="186">
        <v>0.1</v>
      </c>
      <c r="L125" s="171">
        <f>F125*G125</f>
        <v>0</v>
      </c>
      <c r="M125" s="171">
        <f>(F125+L125)*H125</f>
        <v>0</v>
      </c>
      <c r="N125" s="171">
        <f>(F125+L125+M125)*I125</f>
        <v>0</v>
      </c>
      <c r="O125" s="171">
        <f>(F125+L125+M125+N125)*J125</f>
        <v>0</v>
      </c>
      <c r="P125" s="171">
        <f>(F125+L125+M125+N125+O125)*K125</f>
        <v>0</v>
      </c>
      <c r="Q125" s="170">
        <f>F125+SUM(L125:P125)</f>
        <v>0</v>
      </c>
      <c r="R125" s="185">
        <v>0.05</v>
      </c>
      <c r="S125" s="185">
        <v>0.05</v>
      </c>
      <c r="T125" s="185">
        <v>0.05</v>
      </c>
      <c r="U125" s="184">
        <v>0.1</v>
      </c>
      <c r="V125" s="167">
        <f>Q125*R125</f>
        <v>0</v>
      </c>
      <c r="W125" s="167">
        <f>Q125*S125</f>
        <v>0</v>
      </c>
      <c r="X125" s="167">
        <f>Q125*T125</f>
        <v>0</v>
      </c>
      <c r="Y125" s="167">
        <f>U125*(V125+W125)</f>
        <v>0</v>
      </c>
      <c r="Z125" s="183">
        <f>Q125+SUM(V125:Y125)</f>
        <v>0</v>
      </c>
      <c r="AA125" s="182">
        <v>30</v>
      </c>
      <c r="AB125" s="181"/>
      <c r="AC125" s="180">
        <v>30</v>
      </c>
      <c r="AD125" s="193"/>
    </row>
    <row r="126" spans="1:30" ht="30">
      <c r="A126" s="192" t="s">
        <v>48</v>
      </c>
      <c r="B126" s="191"/>
      <c r="C126" s="190">
        <v>0</v>
      </c>
      <c r="D126" s="189" t="s">
        <v>3</v>
      </c>
      <c r="E126" s="188">
        <v>450</v>
      </c>
      <c r="F126" s="174">
        <f>E126*C126</f>
        <v>0</v>
      </c>
      <c r="G126" s="186">
        <v>0.05</v>
      </c>
      <c r="H126" s="186">
        <v>0.02</v>
      </c>
      <c r="I126" s="186">
        <v>0.05</v>
      </c>
      <c r="J126" s="187">
        <v>0.122</v>
      </c>
      <c r="K126" s="186">
        <v>0.1</v>
      </c>
      <c r="L126" s="171">
        <f>F126*G126</f>
        <v>0</v>
      </c>
      <c r="M126" s="171">
        <f>(F126+L126)*H126</f>
        <v>0</v>
      </c>
      <c r="N126" s="171">
        <f>(F126+L126+M126)*I126</f>
        <v>0</v>
      </c>
      <c r="O126" s="171">
        <f>(F126+L126+M126+N126)*J126</f>
        <v>0</v>
      </c>
      <c r="P126" s="171">
        <f>(F126+L126+M126+N126+O126)*K126</f>
        <v>0</v>
      </c>
      <c r="Q126" s="170">
        <f>F126+SUM(L126:P126)</f>
        <v>0</v>
      </c>
      <c r="R126" s="185">
        <v>0.05</v>
      </c>
      <c r="S126" s="185">
        <v>0.05</v>
      </c>
      <c r="T126" s="185">
        <v>0.05</v>
      </c>
      <c r="U126" s="184">
        <v>0.1</v>
      </c>
      <c r="V126" s="167">
        <f>Q126*R126</f>
        <v>0</v>
      </c>
      <c r="W126" s="167">
        <f>Q126*S126</f>
        <v>0</v>
      </c>
      <c r="X126" s="167">
        <f>Q126*T126</f>
        <v>0</v>
      </c>
      <c r="Y126" s="167">
        <f>U126*(V126+W126)</f>
        <v>0</v>
      </c>
      <c r="Z126" s="183">
        <f>Q126+SUM(V126:Y126)</f>
        <v>0</v>
      </c>
      <c r="AA126" s="182">
        <v>30</v>
      </c>
      <c r="AB126" s="181"/>
      <c r="AC126" s="180">
        <v>30</v>
      </c>
      <c r="AD126" s="193"/>
    </row>
    <row r="127" spans="1:30" ht="15.75">
      <c r="A127" s="192" t="s">
        <v>47</v>
      </c>
      <c r="B127" s="191"/>
      <c r="C127" s="190">
        <v>0</v>
      </c>
      <c r="D127" s="189" t="s">
        <v>3</v>
      </c>
      <c r="E127" s="188">
        <v>869</v>
      </c>
      <c r="F127" s="174">
        <f>E127*C127</f>
        <v>0</v>
      </c>
      <c r="G127" s="186">
        <v>0.05</v>
      </c>
      <c r="H127" s="186">
        <v>0.02</v>
      </c>
      <c r="I127" s="186">
        <v>0.05</v>
      </c>
      <c r="J127" s="187">
        <v>0.122</v>
      </c>
      <c r="K127" s="186">
        <v>0.1</v>
      </c>
      <c r="L127" s="171">
        <f>F127*G127</f>
        <v>0</v>
      </c>
      <c r="M127" s="171">
        <f>(F127+L127)*H127</f>
        <v>0</v>
      </c>
      <c r="N127" s="171">
        <f>(F127+L127+M127)*I127</f>
        <v>0</v>
      </c>
      <c r="O127" s="171">
        <f>(F127+L127+M127+N127)*J127</f>
        <v>0</v>
      </c>
      <c r="P127" s="171">
        <f>(F127+L127+M127+N127+O127)*K127</f>
        <v>0</v>
      </c>
      <c r="Q127" s="170">
        <f>F127+SUM(L127:P127)</f>
        <v>0</v>
      </c>
      <c r="R127" s="185">
        <v>0.05</v>
      </c>
      <c r="S127" s="185">
        <v>0.05</v>
      </c>
      <c r="T127" s="185">
        <v>0.05</v>
      </c>
      <c r="U127" s="184">
        <v>0.1</v>
      </c>
      <c r="V127" s="167">
        <f>Q127*R127</f>
        <v>0</v>
      </c>
      <c r="W127" s="167">
        <f>Q127*S127</f>
        <v>0</v>
      </c>
      <c r="X127" s="167">
        <f>Q127*T127</f>
        <v>0</v>
      </c>
      <c r="Y127" s="167">
        <f>U127*(V127+W127)</f>
        <v>0</v>
      </c>
      <c r="Z127" s="183">
        <f>Q127+SUM(V127:Y127)</f>
        <v>0</v>
      </c>
      <c r="AA127" s="182">
        <v>30</v>
      </c>
      <c r="AB127" s="181"/>
      <c r="AC127" s="180">
        <v>30</v>
      </c>
      <c r="AD127" s="193"/>
    </row>
    <row r="128" spans="1:30" ht="90">
      <c r="A128" s="219" t="s">
        <v>46</v>
      </c>
      <c r="B128" s="205"/>
      <c r="C128" s="204"/>
      <c r="D128" s="210"/>
      <c r="E128" s="209"/>
      <c r="F128" s="200"/>
      <c r="G128" s="200"/>
      <c r="H128" s="200"/>
      <c r="I128" s="200"/>
      <c r="J128" s="201"/>
      <c r="K128" s="200"/>
      <c r="L128" s="200"/>
      <c r="M128" s="200"/>
      <c r="N128" s="200"/>
      <c r="O128" s="200"/>
      <c r="P128" s="200"/>
      <c r="Q128" s="200"/>
      <c r="R128" s="199"/>
      <c r="S128" s="199"/>
      <c r="T128" s="199"/>
      <c r="U128" s="197"/>
      <c r="V128" s="197"/>
      <c r="W128" s="197"/>
      <c r="X128" s="197"/>
      <c r="Y128" s="197"/>
      <c r="Z128" s="198"/>
      <c r="AA128" s="218"/>
      <c r="AB128" s="196"/>
      <c r="AC128" s="195"/>
      <c r="AD128" s="194"/>
    </row>
    <row r="129" spans="1:30" ht="75">
      <c r="A129" s="217" t="s">
        <v>35</v>
      </c>
      <c r="B129" s="216"/>
      <c r="C129" s="215"/>
      <c r="D129" s="214"/>
      <c r="E129" s="213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5"/>
      <c r="S129" s="185"/>
      <c r="T129" s="185"/>
      <c r="U129" s="184"/>
      <c r="V129" s="184"/>
      <c r="W129" s="184"/>
      <c r="X129" s="184"/>
      <c r="Y129" s="184"/>
      <c r="Z129" s="212"/>
      <c r="AA129" s="182"/>
      <c r="AB129" s="181"/>
      <c r="AC129" s="180"/>
      <c r="AD129" s="211"/>
    </row>
    <row r="130" spans="1:30" ht="30">
      <c r="A130" s="220" t="s">
        <v>45</v>
      </c>
      <c r="B130" s="191"/>
      <c r="C130" s="190">
        <v>0</v>
      </c>
      <c r="D130" s="207" t="s">
        <v>3</v>
      </c>
      <c r="E130" s="188">
        <v>75</v>
      </c>
      <c r="F130" s="174">
        <f t="shared" ref="F130:F138" si="84">E130*C130</f>
        <v>0</v>
      </c>
      <c r="G130" s="186">
        <v>0.05</v>
      </c>
      <c r="H130" s="186">
        <v>0.02</v>
      </c>
      <c r="I130" s="186">
        <v>0.05</v>
      </c>
      <c r="J130" s="187">
        <v>0.122</v>
      </c>
      <c r="K130" s="186">
        <v>0.1</v>
      </c>
      <c r="L130" s="171">
        <f t="shared" ref="L130:L138" si="85">F130*G130</f>
        <v>0</v>
      </c>
      <c r="M130" s="171">
        <f t="shared" ref="M130:M138" si="86">(F130+L130)*H130</f>
        <v>0</v>
      </c>
      <c r="N130" s="171">
        <f t="shared" ref="N130:N138" si="87">(F130+L130+M130)*I130</f>
        <v>0</v>
      </c>
      <c r="O130" s="171">
        <f t="shared" ref="O130:O138" si="88">(F130+L130+M130+N130)*J130</f>
        <v>0</v>
      </c>
      <c r="P130" s="171">
        <f t="shared" ref="P130:P138" si="89">(F130+L130+M130+N130+O130)*K130</f>
        <v>0</v>
      </c>
      <c r="Q130" s="170">
        <f t="shared" ref="Q130:Q138" si="90">F130+SUM(L130:P130)</f>
        <v>0</v>
      </c>
      <c r="R130" s="185">
        <v>0.05</v>
      </c>
      <c r="S130" s="185">
        <v>0.05</v>
      </c>
      <c r="T130" s="185">
        <v>0.05</v>
      </c>
      <c r="U130" s="184">
        <v>0.1</v>
      </c>
      <c r="V130" s="167">
        <f t="shared" ref="V130:V138" si="91">Q130*R130</f>
        <v>0</v>
      </c>
      <c r="W130" s="167">
        <f t="shared" ref="W130:W138" si="92">Q130*S130</f>
        <v>0</v>
      </c>
      <c r="X130" s="167">
        <f t="shared" ref="X130:X138" si="93">Q130*T130</f>
        <v>0</v>
      </c>
      <c r="Y130" s="167">
        <f t="shared" ref="Y130:Y138" si="94">U130*(V130+W130)</f>
        <v>0</v>
      </c>
      <c r="Z130" s="183">
        <f t="shared" ref="Z130:Z138" si="95">Q130+SUM(V130:Y130)</f>
        <v>0</v>
      </c>
      <c r="AA130" s="182">
        <v>70</v>
      </c>
      <c r="AB130" s="181"/>
      <c r="AC130" s="180">
        <v>70</v>
      </c>
      <c r="AD130" s="193"/>
    </row>
    <row r="131" spans="1:30" ht="30">
      <c r="A131" s="220" t="s">
        <v>44</v>
      </c>
      <c r="B131" s="191"/>
      <c r="C131" s="190">
        <v>0</v>
      </c>
      <c r="D131" s="207" t="s">
        <v>3</v>
      </c>
      <c r="E131" s="188">
        <v>110</v>
      </c>
      <c r="F131" s="174">
        <f t="shared" si="84"/>
        <v>0</v>
      </c>
      <c r="G131" s="186">
        <v>0.05</v>
      </c>
      <c r="H131" s="186">
        <v>0.02</v>
      </c>
      <c r="I131" s="186">
        <v>0.05</v>
      </c>
      <c r="J131" s="187">
        <v>0.122</v>
      </c>
      <c r="K131" s="186">
        <v>0.1</v>
      </c>
      <c r="L131" s="171">
        <f t="shared" si="85"/>
        <v>0</v>
      </c>
      <c r="M131" s="171">
        <f t="shared" si="86"/>
        <v>0</v>
      </c>
      <c r="N131" s="171">
        <f t="shared" si="87"/>
        <v>0</v>
      </c>
      <c r="O131" s="171">
        <f t="shared" si="88"/>
        <v>0</v>
      </c>
      <c r="P131" s="171">
        <f t="shared" si="89"/>
        <v>0</v>
      </c>
      <c r="Q131" s="170">
        <f t="shared" si="90"/>
        <v>0</v>
      </c>
      <c r="R131" s="185">
        <v>0.05</v>
      </c>
      <c r="S131" s="185">
        <v>0.05</v>
      </c>
      <c r="T131" s="185">
        <v>0.05</v>
      </c>
      <c r="U131" s="184">
        <v>0.1</v>
      </c>
      <c r="V131" s="167">
        <f t="shared" si="91"/>
        <v>0</v>
      </c>
      <c r="W131" s="167">
        <f t="shared" si="92"/>
        <v>0</v>
      </c>
      <c r="X131" s="167">
        <f t="shared" si="93"/>
        <v>0</v>
      </c>
      <c r="Y131" s="167">
        <f t="shared" si="94"/>
        <v>0</v>
      </c>
      <c r="Z131" s="183">
        <f t="shared" si="95"/>
        <v>0</v>
      </c>
      <c r="AA131" s="182">
        <v>70</v>
      </c>
      <c r="AB131" s="181"/>
      <c r="AC131" s="180">
        <v>70</v>
      </c>
      <c r="AD131" s="193"/>
    </row>
    <row r="132" spans="1:30" ht="30">
      <c r="A132" s="220" t="s">
        <v>43</v>
      </c>
      <c r="B132" s="191"/>
      <c r="C132" s="190">
        <v>0</v>
      </c>
      <c r="D132" s="207" t="s">
        <v>3</v>
      </c>
      <c r="E132" s="188">
        <v>120</v>
      </c>
      <c r="F132" s="174">
        <f t="shared" si="84"/>
        <v>0</v>
      </c>
      <c r="G132" s="186">
        <v>0.05</v>
      </c>
      <c r="H132" s="186">
        <v>0.02</v>
      </c>
      <c r="I132" s="186">
        <v>0.05</v>
      </c>
      <c r="J132" s="187">
        <v>0.122</v>
      </c>
      <c r="K132" s="186">
        <v>0.1</v>
      </c>
      <c r="L132" s="171">
        <f t="shared" si="85"/>
        <v>0</v>
      </c>
      <c r="M132" s="171">
        <f t="shared" si="86"/>
        <v>0</v>
      </c>
      <c r="N132" s="171">
        <f t="shared" si="87"/>
        <v>0</v>
      </c>
      <c r="O132" s="171">
        <f t="shared" si="88"/>
        <v>0</v>
      </c>
      <c r="P132" s="171">
        <f t="shared" si="89"/>
        <v>0</v>
      </c>
      <c r="Q132" s="170">
        <f t="shared" si="90"/>
        <v>0</v>
      </c>
      <c r="R132" s="185">
        <v>0.05</v>
      </c>
      <c r="S132" s="185">
        <v>0.05</v>
      </c>
      <c r="T132" s="185">
        <v>0.05</v>
      </c>
      <c r="U132" s="184">
        <v>0.1</v>
      </c>
      <c r="V132" s="167">
        <f t="shared" si="91"/>
        <v>0</v>
      </c>
      <c r="W132" s="167">
        <f t="shared" si="92"/>
        <v>0</v>
      </c>
      <c r="X132" s="167">
        <f t="shared" si="93"/>
        <v>0</v>
      </c>
      <c r="Y132" s="167">
        <f t="shared" si="94"/>
        <v>0</v>
      </c>
      <c r="Z132" s="183">
        <f t="shared" si="95"/>
        <v>0</v>
      </c>
      <c r="AA132" s="182">
        <v>70</v>
      </c>
      <c r="AB132" s="181"/>
      <c r="AC132" s="180">
        <v>70</v>
      </c>
      <c r="AD132" s="193"/>
    </row>
    <row r="133" spans="1:30" ht="15.75">
      <c r="A133" s="220" t="s">
        <v>42</v>
      </c>
      <c r="B133" s="191"/>
      <c r="C133" s="190">
        <v>0</v>
      </c>
      <c r="D133" s="207" t="s">
        <v>3</v>
      </c>
      <c r="E133" s="188"/>
      <c r="F133" s="174">
        <f t="shared" si="84"/>
        <v>0</v>
      </c>
      <c r="G133" s="186">
        <v>0.05</v>
      </c>
      <c r="H133" s="186">
        <v>0.02</v>
      </c>
      <c r="I133" s="186">
        <v>0.05</v>
      </c>
      <c r="J133" s="187">
        <v>0.122</v>
      </c>
      <c r="K133" s="186">
        <v>0.1</v>
      </c>
      <c r="L133" s="171">
        <f t="shared" si="85"/>
        <v>0</v>
      </c>
      <c r="M133" s="171">
        <f t="shared" si="86"/>
        <v>0</v>
      </c>
      <c r="N133" s="171">
        <f t="shared" si="87"/>
        <v>0</v>
      </c>
      <c r="O133" s="171">
        <f t="shared" si="88"/>
        <v>0</v>
      </c>
      <c r="P133" s="171">
        <f t="shared" si="89"/>
        <v>0</v>
      </c>
      <c r="Q133" s="170">
        <f t="shared" si="90"/>
        <v>0</v>
      </c>
      <c r="R133" s="185">
        <v>0.05</v>
      </c>
      <c r="S133" s="185">
        <v>0.05</v>
      </c>
      <c r="T133" s="185">
        <v>0.05</v>
      </c>
      <c r="U133" s="184">
        <v>0.1</v>
      </c>
      <c r="V133" s="167">
        <f t="shared" si="91"/>
        <v>0</v>
      </c>
      <c r="W133" s="167">
        <f t="shared" si="92"/>
        <v>0</v>
      </c>
      <c r="X133" s="167">
        <f t="shared" si="93"/>
        <v>0</v>
      </c>
      <c r="Y133" s="167">
        <f t="shared" si="94"/>
        <v>0</v>
      </c>
      <c r="Z133" s="183">
        <f t="shared" si="95"/>
        <v>0</v>
      </c>
      <c r="AA133" s="182">
        <v>70</v>
      </c>
      <c r="AB133" s="181"/>
      <c r="AC133" s="180">
        <v>70</v>
      </c>
      <c r="AD133" s="193"/>
    </row>
    <row r="134" spans="1:30" ht="15.75">
      <c r="A134" s="220" t="s">
        <v>41</v>
      </c>
      <c r="B134" s="191"/>
      <c r="C134" s="190">
        <v>0</v>
      </c>
      <c r="D134" s="207" t="s">
        <v>3</v>
      </c>
      <c r="E134" s="188">
        <v>291</v>
      </c>
      <c r="F134" s="174">
        <f t="shared" si="84"/>
        <v>0</v>
      </c>
      <c r="G134" s="186">
        <v>0.05</v>
      </c>
      <c r="H134" s="186">
        <v>0.02</v>
      </c>
      <c r="I134" s="186">
        <v>0.05</v>
      </c>
      <c r="J134" s="187">
        <v>0.122</v>
      </c>
      <c r="K134" s="186">
        <v>0.1</v>
      </c>
      <c r="L134" s="171">
        <f t="shared" si="85"/>
        <v>0</v>
      </c>
      <c r="M134" s="171">
        <f t="shared" si="86"/>
        <v>0</v>
      </c>
      <c r="N134" s="171">
        <f t="shared" si="87"/>
        <v>0</v>
      </c>
      <c r="O134" s="171">
        <f t="shared" si="88"/>
        <v>0</v>
      </c>
      <c r="P134" s="171">
        <f t="shared" si="89"/>
        <v>0</v>
      </c>
      <c r="Q134" s="170">
        <f t="shared" si="90"/>
        <v>0</v>
      </c>
      <c r="R134" s="185">
        <v>0.05</v>
      </c>
      <c r="S134" s="185">
        <v>0.05</v>
      </c>
      <c r="T134" s="185">
        <v>0.05</v>
      </c>
      <c r="U134" s="184">
        <v>0.1</v>
      </c>
      <c r="V134" s="167">
        <f t="shared" si="91"/>
        <v>0</v>
      </c>
      <c r="W134" s="167">
        <f t="shared" si="92"/>
        <v>0</v>
      </c>
      <c r="X134" s="167">
        <f t="shared" si="93"/>
        <v>0</v>
      </c>
      <c r="Y134" s="167">
        <f t="shared" si="94"/>
        <v>0</v>
      </c>
      <c r="Z134" s="183">
        <f t="shared" si="95"/>
        <v>0</v>
      </c>
      <c r="AA134" s="182">
        <v>70</v>
      </c>
      <c r="AB134" s="181"/>
      <c r="AC134" s="180">
        <v>70</v>
      </c>
      <c r="AD134" s="193"/>
    </row>
    <row r="135" spans="1:30" ht="15.75">
      <c r="A135" s="220" t="s">
        <v>40</v>
      </c>
      <c r="B135" s="191"/>
      <c r="C135" s="190">
        <v>0</v>
      </c>
      <c r="D135" s="207" t="s">
        <v>3</v>
      </c>
      <c r="E135" s="188"/>
      <c r="F135" s="174">
        <f t="shared" si="84"/>
        <v>0</v>
      </c>
      <c r="G135" s="186">
        <v>0.05</v>
      </c>
      <c r="H135" s="186">
        <v>0.02</v>
      </c>
      <c r="I135" s="186">
        <v>0.05</v>
      </c>
      <c r="J135" s="187">
        <v>0.122</v>
      </c>
      <c r="K135" s="186">
        <v>0.1</v>
      </c>
      <c r="L135" s="171">
        <f t="shared" si="85"/>
        <v>0</v>
      </c>
      <c r="M135" s="171">
        <f t="shared" si="86"/>
        <v>0</v>
      </c>
      <c r="N135" s="171">
        <f t="shared" si="87"/>
        <v>0</v>
      </c>
      <c r="O135" s="171">
        <f t="shared" si="88"/>
        <v>0</v>
      </c>
      <c r="P135" s="171">
        <f t="shared" si="89"/>
        <v>0</v>
      </c>
      <c r="Q135" s="170">
        <f t="shared" si="90"/>
        <v>0</v>
      </c>
      <c r="R135" s="185">
        <v>0.05</v>
      </c>
      <c r="S135" s="185">
        <v>0.05</v>
      </c>
      <c r="T135" s="185">
        <v>0.05</v>
      </c>
      <c r="U135" s="184">
        <v>0.1</v>
      </c>
      <c r="V135" s="167">
        <f t="shared" si="91"/>
        <v>0</v>
      </c>
      <c r="W135" s="167">
        <f t="shared" si="92"/>
        <v>0</v>
      </c>
      <c r="X135" s="167">
        <f t="shared" si="93"/>
        <v>0</v>
      </c>
      <c r="Y135" s="167">
        <f t="shared" si="94"/>
        <v>0</v>
      </c>
      <c r="Z135" s="183">
        <f t="shared" si="95"/>
        <v>0</v>
      </c>
      <c r="AA135" s="182">
        <v>70</v>
      </c>
      <c r="AB135" s="181"/>
      <c r="AC135" s="180">
        <v>70</v>
      </c>
      <c r="AD135" s="193"/>
    </row>
    <row r="136" spans="1:30" ht="15.75">
      <c r="A136" s="220" t="s">
        <v>39</v>
      </c>
      <c r="B136" s="191"/>
      <c r="C136" s="190">
        <v>0</v>
      </c>
      <c r="D136" s="207" t="s">
        <v>3</v>
      </c>
      <c r="E136" s="188"/>
      <c r="F136" s="174">
        <f t="shared" si="84"/>
        <v>0</v>
      </c>
      <c r="G136" s="186">
        <v>0.05</v>
      </c>
      <c r="H136" s="186">
        <v>0.02</v>
      </c>
      <c r="I136" s="186">
        <v>0.05</v>
      </c>
      <c r="J136" s="187">
        <v>0.122</v>
      </c>
      <c r="K136" s="186">
        <v>0.1</v>
      </c>
      <c r="L136" s="171">
        <f t="shared" si="85"/>
        <v>0</v>
      </c>
      <c r="M136" s="171">
        <f t="shared" si="86"/>
        <v>0</v>
      </c>
      <c r="N136" s="171">
        <f t="shared" si="87"/>
        <v>0</v>
      </c>
      <c r="O136" s="171">
        <f t="shared" si="88"/>
        <v>0</v>
      </c>
      <c r="P136" s="171">
        <f t="shared" si="89"/>
        <v>0</v>
      </c>
      <c r="Q136" s="170">
        <f t="shared" si="90"/>
        <v>0</v>
      </c>
      <c r="R136" s="185">
        <v>0.05</v>
      </c>
      <c r="S136" s="185">
        <v>0.05</v>
      </c>
      <c r="T136" s="185">
        <v>0.05</v>
      </c>
      <c r="U136" s="184">
        <v>0.1</v>
      </c>
      <c r="V136" s="167">
        <f t="shared" si="91"/>
        <v>0</v>
      </c>
      <c r="W136" s="167">
        <f t="shared" si="92"/>
        <v>0</v>
      </c>
      <c r="X136" s="167">
        <f t="shared" si="93"/>
        <v>0</v>
      </c>
      <c r="Y136" s="167">
        <f t="shared" si="94"/>
        <v>0</v>
      </c>
      <c r="Z136" s="183">
        <f t="shared" si="95"/>
        <v>0</v>
      </c>
      <c r="AA136" s="182">
        <v>70</v>
      </c>
      <c r="AB136" s="181"/>
      <c r="AC136" s="180">
        <v>70</v>
      </c>
      <c r="AD136" s="193"/>
    </row>
    <row r="137" spans="1:30" ht="15.75">
      <c r="A137" s="220" t="s">
        <v>38</v>
      </c>
      <c r="B137" s="191"/>
      <c r="C137" s="190">
        <v>0</v>
      </c>
      <c r="D137" s="207" t="s">
        <v>3</v>
      </c>
      <c r="E137" s="188"/>
      <c r="F137" s="174">
        <f t="shared" si="84"/>
        <v>0</v>
      </c>
      <c r="G137" s="186">
        <v>0.05</v>
      </c>
      <c r="H137" s="186">
        <v>0.02</v>
      </c>
      <c r="I137" s="186">
        <v>0.05</v>
      </c>
      <c r="J137" s="187">
        <v>0.122</v>
      </c>
      <c r="K137" s="186">
        <v>0.1</v>
      </c>
      <c r="L137" s="171">
        <f t="shared" si="85"/>
        <v>0</v>
      </c>
      <c r="M137" s="171">
        <f t="shared" si="86"/>
        <v>0</v>
      </c>
      <c r="N137" s="171">
        <f t="shared" si="87"/>
        <v>0</v>
      </c>
      <c r="O137" s="171">
        <f t="shared" si="88"/>
        <v>0</v>
      </c>
      <c r="P137" s="171">
        <f t="shared" si="89"/>
        <v>0</v>
      </c>
      <c r="Q137" s="170">
        <f t="shared" si="90"/>
        <v>0</v>
      </c>
      <c r="R137" s="185">
        <v>0.05</v>
      </c>
      <c r="S137" s="185">
        <v>0.05</v>
      </c>
      <c r="T137" s="185">
        <v>0.05</v>
      </c>
      <c r="U137" s="184">
        <v>0.1</v>
      </c>
      <c r="V137" s="167">
        <f t="shared" si="91"/>
        <v>0</v>
      </c>
      <c r="W137" s="167">
        <f t="shared" si="92"/>
        <v>0</v>
      </c>
      <c r="X137" s="167">
        <f t="shared" si="93"/>
        <v>0</v>
      </c>
      <c r="Y137" s="167">
        <f t="shared" si="94"/>
        <v>0</v>
      </c>
      <c r="Z137" s="183">
        <f t="shared" si="95"/>
        <v>0</v>
      </c>
      <c r="AA137" s="182">
        <v>70</v>
      </c>
      <c r="AB137" s="181"/>
      <c r="AC137" s="180">
        <v>70</v>
      </c>
      <c r="AD137" s="193"/>
    </row>
    <row r="138" spans="1:30" ht="15.75">
      <c r="A138" s="220" t="s">
        <v>37</v>
      </c>
      <c r="B138" s="191"/>
      <c r="C138" s="190">
        <v>0</v>
      </c>
      <c r="D138" s="207" t="s">
        <v>3</v>
      </c>
      <c r="E138" s="188"/>
      <c r="F138" s="174">
        <f t="shared" si="84"/>
        <v>0</v>
      </c>
      <c r="G138" s="186">
        <v>0.05</v>
      </c>
      <c r="H138" s="186">
        <v>0.02</v>
      </c>
      <c r="I138" s="186">
        <v>0.05</v>
      </c>
      <c r="J138" s="187">
        <v>0.122</v>
      </c>
      <c r="K138" s="186">
        <v>0.1</v>
      </c>
      <c r="L138" s="171">
        <f t="shared" si="85"/>
        <v>0</v>
      </c>
      <c r="M138" s="171">
        <f t="shared" si="86"/>
        <v>0</v>
      </c>
      <c r="N138" s="171">
        <f t="shared" si="87"/>
        <v>0</v>
      </c>
      <c r="O138" s="171">
        <f t="shared" si="88"/>
        <v>0</v>
      </c>
      <c r="P138" s="171">
        <f t="shared" si="89"/>
        <v>0</v>
      </c>
      <c r="Q138" s="170">
        <f t="shared" si="90"/>
        <v>0</v>
      </c>
      <c r="R138" s="185">
        <v>0.05</v>
      </c>
      <c r="S138" s="185">
        <v>0.05</v>
      </c>
      <c r="T138" s="185">
        <v>0.05</v>
      </c>
      <c r="U138" s="184">
        <v>0.1</v>
      </c>
      <c r="V138" s="167">
        <f t="shared" si="91"/>
        <v>0</v>
      </c>
      <c r="W138" s="167">
        <f t="shared" si="92"/>
        <v>0</v>
      </c>
      <c r="X138" s="167">
        <f t="shared" si="93"/>
        <v>0</v>
      </c>
      <c r="Y138" s="167">
        <f t="shared" si="94"/>
        <v>0</v>
      </c>
      <c r="Z138" s="183">
        <f t="shared" si="95"/>
        <v>0</v>
      </c>
      <c r="AA138" s="182">
        <v>70</v>
      </c>
      <c r="AB138" s="181"/>
      <c r="AC138" s="180">
        <v>70</v>
      </c>
      <c r="AD138" s="193"/>
    </row>
    <row r="139" spans="1:30" ht="72">
      <c r="A139" s="219" t="s">
        <v>36</v>
      </c>
      <c r="B139" s="205"/>
      <c r="C139" s="204"/>
      <c r="D139" s="210"/>
      <c r="E139" s="209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199"/>
      <c r="S139" s="199"/>
      <c r="T139" s="199"/>
      <c r="U139" s="197"/>
      <c r="V139" s="197"/>
      <c r="W139" s="197"/>
      <c r="X139" s="197"/>
      <c r="Y139" s="197"/>
      <c r="Z139" s="198"/>
      <c r="AA139" s="218"/>
      <c r="AB139" s="196"/>
      <c r="AC139" s="195"/>
      <c r="AD139" s="194"/>
    </row>
    <row r="140" spans="1:30" ht="75">
      <c r="A140" s="217" t="s">
        <v>35</v>
      </c>
      <c r="B140" s="216"/>
      <c r="C140" s="215"/>
      <c r="D140" s="214"/>
      <c r="E140" s="213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5"/>
      <c r="S140" s="185"/>
      <c r="T140" s="185"/>
      <c r="U140" s="184"/>
      <c r="V140" s="184"/>
      <c r="W140" s="184"/>
      <c r="X140" s="184"/>
      <c r="Y140" s="184"/>
      <c r="Z140" s="212"/>
      <c r="AA140" s="182"/>
      <c r="AB140" s="181"/>
      <c r="AC140" s="180"/>
      <c r="AD140" s="211"/>
    </row>
    <row r="141" spans="1:30" ht="18">
      <c r="A141" s="206" t="s">
        <v>34</v>
      </c>
      <c r="B141" s="205"/>
      <c r="C141" s="204"/>
      <c r="D141" s="210"/>
      <c r="E141" s="209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199"/>
      <c r="S141" s="199"/>
      <c r="T141" s="199"/>
      <c r="U141" s="197"/>
      <c r="V141" s="197"/>
      <c r="W141" s="197"/>
      <c r="X141" s="197"/>
      <c r="Y141" s="197"/>
      <c r="Z141" s="198"/>
      <c r="AA141" s="197"/>
      <c r="AB141" s="196"/>
      <c r="AC141" s="195"/>
      <c r="AD141" s="194"/>
    </row>
    <row r="142" spans="1:30" ht="15.75">
      <c r="A142" s="208" t="s">
        <v>33</v>
      </c>
      <c r="B142" s="191"/>
      <c r="C142" s="190">
        <v>0</v>
      </c>
      <c r="D142" s="207" t="s">
        <v>3</v>
      </c>
      <c r="E142" s="188"/>
      <c r="F142" s="174">
        <f t="shared" ref="F142:F152" si="96">E142*C142</f>
        <v>0</v>
      </c>
      <c r="G142" s="186">
        <v>0.05</v>
      </c>
      <c r="H142" s="186">
        <v>0.02</v>
      </c>
      <c r="I142" s="186">
        <v>0.05</v>
      </c>
      <c r="J142" s="187">
        <v>0.122</v>
      </c>
      <c r="K142" s="186">
        <v>0.1</v>
      </c>
      <c r="L142" s="171">
        <f t="shared" ref="L142:L152" si="97">F142*G142</f>
        <v>0</v>
      </c>
      <c r="M142" s="171">
        <f t="shared" ref="M142:M152" si="98">(F142+L142)*H142</f>
        <v>0</v>
      </c>
      <c r="N142" s="171">
        <f t="shared" ref="N142:N152" si="99">(F142+L142+M142)*I142</f>
        <v>0</v>
      </c>
      <c r="O142" s="171">
        <f t="shared" ref="O142:O152" si="100">(F142+L142+M142+N142)*J142</f>
        <v>0</v>
      </c>
      <c r="P142" s="171">
        <f t="shared" ref="P142:P152" si="101">(F142+L142+M142+N142+O142)*K142</f>
        <v>0</v>
      </c>
      <c r="Q142" s="170">
        <f t="shared" ref="Q142:Q152" si="102">F142+SUM(L142:P142)</f>
        <v>0</v>
      </c>
      <c r="R142" s="185">
        <v>0.05</v>
      </c>
      <c r="S142" s="185">
        <v>0.05</v>
      </c>
      <c r="T142" s="185">
        <v>0.05</v>
      </c>
      <c r="U142" s="184">
        <v>0.1</v>
      </c>
      <c r="V142" s="167">
        <f t="shared" ref="V142:V152" si="103">Q142*R142</f>
        <v>0</v>
      </c>
      <c r="W142" s="167">
        <f t="shared" ref="W142:W152" si="104">Q142*S142</f>
        <v>0</v>
      </c>
      <c r="X142" s="167">
        <f t="shared" ref="X142:X152" si="105">Q142*T142</f>
        <v>0</v>
      </c>
      <c r="Y142" s="167">
        <f t="shared" ref="Y142:Y152" si="106">U142*(V142+W142)</f>
        <v>0</v>
      </c>
      <c r="Z142" s="183">
        <f t="shared" ref="Z142:Z152" si="107">Q142+SUM(V142:Y142)</f>
        <v>0</v>
      </c>
      <c r="AA142" s="182">
        <v>70</v>
      </c>
      <c r="AB142" s="181"/>
      <c r="AC142" s="180">
        <v>70</v>
      </c>
      <c r="AD142" s="193"/>
    </row>
    <row r="143" spans="1:30" ht="30">
      <c r="A143" s="208" t="s">
        <v>32</v>
      </c>
      <c r="B143" s="191"/>
      <c r="C143" s="190">
        <v>0</v>
      </c>
      <c r="D143" s="207" t="s">
        <v>3</v>
      </c>
      <c r="E143" s="188">
        <v>65</v>
      </c>
      <c r="F143" s="174">
        <f t="shared" si="96"/>
        <v>0</v>
      </c>
      <c r="G143" s="186">
        <v>0.05</v>
      </c>
      <c r="H143" s="186">
        <v>0.02</v>
      </c>
      <c r="I143" s="186">
        <v>0.05</v>
      </c>
      <c r="J143" s="187">
        <v>0.122</v>
      </c>
      <c r="K143" s="186">
        <v>0.1</v>
      </c>
      <c r="L143" s="171">
        <f t="shared" si="97"/>
        <v>0</v>
      </c>
      <c r="M143" s="171">
        <f t="shared" si="98"/>
        <v>0</v>
      </c>
      <c r="N143" s="171">
        <f t="shared" si="99"/>
        <v>0</v>
      </c>
      <c r="O143" s="171">
        <f t="shared" si="100"/>
        <v>0</v>
      </c>
      <c r="P143" s="171">
        <f t="shared" si="101"/>
        <v>0</v>
      </c>
      <c r="Q143" s="170">
        <f t="shared" si="102"/>
        <v>0</v>
      </c>
      <c r="R143" s="185">
        <v>0.05</v>
      </c>
      <c r="S143" s="185">
        <v>0.05</v>
      </c>
      <c r="T143" s="185">
        <v>0.05</v>
      </c>
      <c r="U143" s="184">
        <v>0.1</v>
      </c>
      <c r="V143" s="167">
        <f t="shared" si="103"/>
        <v>0</v>
      </c>
      <c r="W143" s="167">
        <f t="shared" si="104"/>
        <v>0</v>
      </c>
      <c r="X143" s="167">
        <f t="shared" si="105"/>
        <v>0</v>
      </c>
      <c r="Y143" s="167">
        <f t="shared" si="106"/>
        <v>0</v>
      </c>
      <c r="Z143" s="183">
        <f t="shared" si="107"/>
        <v>0</v>
      </c>
      <c r="AA143" s="182">
        <v>70</v>
      </c>
      <c r="AB143" s="181"/>
      <c r="AC143" s="180">
        <v>70</v>
      </c>
      <c r="AD143" s="193"/>
    </row>
    <row r="144" spans="1:30" ht="30">
      <c r="A144" s="208" t="s">
        <v>31</v>
      </c>
      <c r="B144" s="191"/>
      <c r="C144" s="190">
        <v>0</v>
      </c>
      <c r="D144" s="207" t="s">
        <v>3</v>
      </c>
      <c r="E144" s="188">
        <v>70</v>
      </c>
      <c r="F144" s="174">
        <f t="shared" si="96"/>
        <v>0</v>
      </c>
      <c r="G144" s="186">
        <v>0.05</v>
      </c>
      <c r="H144" s="186">
        <v>0.02</v>
      </c>
      <c r="I144" s="186">
        <v>0.05</v>
      </c>
      <c r="J144" s="187">
        <v>0.122</v>
      </c>
      <c r="K144" s="186">
        <v>0.1</v>
      </c>
      <c r="L144" s="171">
        <f t="shared" si="97"/>
        <v>0</v>
      </c>
      <c r="M144" s="171">
        <f t="shared" si="98"/>
        <v>0</v>
      </c>
      <c r="N144" s="171">
        <f t="shared" si="99"/>
        <v>0</v>
      </c>
      <c r="O144" s="171">
        <f t="shared" si="100"/>
        <v>0</v>
      </c>
      <c r="P144" s="171">
        <f t="shared" si="101"/>
        <v>0</v>
      </c>
      <c r="Q144" s="170">
        <f t="shared" si="102"/>
        <v>0</v>
      </c>
      <c r="R144" s="185">
        <v>0.05</v>
      </c>
      <c r="S144" s="185">
        <v>0.05</v>
      </c>
      <c r="T144" s="185">
        <v>0.05</v>
      </c>
      <c r="U144" s="184">
        <v>0.1</v>
      </c>
      <c r="V144" s="167">
        <f t="shared" si="103"/>
        <v>0</v>
      </c>
      <c r="W144" s="167">
        <f t="shared" si="104"/>
        <v>0</v>
      </c>
      <c r="X144" s="167">
        <f t="shared" si="105"/>
        <v>0</v>
      </c>
      <c r="Y144" s="167">
        <f t="shared" si="106"/>
        <v>0</v>
      </c>
      <c r="Z144" s="183">
        <f t="shared" si="107"/>
        <v>0</v>
      </c>
      <c r="AA144" s="182">
        <v>70</v>
      </c>
      <c r="AB144" s="181"/>
      <c r="AC144" s="180">
        <v>70</v>
      </c>
      <c r="AD144" s="193"/>
    </row>
    <row r="145" spans="1:30" ht="15.75">
      <c r="A145" s="208" t="s">
        <v>30</v>
      </c>
      <c r="B145" s="191"/>
      <c r="C145" s="190">
        <v>0</v>
      </c>
      <c r="D145" s="207" t="s">
        <v>3</v>
      </c>
      <c r="E145" s="188">
        <v>254</v>
      </c>
      <c r="F145" s="174">
        <f t="shared" si="96"/>
        <v>0</v>
      </c>
      <c r="G145" s="186">
        <v>0.05</v>
      </c>
      <c r="H145" s="186">
        <v>0.02</v>
      </c>
      <c r="I145" s="186">
        <v>0.05</v>
      </c>
      <c r="J145" s="187">
        <v>0.122</v>
      </c>
      <c r="K145" s="186">
        <v>0.1</v>
      </c>
      <c r="L145" s="171">
        <f t="shared" si="97"/>
        <v>0</v>
      </c>
      <c r="M145" s="171">
        <f t="shared" si="98"/>
        <v>0</v>
      </c>
      <c r="N145" s="171">
        <f t="shared" si="99"/>
        <v>0</v>
      </c>
      <c r="O145" s="171">
        <f t="shared" si="100"/>
        <v>0</v>
      </c>
      <c r="P145" s="171">
        <f t="shared" si="101"/>
        <v>0</v>
      </c>
      <c r="Q145" s="170">
        <f t="shared" si="102"/>
        <v>0</v>
      </c>
      <c r="R145" s="185">
        <v>0.05</v>
      </c>
      <c r="S145" s="185">
        <v>0.05</v>
      </c>
      <c r="T145" s="185">
        <v>0.05</v>
      </c>
      <c r="U145" s="184">
        <v>0.1</v>
      </c>
      <c r="V145" s="167">
        <f t="shared" si="103"/>
        <v>0</v>
      </c>
      <c r="W145" s="167">
        <f t="shared" si="104"/>
        <v>0</v>
      </c>
      <c r="X145" s="167">
        <f t="shared" si="105"/>
        <v>0</v>
      </c>
      <c r="Y145" s="167">
        <f t="shared" si="106"/>
        <v>0</v>
      </c>
      <c r="Z145" s="183">
        <f t="shared" si="107"/>
        <v>0</v>
      </c>
      <c r="AA145" s="182">
        <v>70</v>
      </c>
      <c r="AB145" s="181"/>
      <c r="AC145" s="180">
        <v>70</v>
      </c>
      <c r="AD145" s="193"/>
    </row>
    <row r="146" spans="1:30" ht="15.75">
      <c r="A146" s="208" t="s">
        <v>29</v>
      </c>
      <c r="B146" s="191"/>
      <c r="C146" s="190">
        <v>0</v>
      </c>
      <c r="D146" s="207" t="s">
        <v>3</v>
      </c>
      <c r="E146" s="188"/>
      <c r="F146" s="174">
        <f t="shared" si="96"/>
        <v>0</v>
      </c>
      <c r="G146" s="186">
        <v>0.05</v>
      </c>
      <c r="H146" s="186">
        <v>0.02</v>
      </c>
      <c r="I146" s="186">
        <v>0.05</v>
      </c>
      <c r="J146" s="187">
        <v>0.122</v>
      </c>
      <c r="K146" s="186">
        <v>0.1</v>
      </c>
      <c r="L146" s="171">
        <f t="shared" si="97"/>
        <v>0</v>
      </c>
      <c r="M146" s="171">
        <f t="shared" si="98"/>
        <v>0</v>
      </c>
      <c r="N146" s="171">
        <f t="shared" si="99"/>
        <v>0</v>
      </c>
      <c r="O146" s="171">
        <f t="shared" si="100"/>
        <v>0</v>
      </c>
      <c r="P146" s="171">
        <f t="shared" si="101"/>
        <v>0</v>
      </c>
      <c r="Q146" s="170">
        <f t="shared" si="102"/>
        <v>0</v>
      </c>
      <c r="R146" s="185">
        <v>0.05</v>
      </c>
      <c r="S146" s="185">
        <v>0.05</v>
      </c>
      <c r="T146" s="185">
        <v>0.05</v>
      </c>
      <c r="U146" s="184">
        <v>0.1</v>
      </c>
      <c r="V146" s="167">
        <f t="shared" si="103"/>
        <v>0</v>
      </c>
      <c r="W146" s="167">
        <f t="shared" si="104"/>
        <v>0</v>
      </c>
      <c r="X146" s="167">
        <f t="shared" si="105"/>
        <v>0</v>
      </c>
      <c r="Y146" s="167">
        <f t="shared" si="106"/>
        <v>0</v>
      </c>
      <c r="Z146" s="183">
        <f t="shared" si="107"/>
        <v>0</v>
      </c>
      <c r="AA146" s="182">
        <v>70</v>
      </c>
      <c r="AB146" s="181"/>
      <c r="AC146" s="180">
        <v>70</v>
      </c>
      <c r="AD146" s="193"/>
    </row>
    <row r="147" spans="1:30" ht="15.75">
      <c r="A147" s="208" t="s">
        <v>28</v>
      </c>
      <c r="B147" s="191"/>
      <c r="C147" s="190">
        <v>0</v>
      </c>
      <c r="D147" s="207" t="s">
        <v>3</v>
      </c>
      <c r="E147" s="188"/>
      <c r="F147" s="174">
        <f t="shared" si="96"/>
        <v>0</v>
      </c>
      <c r="G147" s="186">
        <v>0.05</v>
      </c>
      <c r="H147" s="186">
        <v>0.02</v>
      </c>
      <c r="I147" s="186">
        <v>0.05</v>
      </c>
      <c r="J147" s="187">
        <v>0.122</v>
      </c>
      <c r="K147" s="186">
        <v>0.1</v>
      </c>
      <c r="L147" s="171">
        <f t="shared" si="97"/>
        <v>0</v>
      </c>
      <c r="M147" s="171">
        <f t="shared" si="98"/>
        <v>0</v>
      </c>
      <c r="N147" s="171">
        <f t="shared" si="99"/>
        <v>0</v>
      </c>
      <c r="O147" s="171">
        <f t="shared" si="100"/>
        <v>0</v>
      </c>
      <c r="P147" s="171">
        <f t="shared" si="101"/>
        <v>0</v>
      </c>
      <c r="Q147" s="170">
        <f t="shared" si="102"/>
        <v>0</v>
      </c>
      <c r="R147" s="185">
        <v>0.05</v>
      </c>
      <c r="S147" s="185">
        <v>0.05</v>
      </c>
      <c r="T147" s="185">
        <v>0.05</v>
      </c>
      <c r="U147" s="184">
        <v>0.1</v>
      </c>
      <c r="V147" s="167">
        <f t="shared" si="103"/>
        <v>0</v>
      </c>
      <c r="W147" s="167">
        <f t="shared" si="104"/>
        <v>0</v>
      </c>
      <c r="X147" s="167">
        <f t="shared" si="105"/>
        <v>0</v>
      </c>
      <c r="Y147" s="167">
        <f t="shared" si="106"/>
        <v>0</v>
      </c>
      <c r="Z147" s="183">
        <f t="shared" si="107"/>
        <v>0</v>
      </c>
      <c r="AA147" s="182">
        <v>70</v>
      </c>
      <c r="AB147" s="181"/>
      <c r="AC147" s="180">
        <v>70</v>
      </c>
      <c r="AD147" s="193"/>
    </row>
    <row r="148" spans="1:30" ht="15.75">
      <c r="A148" s="208" t="s">
        <v>27</v>
      </c>
      <c r="B148" s="191"/>
      <c r="C148" s="190">
        <v>0</v>
      </c>
      <c r="D148" s="207" t="s">
        <v>3</v>
      </c>
      <c r="E148" s="188"/>
      <c r="F148" s="174">
        <f t="shared" si="96"/>
        <v>0</v>
      </c>
      <c r="G148" s="186">
        <v>0.05</v>
      </c>
      <c r="H148" s="186">
        <v>0.02</v>
      </c>
      <c r="I148" s="186">
        <v>0.05</v>
      </c>
      <c r="J148" s="187">
        <v>0.122</v>
      </c>
      <c r="K148" s="186">
        <v>0.1</v>
      </c>
      <c r="L148" s="171">
        <f t="shared" si="97"/>
        <v>0</v>
      </c>
      <c r="M148" s="171">
        <f t="shared" si="98"/>
        <v>0</v>
      </c>
      <c r="N148" s="171">
        <f t="shared" si="99"/>
        <v>0</v>
      </c>
      <c r="O148" s="171">
        <f t="shared" si="100"/>
        <v>0</v>
      </c>
      <c r="P148" s="171">
        <f t="shared" si="101"/>
        <v>0</v>
      </c>
      <c r="Q148" s="170">
        <f t="shared" si="102"/>
        <v>0</v>
      </c>
      <c r="R148" s="185">
        <v>0.05</v>
      </c>
      <c r="S148" s="185">
        <v>0.05</v>
      </c>
      <c r="T148" s="185">
        <v>0.05</v>
      </c>
      <c r="U148" s="184">
        <v>0.1</v>
      </c>
      <c r="V148" s="167">
        <f t="shared" si="103"/>
        <v>0</v>
      </c>
      <c r="W148" s="167">
        <f t="shared" si="104"/>
        <v>0</v>
      </c>
      <c r="X148" s="167">
        <f t="shared" si="105"/>
        <v>0</v>
      </c>
      <c r="Y148" s="167">
        <f t="shared" si="106"/>
        <v>0</v>
      </c>
      <c r="Z148" s="183">
        <f t="shared" si="107"/>
        <v>0</v>
      </c>
      <c r="AA148" s="182">
        <v>70</v>
      </c>
      <c r="AB148" s="181"/>
      <c r="AC148" s="180">
        <v>70</v>
      </c>
      <c r="AD148" s="193"/>
    </row>
    <row r="149" spans="1:30" ht="15.75">
      <c r="A149" s="208" t="s">
        <v>26</v>
      </c>
      <c r="B149" s="191"/>
      <c r="C149" s="190">
        <v>0</v>
      </c>
      <c r="D149" s="207" t="s">
        <v>3</v>
      </c>
      <c r="E149" s="188"/>
      <c r="F149" s="174">
        <f t="shared" si="96"/>
        <v>0</v>
      </c>
      <c r="G149" s="186">
        <v>0.05</v>
      </c>
      <c r="H149" s="186">
        <v>0.02</v>
      </c>
      <c r="I149" s="186">
        <v>0.05</v>
      </c>
      <c r="J149" s="187">
        <v>0.122</v>
      </c>
      <c r="K149" s="186">
        <v>0.1</v>
      </c>
      <c r="L149" s="171">
        <f t="shared" si="97"/>
        <v>0</v>
      </c>
      <c r="M149" s="171">
        <f t="shared" si="98"/>
        <v>0</v>
      </c>
      <c r="N149" s="171">
        <f t="shared" si="99"/>
        <v>0</v>
      </c>
      <c r="O149" s="171">
        <f t="shared" si="100"/>
        <v>0</v>
      </c>
      <c r="P149" s="171">
        <f t="shared" si="101"/>
        <v>0</v>
      </c>
      <c r="Q149" s="170">
        <f t="shared" si="102"/>
        <v>0</v>
      </c>
      <c r="R149" s="185">
        <v>0.05</v>
      </c>
      <c r="S149" s="185">
        <v>0.05</v>
      </c>
      <c r="T149" s="185">
        <v>0.05</v>
      </c>
      <c r="U149" s="184">
        <v>0.1</v>
      </c>
      <c r="V149" s="167">
        <f t="shared" si="103"/>
        <v>0</v>
      </c>
      <c r="W149" s="167">
        <f t="shared" si="104"/>
        <v>0</v>
      </c>
      <c r="X149" s="167">
        <f t="shared" si="105"/>
        <v>0</v>
      </c>
      <c r="Y149" s="167">
        <f t="shared" si="106"/>
        <v>0</v>
      </c>
      <c r="Z149" s="183">
        <f t="shared" si="107"/>
        <v>0</v>
      </c>
      <c r="AA149" s="182">
        <v>70</v>
      </c>
      <c r="AB149" s="181"/>
      <c r="AC149" s="180">
        <v>70</v>
      </c>
      <c r="AD149" s="193"/>
    </row>
    <row r="150" spans="1:30" ht="15.75">
      <c r="A150" s="208" t="s">
        <v>25</v>
      </c>
      <c r="B150" s="191"/>
      <c r="C150" s="190">
        <v>0</v>
      </c>
      <c r="D150" s="207" t="s">
        <v>3</v>
      </c>
      <c r="E150" s="188"/>
      <c r="F150" s="174">
        <f t="shared" si="96"/>
        <v>0</v>
      </c>
      <c r="G150" s="186">
        <v>0.05</v>
      </c>
      <c r="H150" s="186">
        <v>0.02</v>
      </c>
      <c r="I150" s="186">
        <v>0.05</v>
      </c>
      <c r="J150" s="187">
        <v>0.122</v>
      </c>
      <c r="K150" s="186">
        <v>0.1</v>
      </c>
      <c r="L150" s="171">
        <f t="shared" si="97"/>
        <v>0</v>
      </c>
      <c r="M150" s="171">
        <f t="shared" si="98"/>
        <v>0</v>
      </c>
      <c r="N150" s="171">
        <f t="shared" si="99"/>
        <v>0</v>
      </c>
      <c r="O150" s="171">
        <f t="shared" si="100"/>
        <v>0</v>
      </c>
      <c r="P150" s="171">
        <f t="shared" si="101"/>
        <v>0</v>
      </c>
      <c r="Q150" s="170">
        <f t="shared" si="102"/>
        <v>0</v>
      </c>
      <c r="R150" s="185">
        <v>0.05</v>
      </c>
      <c r="S150" s="185">
        <v>0.05</v>
      </c>
      <c r="T150" s="185">
        <v>0.05</v>
      </c>
      <c r="U150" s="184">
        <v>0.1</v>
      </c>
      <c r="V150" s="167">
        <f t="shared" si="103"/>
        <v>0</v>
      </c>
      <c r="W150" s="167">
        <f t="shared" si="104"/>
        <v>0</v>
      </c>
      <c r="X150" s="167">
        <f t="shared" si="105"/>
        <v>0</v>
      </c>
      <c r="Y150" s="167">
        <f t="shared" si="106"/>
        <v>0</v>
      </c>
      <c r="Z150" s="183">
        <f t="shared" si="107"/>
        <v>0</v>
      </c>
      <c r="AA150" s="182">
        <v>70</v>
      </c>
      <c r="AB150" s="181"/>
      <c r="AC150" s="180">
        <v>70</v>
      </c>
      <c r="AD150" s="193"/>
    </row>
    <row r="151" spans="1:30" ht="15.75">
      <c r="A151" s="208" t="s">
        <v>24</v>
      </c>
      <c r="B151" s="191"/>
      <c r="C151" s="190">
        <v>0</v>
      </c>
      <c r="D151" s="207" t="s">
        <v>3</v>
      </c>
      <c r="E151" s="188"/>
      <c r="F151" s="174">
        <f t="shared" si="96"/>
        <v>0</v>
      </c>
      <c r="G151" s="186">
        <v>0.05</v>
      </c>
      <c r="H151" s="186">
        <v>0.02</v>
      </c>
      <c r="I151" s="186">
        <v>0.05</v>
      </c>
      <c r="J151" s="187">
        <v>0.122</v>
      </c>
      <c r="K151" s="186">
        <v>0.1</v>
      </c>
      <c r="L151" s="171">
        <f t="shared" si="97"/>
        <v>0</v>
      </c>
      <c r="M151" s="171">
        <f t="shared" si="98"/>
        <v>0</v>
      </c>
      <c r="N151" s="171">
        <f t="shared" si="99"/>
        <v>0</v>
      </c>
      <c r="O151" s="171">
        <f t="shared" si="100"/>
        <v>0</v>
      </c>
      <c r="P151" s="171">
        <f t="shared" si="101"/>
        <v>0</v>
      </c>
      <c r="Q151" s="170">
        <f t="shared" si="102"/>
        <v>0</v>
      </c>
      <c r="R151" s="185">
        <v>0.05</v>
      </c>
      <c r="S151" s="185">
        <v>0.05</v>
      </c>
      <c r="T151" s="185">
        <v>0.05</v>
      </c>
      <c r="U151" s="184">
        <v>0.1</v>
      </c>
      <c r="V151" s="167">
        <f t="shared" si="103"/>
        <v>0</v>
      </c>
      <c r="W151" s="167">
        <f t="shared" si="104"/>
        <v>0</v>
      </c>
      <c r="X151" s="167">
        <f t="shared" si="105"/>
        <v>0</v>
      </c>
      <c r="Y151" s="167">
        <f t="shared" si="106"/>
        <v>0</v>
      </c>
      <c r="Z151" s="183">
        <f t="shared" si="107"/>
        <v>0</v>
      </c>
      <c r="AA151" s="182">
        <v>70</v>
      </c>
      <c r="AB151" s="181"/>
      <c r="AC151" s="180">
        <v>70</v>
      </c>
      <c r="AD151" s="193"/>
    </row>
    <row r="152" spans="1:30" ht="15.75">
      <c r="A152" s="208" t="s">
        <v>23</v>
      </c>
      <c r="B152" s="191"/>
      <c r="C152" s="190">
        <v>0</v>
      </c>
      <c r="D152" s="207" t="s">
        <v>3</v>
      </c>
      <c r="E152" s="188"/>
      <c r="F152" s="174">
        <f t="shared" si="96"/>
        <v>0</v>
      </c>
      <c r="G152" s="186">
        <v>0.05</v>
      </c>
      <c r="H152" s="186">
        <v>0.02</v>
      </c>
      <c r="I152" s="186">
        <v>0.05</v>
      </c>
      <c r="J152" s="187">
        <v>0.122</v>
      </c>
      <c r="K152" s="186">
        <v>0.1</v>
      </c>
      <c r="L152" s="171">
        <f t="shared" si="97"/>
        <v>0</v>
      </c>
      <c r="M152" s="171">
        <f t="shared" si="98"/>
        <v>0</v>
      </c>
      <c r="N152" s="171">
        <f t="shared" si="99"/>
        <v>0</v>
      </c>
      <c r="O152" s="171">
        <f t="shared" si="100"/>
        <v>0</v>
      </c>
      <c r="P152" s="171">
        <f t="shared" si="101"/>
        <v>0</v>
      </c>
      <c r="Q152" s="170">
        <f t="shared" si="102"/>
        <v>0</v>
      </c>
      <c r="R152" s="185">
        <v>0.05</v>
      </c>
      <c r="S152" s="185">
        <v>0.05</v>
      </c>
      <c r="T152" s="185">
        <v>0.05</v>
      </c>
      <c r="U152" s="184">
        <v>0.1</v>
      </c>
      <c r="V152" s="167">
        <f t="shared" si="103"/>
        <v>0</v>
      </c>
      <c r="W152" s="167">
        <f t="shared" si="104"/>
        <v>0</v>
      </c>
      <c r="X152" s="167">
        <f t="shared" si="105"/>
        <v>0</v>
      </c>
      <c r="Y152" s="167">
        <f t="shared" si="106"/>
        <v>0</v>
      </c>
      <c r="Z152" s="183">
        <f t="shared" si="107"/>
        <v>0</v>
      </c>
      <c r="AA152" s="182">
        <v>70</v>
      </c>
      <c r="AB152" s="181"/>
      <c r="AC152" s="180">
        <v>70</v>
      </c>
      <c r="AD152" s="193"/>
    </row>
    <row r="153" spans="1:30" ht="18">
      <c r="A153" s="206" t="s">
        <v>22</v>
      </c>
      <c r="B153" s="205"/>
      <c r="C153" s="204"/>
      <c r="D153" s="210"/>
      <c r="E153" s="209"/>
      <c r="F153" s="200"/>
      <c r="G153" s="200"/>
      <c r="H153" s="200"/>
      <c r="I153" s="200"/>
      <c r="J153" s="201"/>
      <c r="K153" s="200"/>
      <c r="L153" s="200"/>
      <c r="M153" s="200"/>
      <c r="N153" s="200"/>
      <c r="O153" s="200"/>
      <c r="P153" s="200"/>
      <c r="Q153" s="200"/>
      <c r="R153" s="199"/>
      <c r="S153" s="199"/>
      <c r="T153" s="199"/>
      <c r="U153" s="197"/>
      <c r="V153" s="197"/>
      <c r="W153" s="197"/>
      <c r="X153" s="197"/>
      <c r="Y153" s="197"/>
      <c r="Z153" s="198"/>
      <c r="AA153" s="197"/>
      <c r="AB153" s="197"/>
      <c r="AC153" s="195"/>
      <c r="AD153" s="194"/>
    </row>
    <row r="154" spans="1:30" ht="30">
      <c r="A154" s="208" t="s">
        <v>21</v>
      </c>
      <c r="B154" s="191"/>
      <c r="C154" s="190">
        <v>0</v>
      </c>
      <c r="D154" s="207" t="s">
        <v>3</v>
      </c>
      <c r="E154" s="188">
        <v>65</v>
      </c>
      <c r="F154" s="174">
        <f t="shared" ref="F154:F163" si="108">E154*C154</f>
        <v>0</v>
      </c>
      <c r="G154" s="186">
        <v>0.05</v>
      </c>
      <c r="H154" s="186">
        <v>0.02</v>
      </c>
      <c r="I154" s="186">
        <v>0.05</v>
      </c>
      <c r="J154" s="187">
        <v>0.122</v>
      </c>
      <c r="K154" s="186">
        <v>0.1</v>
      </c>
      <c r="L154" s="171">
        <f t="shared" ref="L154:L163" si="109">F154*G154</f>
        <v>0</v>
      </c>
      <c r="M154" s="171">
        <f t="shared" ref="M154:M163" si="110">(F154+L154)*H154</f>
        <v>0</v>
      </c>
      <c r="N154" s="171">
        <f t="shared" ref="N154:N163" si="111">(F154+L154+M154)*I154</f>
        <v>0</v>
      </c>
      <c r="O154" s="171">
        <f t="shared" ref="O154:O163" si="112">(F154+L154+M154+N154)*J154</f>
        <v>0</v>
      </c>
      <c r="P154" s="171">
        <f t="shared" ref="P154:P163" si="113">(F154+L154+M154+N154+O154)*K154</f>
        <v>0</v>
      </c>
      <c r="Q154" s="170">
        <f t="shared" ref="Q154:Q163" si="114">F154+SUM(L154:P154)</f>
        <v>0</v>
      </c>
      <c r="R154" s="185">
        <v>0.05</v>
      </c>
      <c r="S154" s="185">
        <v>0.05</v>
      </c>
      <c r="T154" s="185">
        <v>0.05</v>
      </c>
      <c r="U154" s="184">
        <v>0.1</v>
      </c>
      <c r="V154" s="167">
        <f t="shared" ref="V154:V163" si="115">Q154*R154</f>
        <v>0</v>
      </c>
      <c r="W154" s="167">
        <f t="shared" ref="W154:W163" si="116">Q154*S154</f>
        <v>0</v>
      </c>
      <c r="X154" s="167">
        <f t="shared" ref="X154:X163" si="117">Q154*T154</f>
        <v>0</v>
      </c>
      <c r="Y154" s="167">
        <f t="shared" ref="Y154:Y163" si="118">U154*(V154+W154)</f>
        <v>0</v>
      </c>
      <c r="Z154" s="183">
        <f t="shared" ref="Z154:Z163" si="119">Q154+SUM(V154:Y154)</f>
        <v>0</v>
      </c>
      <c r="AA154" s="182">
        <v>70</v>
      </c>
      <c r="AB154" s="181"/>
      <c r="AC154" s="180">
        <v>70</v>
      </c>
      <c r="AD154" s="193"/>
    </row>
    <row r="155" spans="1:30" ht="30">
      <c r="A155" s="208" t="s">
        <v>20</v>
      </c>
      <c r="B155" s="191"/>
      <c r="C155" s="190">
        <v>0</v>
      </c>
      <c r="D155" s="207" t="s">
        <v>3</v>
      </c>
      <c r="E155" s="188">
        <v>70</v>
      </c>
      <c r="F155" s="174">
        <f t="shared" si="108"/>
        <v>0</v>
      </c>
      <c r="G155" s="186">
        <v>0.05</v>
      </c>
      <c r="H155" s="186">
        <v>0.02</v>
      </c>
      <c r="I155" s="186">
        <v>0.05</v>
      </c>
      <c r="J155" s="187">
        <v>0.122</v>
      </c>
      <c r="K155" s="186">
        <v>0.1</v>
      </c>
      <c r="L155" s="171">
        <f t="shared" si="109"/>
        <v>0</v>
      </c>
      <c r="M155" s="171">
        <f t="shared" si="110"/>
        <v>0</v>
      </c>
      <c r="N155" s="171">
        <f t="shared" si="111"/>
        <v>0</v>
      </c>
      <c r="O155" s="171">
        <f t="shared" si="112"/>
        <v>0</v>
      </c>
      <c r="P155" s="171">
        <f t="shared" si="113"/>
        <v>0</v>
      </c>
      <c r="Q155" s="170">
        <f t="shared" si="114"/>
        <v>0</v>
      </c>
      <c r="R155" s="185">
        <v>0.05</v>
      </c>
      <c r="S155" s="185">
        <v>0.05</v>
      </c>
      <c r="T155" s="185">
        <v>0.05</v>
      </c>
      <c r="U155" s="184">
        <v>0.1</v>
      </c>
      <c r="V155" s="167">
        <f t="shared" si="115"/>
        <v>0</v>
      </c>
      <c r="W155" s="167">
        <f t="shared" si="116"/>
        <v>0</v>
      </c>
      <c r="X155" s="167">
        <f t="shared" si="117"/>
        <v>0</v>
      </c>
      <c r="Y155" s="167">
        <f t="shared" si="118"/>
        <v>0</v>
      </c>
      <c r="Z155" s="183">
        <f t="shared" si="119"/>
        <v>0</v>
      </c>
      <c r="AA155" s="182">
        <v>70</v>
      </c>
      <c r="AB155" s="181"/>
      <c r="AC155" s="180">
        <v>70</v>
      </c>
      <c r="AD155" s="193"/>
    </row>
    <row r="156" spans="1:30" ht="15.75">
      <c r="A156" s="208" t="s">
        <v>19</v>
      </c>
      <c r="B156" s="191"/>
      <c r="C156" s="190">
        <v>0</v>
      </c>
      <c r="D156" s="207" t="s">
        <v>3</v>
      </c>
      <c r="E156" s="188"/>
      <c r="F156" s="174">
        <f t="shared" si="108"/>
        <v>0</v>
      </c>
      <c r="G156" s="186">
        <v>0.05</v>
      </c>
      <c r="H156" s="186">
        <v>0.02</v>
      </c>
      <c r="I156" s="186">
        <v>0.05</v>
      </c>
      <c r="J156" s="187">
        <v>0.122</v>
      </c>
      <c r="K156" s="186">
        <v>0.1</v>
      </c>
      <c r="L156" s="171">
        <f t="shared" si="109"/>
        <v>0</v>
      </c>
      <c r="M156" s="171">
        <f t="shared" si="110"/>
        <v>0</v>
      </c>
      <c r="N156" s="171">
        <f t="shared" si="111"/>
        <v>0</v>
      </c>
      <c r="O156" s="171">
        <f t="shared" si="112"/>
        <v>0</v>
      </c>
      <c r="P156" s="171">
        <f t="shared" si="113"/>
        <v>0</v>
      </c>
      <c r="Q156" s="170">
        <f t="shared" si="114"/>
        <v>0</v>
      </c>
      <c r="R156" s="185">
        <v>0.05</v>
      </c>
      <c r="S156" s="185">
        <v>0.05</v>
      </c>
      <c r="T156" s="185">
        <v>0.05</v>
      </c>
      <c r="U156" s="184">
        <v>0.1</v>
      </c>
      <c r="V156" s="167">
        <f t="shared" si="115"/>
        <v>0</v>
      </c>
      <c r="W156" s="167">
        <f t="shared" si="116"/>
        <v>0</v>
      </c>
      <c r="X156" s="167">
        <f t="shared" si="117"/>
        <v>0</v>
      </c>
      <c r="Y156" s="167">
        <f t="shared" si="118"/>
        <v>0</v>
      </c>
      <c r="Z156" s="183">
        <f t="shared" si="119"/>
        <v>0</v>
      </c>
      <c r="AA156" s="182">
        <v>70</v>
      </c>
      <c r="AB156" s="181"/>
      <c r="AC156" s="180">
        <v>70</v>
      </c>
      <c r="AD156" s="193"/>
    </row>
    <row r="157" spans="1:30" ht="15.75">
      <c r="A157" s="208" t="s">
        <v>18</v>
      </c>
      <c r="B157" s="191"/>
      <c r="C157" s="190">
        <v>0</v>
      </c>
      <c r="D157" s="207" t="s">
        <v>3</v>
      </c>
      <c r="E157" s="188"/>
      <c r="F157" s="174">
        <f t="shared" si="108"/>
        <v>0</v>
      </c>
      <c r="G157" s="186">
        <v>0.05</v>
      </c>
      <c r="H157" s="186">
        <v>0.02</v>
      </c>
      <c r="I157" s="186">
        <v>0.05</v>
      </c>
      <c r="J157" s="187">
        <v>0.122</v>
      </c>
      <c r="K157" s="186">
        <v>0.1</v>
      </c>
      <c r="L157" s="171">
        <f t="shared" si="109"/>
        <v>0</v>
      </c>
      <c r="M157" s="171">
        <f t="shared" si="110"/>
        <v>0</v>
      </c>
      <c r="N157" s="171">
        <f t="shared" si="111"/>
        <v>0</v>
      </c>
      <c r="O157" s="171">
        <f t="shared" si="112"/>
        <v>0</v>
      </c>
      <c r="P157" s="171">
        <f t="shared" si="113"/>
        <v>0</v>
      </c>
      <c r="Q157" s="170">
        <f t="shared" si="114"/>
        <v>0</v>
      </c>
      <c r="R157" s="185">
        <v>0.05</v>
      </c>
      <c r="S157" s="185">
        <v>0.05</v>
      </c>
      <c r="T157" s="185">
        <v>0.05</v>
      </c>
      <c r="U157" s="184">
        <v>0.1</v>
      </c>
      <c r="V157" s="167">
        <f t="shared" si="115"/>
        <v>0</v>
      </c>
      <c r="W157" s="167">
        <f t="shared" si="116"/>
        <v>0</v>
      </c>
      <c r="X157" s="167">
        <f t="shared" si="117"/>
        <v>0</v>
      </c>
      <c r="Y157" s="167">
        <f t="shared" si="118"/>
        <v>0</v>
      </c>
      <c r="Z157" s="183">
        <f t="shared" si="119"/>
        <v>0</v>
      </c>
      <c r="AA157" s="182">
        <v>70</v>
      </c>
      <c r="AB157" s="181"/>
      <c r="AC157" s="180">
        <v>70</v>
      </c>
      <c r="AD157" s="193"/>
    </row>
    <row r="158" spans="1:30" ht="15.75">
      <c r="A158" s="208" t="s">
        <v>17</v>
      </c>
      <c r="B158" s="191"/>
      <c r="C158" s="190">
        <v>0</v>
      </c>
      <c r="D158" s="207" t="s">
        <v>3</v>
      </c>
      <c r="E158" s="188"/>
      <c r="F158" s="174">
        <f t="shared" si="108"/>
        <v>0</v>
      </c>
      <c r="G158" s="186">
        <v>0.05</v>
      </c>
      <c r="H158" s="186">
        <v>0.02</v>
      </c>
      <c r="I158" s="186">
        <v>0.05</v>
      </c>
      <c r="J158" s="187">
        <v>0.122</v>
      </c>
      <c r="K158" s="186">
        <v>0.1</v>
      </c>
      <c r="L158" s="171">
        <f t="shared" si="109"/>
        <v>0</v>
      </c>
      <c r="M158" s="171">
        <f t="shared" si="110"/>
        <v>0</v>
      </c>
      <c r="N158" s="171">
        <f t="shared" si="111"/>
        <v>0</v>
      </c>
      <c r="O158" s="171">
        <f t="shared" si="112"/>
        <v>0</v>
      </c>
      <c r="P158" s="171">
        <f t="shared" si="113"/>
        <v>0</v>
      </c>
      <c r="Q158" s="170">
        <f t="shared" si="114"/>
        <v>0</v>
      </c>
      <c r="R158" s="185">
        <v>0.05</v>
      </c>
      <c r="S158" s="185">
        <v>0.05</v>
      </c>
      <c r="T158" s="185">
        <v>0.05</v>
      </c>
      <c r="U158" s="184">
        <v>0.1</v>
      </c>
      <c r="V158" s="167">
        <f t="shared" si="115"/>
        <v>0</v>
      </c>
      <c r="W158" s="167">
        <f t="shared" si="116"/>
        <v>0</v>
      </c>
      <c r="X158" s="167">
        <f t="shared" si="117"/>
        <v>0</v>
      </c>
      <c r="Y158" s="167">
        <f t="shared" si="118"/>
        <v>0</v>
      </c>
      <c r="Z158" s="183">
        <f t="shared" si="119"/>
        <v>0</v>
      </c>
      <c r="AA158" s="182">
        <v>70</v>
      </c>
      <c r="AB158" s="181"/>
      <c r="AC158" s="180">
        <v>70</v>
      </c>
      <c r="AD158" s="193"/>
    </row>
    <row r="159" spans="1:30" ht="15.75">
      <c r="A159" s="208" t="s">
        <v>16</v>
      </c>
      <c r="B159" s="191"/>
      <c r="C159" s="190">
        <v>0</v>
      </c>
      <c r="D159" s="207" t="s">
        <v>3</v>
      </c>
      <c r="E159" s="188"/>
      <c r="F159" s="174">
        <f t="shared" si="108"/>
        <v>0</v>
      </c>
      <c r="G159" s="186">
        <v>0.05</v>
      </c>
      <c r="H159" s="186">
        <v>0.02</v>
      </c>
      <c r="I159" s="186">
        <v>0.05</v>
      </c>
      <c r="J159" s="187">
        <v>0.122</v>
      </c>
      <c r="K159" s="186">
        <v>0.1</v>
      </c>
      <c r="L159" s="171">
        <f t="shared" si="109"/>
        <v>0</v>
      </c>
      <c r="M159" s="171">
        <f t="shared" si="110"/>
        <v>0</v>
      </c>
      <c r="N159" s="171">
        <f t="shared" si="111"/>
        <v>0</v>
      </c>
      <c r="O159" s="171">
        <f t="shared" si="112"/>
        <v>0</v>
      </c>
      <c r="P159" s="171">
        <f t="shared" si="113"/>
        <v>0</v>
      </c>
      <c r="Q159" s="170">
        <f t="shared" si="114"/>
        <v>0</v>
      </c>
      <c r="R159" s="185">
        <v>0.05</v>
      </c>
      <c r="S159" s="185">
        <v>0.05</v>
      </c>
      <c r="T159" s="185">
        <v>0.05</v>
      </c>
      <c r="U159" s="184">
        <v>0.1</v>
      </c>
      <c r="V159" s="167">
        <f t="shared" si="115"/>
        <v>0</v>
      </c>
      <c r="W159" s="167">
        <f t="shared" si="116"/>
        <v>0</v>
      </c>
      <c r="X159" s="167">
        <f t="shared" si="117"/>
        <v>0</v>
      </c>
      <c r="Y159" s="167">
        <f t="shared" si="118"/>
        <v>0</v>
      </c>
      <c r="Z159" s="183">
        <f t="shared" si="119"/>
        <v>0</v>
      </c>
      <c r="AA159" s="182">
        <v>70</v>
      </c>
      <c r="AB159" s="181"/>
      <c r="AC159" s="180">
        <v>70</v>
      </c>
      <c r="AD159" s="193"/>
    </row>
    <row r="160" spans="1:30" ht="15.75">
      <c r="A160" s="208" t="s">
        <v>15</v>
      </c>
      <c r="B160" s="191"/>
      <c r="C160" s="190">
        <v>0</v>
      </c>
      <c r="D160" s="207" t="s">
        <v>3</v>
      </c>
      <c r="E160" s="188"/>
      <c r="F160" s="174">
        <f t="shared" si="108"/>
        <v>0</v>
      </c>
      <c r="G160" s="186">
        <v>0.05</v>
      </c>
      <c r="H160" s="186">
        <v>0.02</v>
      </c>
      <c r="I160" s="186">
        <v>0.05</v>
      </c>
      <c r="J160" s="187">
        <v>0.122</v>
      </c>
      <c r="K160" s="186">
        <v>0.1</v>
      </c>
      <c r="L160" s="171">
        <f t="shared" si="109"/>
        <v>0</v>
      </c>
      <c r="M160" s="171">
        <f t="shared" si="110"/>
        <v>0</v>
      </c>
      <c r="N160" s="171">
        <f t="shared" si="111"/>
        <v>0</v>
      </c>
      <c r="O160" s="171">
        <f t="shared" si="112"/>
        <v>0</v>
      </c>
      <c r="P160" s="171">
        <f t="shared" si="113"/>
        <v>0</v>
      </c>
      <c r="Q160" s="170">
        <f t="shared" si="114"/>
        <v>0</v>
      </c>
      <c r="R160" s="185">
        <v>0.05</v>
      </c>
      <c r="S160" s="185">
        <v>0.05</v>
      </c>
      <c r="T160" s="185">
        <v>0.05</v>
      </c>
      <c r="U160" s="184">
        <v>0.1</v>
      </c>
      <c r="V160" s="167">
        <f t="shared" si="115"/>
        <v>0</v>
      </c>
      <c r="W160" s="167">
        <f t="shared" si="116"/>
        <v>0</v>
      </c>
      <c r="X160" s="167">
        <f t="shared" si="117"/>
        <v>0</v>
      </c>
      <c r="Y160" s="167">
        <f t="shared" si="118"/>
        <v>0</v>
      </c>
      <c r="Z160" s="183">
        <f t="shared" si="119"/>
        <v>0</v>
      </c>
      <c r="AA160" s="182">
        <v>70</v>
      </c>
      <c r="AB160" s="181"/>
      <c r="AC160" s="180">
        <v>70</v>
      </c>
      <c r="AD160" s="193"/>
    </row>
    <row r="161" spans="1:30" ht="15.75">
      <c r="A161" s="208" t="s">
        <v>14</v>
      </c>
      <c r="B161" s="191"/>
      <c r="C161" s="190">
        <v>0</v>
      </c>
      <c r="D161" s="207" t="s">
        <v>3</v>
      </c>
      <c r="E161" s="188"/>
      <c r="F161" s="174">
        <f t="shared" si="108"/>
        <v>0</v>
      </c>
      <c r="G161" s="186">
        <v>0.05</v>
      </c>
      <c r="H161" s="186">
        <v>0.02</v>
      </c>
      <c r="I161" s="186">
        <v>0.05</v>
      </c>
      <c r="J161" s="187">
        <v>0.122</v>
      </c>
      <c r="K161" s="186">
        <v>0.1</v>
      </c>
      <c r="L161" s="171">
        <f t="shared" si="109"/>
        <v>0</v>
      </c>
      <c r="M161" s="171">
        <f t="shared" si="110"/>
        <v>0</v>
      </c>
      <c r="N161" s="171">
        <f t="shared" si="111"/>
        <v>0</v>
      </c>
      <c r="O161" s="171">
        <f t="shared" si="112"/>
        <v>0</v>
      </c>
      <c r="P161" s="171">
        <f t="shared" si="113"/>
        <v>0</v>
      </c>
      <c r="Q161" s="170">
        <f t="shared" si="114"/>
        <v>0</v>
      </c>
      <c r="R161" s="185">
        <v>0.05</v>
      </c>
      <c r="S161" s="185">
        <v>0.05</v>
      </c>
      <c r="T161" s="185">
        <v>0.05</v>
      </c>
      <c r="U161" s="184">
        <v>0.1</v>
      </c>
      <c r="V161" s="167">
        <f t="shared" si="115"/>
        <v>0</v>
      </c>
      <c r="W161" s="167">
        <f t="shared" si="116"/>
        <v>0</v>
      </c>
      <c r="X161" s="167">
        <f t="shared" si="117"/>
        <v>0</v>
      </c>
      <c r="Y161" s="167">
        <f t="shared" si="118"/>
        <v>0</v>
      </c>
      <c r="Z161" s="183">
        <f t="shared" si="119"/>
        <v>0</v>
      </c>
      <c r="AA161" s="182">
        <v>70</v>
      </c>
      <c r="AB161" s="181"/>
      <c r="AC161" s="180">
        <v>70</v>
      </c>
      <c r="AD161" s="193"/>
    </row>
    <row r="162" spans="1:30" ht="15.75">
      <c r="A162" s="208" t="s">
        <v>13</v>
      </c>
      <c r="B162" s="191"/>
      <c r="C162" s="190">
        <v>0</v>
      </c>
      <c r="D162" s="207" t="s">
        <v>3</v>
      </c>
      <c r="E162" s="188"/>
      <c r="F162" s="174">
        <f t="shared" si="108"/>
        <v>0</v>
      </c>
      <c r="G162" s="186">
        <v>0.05</v>
      </c>
      <c r="H162" s="186">
        <v>0.02</v>
      </c>
      <c r="I162" s="186">
        <v>0.05</v>
      </c>
      <c r="J162" s="187">
        <v>0.122</v>
      </c>
      <c r="K162" s="186">
        <v>0.1</v>
      </c>
      <c r="L162" s="171">
        <f t="shared" si="109"/>
        <v>0</v>
      </c>
      <c r="M162" s="171">
        <f t="shared" si="110"/>
        <v>0</v>
      </c>
      <c r="N162" s="171">
        <f t="shared" si="111"/>
        <v>0</v>
      </c>
      <c r="O162" s="171">
        <f t="shared" si="112"/>
        <v>0</v>
      </c>
      <c r="P162" s="171">
        <f t="shared" si="113"/>
        <v>0</v>
      </c>
      <c r="Q162" s="170">
        <f t="shared" si="114"/>
        <v>0</v>
      </c>
      <c r="R162" s="185">
        <v>0.05</v>
      </c>
      <c r="S162" s="185">
        <v>0.05</v>
      </c>
      <c r="T162" s="185">
        <v>0.05</v>
      </c>
      <c r="U162" s="184">
        <v>0.1</v>
      </c>
      <c r="V162" s="167">
        <f t="shared" si="115"/>
        <v>0</v>
      </c>
      <c r="W162" s="167">
        <f t="shared" si="116"/>
        <v>0</v>
      </c>
      <c r="X162" s="167">
        <f t="shared" si="117"/>
        <v>0</v>
      </c>
      <c r="Y162" s="167">
        <f t="shared" si="118"/>
        <v>0</v>
      </c>
      <c r="Z162" s="183">
        <f t="shared" si="119"/>
        <v>0</v>
      </c>
      <c r="AA162" s="182">
        <v>70</v>
      </c>
      <c r="AB162" s="181"/>
      <c r="AC162" s="180">
        <v>70</v>
      </c>
      <c r="AD162" s="193"/>
    </row>
    <row r="163" spans="1:30" ht="15.75">
      <c r="A163" s="208" t="s">
        <v>12</v>
      </c>
      <c r="B163" s="191"/>
      <c r="C163" s="190">
        <v>0</v>
      </c>
      <c r="D163" s="207" t="s">
        <v>3</v>
      </c>
      <c r="E163" s="188"/>
      <c r="F163" s="174">
        <f t="shared" si="108"/>
        <v>0</v>
      </c>
      <c r="G163" s="186">
        <v>0.05</v>
      </c>
      <c r="H163" s="186">
        <v>0.02</v>
      </c>
      <c r="I163" s="186">
        <v>0.05</v>
      </c>
      <c r="J163" s="187">
        <v>0.122</v>
      </c>
      <c r="K163" s="186">
        <v>0.1</v>
      </c>
      <c r="L163" s="171">
        <f t="shared" si="109"/>
        <v>0</v>
      </c>
      <c r="M163" s="171">
        <f t="shared" si="110"/>
        <v>0</v>
      </c>
      <c r="N163" s="171">
        <f t="shared" si="111"/>
        <v>0</v>
      </c>
      <c r="O163" s="171">
        <f t="shared" si="112"/>
        <v>0</v>
      </c>
      <c r="P163" s="171">
        <f t="shared" si="113"/>
        <v>0</v>
      </c>
      <c r="Q163" s="170">
        <f t="shared" si="114"/>
        <v>0</v>
      </c>
      <c r="R163" s="185">
        <v>0.05</v>
      </c>
      <c r="S163" s="185">
        <v>0.05</v>
      </c>
      <c r="T163" s="185">
        <v>0.05</v>
      </c>
      <c r="U163" s="184">
        <v>0.1</v>
      </c>
      <c r="V163" s="167">
        <f t="shared" si="115"/>
        <v>0</v>
      </c>
      <c r="W163" s="167">
        <f t="shared" si="116"/>
        <v>0</v>
      </c>
      <c r="X163" s="167">
        <f t="shared" si="117"/>
        <v>0</v>
      </c>
      <c r="Y163" s="167">
        <f t="shared" si="118"/>
        <v>0</v>
      </c>
      <c r="Z163" s="183">
        <f t="shared" si="119"/>
        <v>0</v>
      </c>
      <c r="AA163" s="182">
        <v>70</v>
      </c>
      <c r="AB163" s="181"/>
      <c r="AC163" s="180">
        <v>70</v>
      </c>
      <c r="AD163" s="193"/>
    </row>
    <row r="164" spans="1:30" ht="18">
      <c r="A164" s="206" t="s">
        <v>11</v>
      </c>
      <c r="B164" s="205"/>
      <c r="C164" s="204"/>
      <c r="D164" s="203"/>
      <c r="E164" s="202"/>
      <c r="F164" s="200"/>
      <c r="G164" s="200"/>
      <c r="H164" s="200"/>
      <c r="I164" s="200"/>
      <c r="J164" s="201"/>
      <c r="K164" s="200"/>
      <c r="L164" s="200"/>
      <c r="M164" s="200"/>
      <c r="N164" s="200"/>
      <c r="O164" s="200"/>
      <c r="P164" s="200"/>
      <c r="Q164" s="200"/>
      <c r="R164" s="199"/>
      <c r="S164" s="199"/>
      <c r="T164" s="199"/>
      <c r="U164" s="197"/>
      <c r="V164" s="197"/>
      <c r="W164" s="197"/>
      <c r="X164" s="197"/>
      <c r="Y164" s="197"/>
      <c r="Z164" s="198"/>
      <c r="AA164" s="197"/>
      <c r="AB164" s="196"/>
      <c r="AC164" s="195"/>
      <c r="AD164" s="194"/>
    </row>
    <row r="165" spans="1:30" ht="15.75">
      <c r="A165" s="192" t="s">
        <v>10</v>
      </c>
      <c r="B165" s="191"/>
      <c r="C165" s="190">
        <v>0</v>
      </c>
      <c r="D165" s="189" t="s">
        <v>5</v>
      </c>
      <c r="E165" s="188">
        <v>20000</v>
      </c>
      <c r="F165" s="174">
        <f t="shared" ref="F165:F170" si="120">E165*C165</f>
        <v>0</v>
      </c>
      <c r="G165" s="186">
        <v>0.05</v>
      </c>
      <c r="H165" s="186">
        <v>0.02</v>
      </c>
      <c r="I165" s="186">
        <v>0.05</v>
      </c>
      <c r="J165" s="187">
        <v>0.122</v>
      </c>
      <c r="K165" s="186">
        <v>0.1</v>
      </c>
      <c r="L165" s="171">
        <f t="shared" ref="L165:L170" si="121">F165*G165</f>
        <v>0</v>
      </c>
      <c r="M165" s="171">
        <f t="shared" ref="M165:M170" si="122">(F165+L165)*H165</f>
        <v>0</v>
      </c>
      <c r="N165" s="171">
        <f t="shared" ref="N165:N170" si="123">(F165+L165+M165)*I165</f>
        <v>0</v>
      </c>
      <c r="O165" s="171">
        <f t="shared" ref="O165:O170" si="124">(F165+L165+M165+N165)*J165</f>
        <v>0</v>
      </c>
      <c r="P165" s="171">
        <f t="shared" ref="P165:P170" si="125">(F165+L165+M165+N165+O165)*K165</f>
        <v>0</v>
      </c>
      <c r="Q165" s="170">
        <f t="shared" ref="Q165:Q170" si="126">F165+SUM(L165:P165)</f>
        <v>0</v>
      </c>
      <c r="R165" s="185">
        <v>0.05</v>
      </c>
      <c r="S165" s="185">
        <v>0.05</v>
      </c>
      <c r="T165" s="185">
        <v>0.05</v>
      </c>
      <c r="U165" s="184">
        <v>0.1</v>
      </c>
      <c r="V165" s="167">
        <f t="shared" ref="V165:V170" si="127">Q165*R165</f>
        <v>0</v>
      </c>
      <c r="W165" s="167">
        <f t="shared" ref="W165:W170" si="128">Q165*S165</f>
        <v>0</v>
      </c>
      <c r="X165" s="167">
        <f t="shared" ref="X165:X170" si="129">Q165*T165</f>
        <v>0</v>
      </c>
      <c r="Y165" s="167">
        <f t="shared" ref="Y165:Y170" si="130">U165*(V165+W165)</f>
        <v>0</v>
      </c>
      <c r="Z165" s="183">
        <f t="shared" ref="Z165:Z170" si="131">Q165+SUM(V165:Y165)</f>
        <v>0</v>
      </c>
      <c r="AA165" s="182">
        <v>35</v>
      </c>
      <c r="AB165" s="181"/>
      <c r="AC165" s="180">
        <v>35</v>
      </c>
      <c r="AD165" s="193"/>
    </row>
    <row r="166" spans="1:30" ht="30">
      <c r="A166" s="192" t="s">
        <v>9</v>
      </c>
      <c r="B166" s="191"/>
      <c r="C166" s="190">
        <v>0</v>
      </c>
      <c r="D166" s="189" t="s">
        <v>5</v>
      </c>
      <c r="E166" s="188">
        <v>52250</v>
      </c>
      <c r="F166" s="174">
        <f t="shared" si="120"/>
        <v>0</v>
      </c>
      <c r="G166" s="186">
        <v>0.05</v>
      </c>
      <c r="H166" s="186">
        <v>0.02</v>
      </c>
      <c r="I166" s="186">
        <v>0.05</v>
      </c>
      <c r="J166" s="187">
        <v>0.122</v>
      </c>
      <c r="K166" s="186">
        <v>0.1</v>
      </c>
      <c r="L166" s="171">
        <f t="shared" si="121"/>
        <v>0</v>
      </c>
      <c r="M166" s="171">
        <f t="shared" si="122"/>
        <v>0</v>
      </c>
      <c r="N166" s="171">
        <f t="shared" si="123"/>
        <v>0</v>
      </c>
      <c r="O166" s="171">
        <f t="shared" si="124"/>
        <v>0</v>
      </c>
      <c r="P166" s="171">
        <f t="shared" si="125"/>
        <v>0</v>
      </c>
      <c r="Q166" s="170">
        <f t="shared" si="126"/>
        <v>0</v>
      </c>
      <c r="R166" s="185">
        <v>0.05</v>
      </c>
      <c r="S166" s="185">
        <v>0.05</v>
      </c>
      <c r="T166" s="185">
        <v>0.05</v>
      </c>
      <c r="U166" s="184">
        <v>0.1</v>
      </c>
      <c r="V166" s="167">
        <f t="shared" si="127"/>
        <v>0</v>
      </c>
      <c r="W166" s="167">
        <f t="shared" si="128"/>
        <v>0</v>
      </c>
      <c r="X166" s="167">
        <f t="shared" si="129"/>
        <v>0</v>
      </c>
      <c r="Y166" s="167">
        <f t="shared" si="130"/>
        <v>0</v>
      </c>
      <c r="Z166" s="183">
        <f t="shared" si="131"/>
        <v>0</v>
      </c>
      <c r="AA166" s="182">
        <v>75</v>
      </c>
      <c r="AB166" s="181"/>
      <c r="AC166" s="180">
        <v>75</v>
      </c>
      <c r="AD166" s="193"/>
    </row>
    <row r="167" spans="1:30" ht="30">
      <c r="A167" s="192" t="s">
        <v>8</v>
      </c>
      <c r="B167" s="191"/>
      <c r="C167" s="190">
        <v>2</v>
      </c>
      <c r="D167" s="189" t="s">
        <v>5</v>
      </c>
      <c r="E167" s="188">
        <v>17500</v>
      </c>
      <c r="F167" s="174">
        <f t="shared" si="120"/>
        <v>35000</v>
      </c>
      <c r="G167" s="186">
        <v>0.05</v>
      </c>
      <c r="H167" s="186">
        <v>0.02</v>
      </c>
      <c r="I167" s="186">
        <v>0.05</v>
      </c>
      <c r="J167" s="187">
        <v>0.122</v>
      </c>
      <c r="K167" s="186">
        <v>0.1</v>
      </c>
      <c r="L167" s="171">
        <f t="shared" si="121"/>
        <v>1750</v>
      </c>
      <c r="M167" s="171">
        <f t="shared" si="122"/>
        <v>735</v>
      </c>
      <c r="N167" s="171">
        <f t="shared" si="123"/>
        <v>1874.25</v>
      </c>
      <c r="O167" s="171">
        <f t="shared" si="124"/>
        <v>4801.8284999999996</v>
      </c>
      <c r="P167" s="171">
        <f t="shared" si="125"/>
        <v>4416.1078500000003</v>
      </c>
      <c r="Q167" s="170">
        <f t="shared" si="126"/>
        <v>48577.186350000004</v>
      </c>
      <c r="R167" s="185">
        <v>0.05</v>
      </c>
      <c r="S167" s="185">
        <v>0.05</v>
      </c>
      <c r="T167" s="185">
        <v>0.05</v>
      </c>
      <c r="U167" s="184">
        <v>0.1</v>
      </c>
      <c r="V167" s="167">
        <f t="shared" si="127"/>
        <v>2428.8593175000001</v>
      </c>
      <c r="W167" s="167">
        <f t="shared" si="128"/>
        <v>2428.8593175000001</v>
      </c>
      <c r="X167" s="167">
        <f t="shared" si="129"/>
        <v>2428.8593175000001</v>
      </c>
      <c r="Y167" s="167">
        <f t="shared" si="130"/>
        <v>485.77186350000005</v>
      </c>
      <c r="Z167" s="183">
        <f t="shared" si="131"/>
        <v>56349.536166000005</v>
      </c>
      <c r="AA167" s="182">
        <v>25</v>
      </c>
      <c r="AB167" s="181"/>
      <c r="AC167" s="180">
        <v>25</v>
      </c>
      <c r="AD167" s="193"/>
    </row>
    <row r="168" spans="1:30" ht="15.75">
      <c r="A168" s="192" t="s">
        <v>7</v>
      </c>
      <c r="B168" s="191"/>
      <c r="C168" s="190">
        <v>0</v>
      </c>
      <c r="D168" s="189" t="s">
        <v>5</v>
      </c>
      <c r="E168" s="188">
        <v>120000</v>
      </c>
      <c r="F168" s="174">
        <f t="shared" si="120"/>
        <v>0</v>
      </c>
      <c r="G168" s="186">
        <v>0.05</v>
      </c>
      <c r="H168" s="186">
        <v>0.02</v>
      </c>
      <c r="I168" s="186">
        <v>0.05</v>
      </c>
      <c r="J168" s="187">
        <v>0.122</v>
      </c>
      <c r="K168" s="186">
        <v>0.1</v>
      </c>
      <c r="L168" s="171">
        <f t="shared" si="121"/>
        <v>0</v>
      </c>
      <c r="M168" s="171">
        <f t="shared" si="122"/>
        <v>0</v>
      </c>
      <c r="N168" s="171">
        <f t="shared" si="123"/>
        <v>0</v>
      </c>
      <c r="O168" s="171">
        <f t="shared" si="124"/>
        <v>0</v>
      </c>
      <c r="P168" s="171">
        <f t="shared" si="125"/>
        <v>0</v>
      </c>
      <c r="Q168" s="170">
        <f t="shared" si="126"/>
        <v>0</v>
      </c>
      <c r="R168" s="185">
        <v>0.05</v>
      </c>
      <c r="S168" s="185">
        <v>0.05</v>
      </c>
      <c r="T168" s="185">
        <v>0.05</v>
      </c>
      <c r="U168" s="184">
        <v>0.1</v>
      </c>
      <c r="V168" s="167">
        <f t="shared" si="127"/>
        <v>0</v>
      </c>
      <c r="W168" s="167">
        <f t="shared" si="128"/>
        <v>0</v>
      </c>
      <c r="X168" s="167">
        <f t="shared" si="129"/>
        <v>0</v>
      </c>
      <c r="Y168" s="167">
        <f t="shared" si="130"/>
        <v>0</v>
      </c>
      <c r="Z168" s="183">
        <f t="shared" si="131"/>
        <v>0</v>
      </c>
      <c r="AA168" s="182">
        <v>25</v>
      </c>
      <c r="AB168" s="181"/>
      <c r="AC168" s="180">
        <v>25</v>
      </c>
      <c r="AD168" s="193"/>
    </row>
    <row r="169" spans="1:30" ht="15.75">
      <c r="A169" s="192" t="s">
        <v>6</v>
      </c>
      <c r="B169" s="191"/>
      <c r="C169" s="190">
        <v>0</v>
      </c>
      <c r="D169" s="189" t="s">
        <v>5</v>
      </c>
      <c r="E169" s="188">
        <v>18000</v>
      </c>
      <c r="F169" s="174">
        <f t="shared" si="120"/>
        <v>0</v>
      </c>
      <c r="G169" s="186">
        <v>0.05</v>
      </c>
      <c r="H169" s="186">
        <v>0.02</v>
      </c>
      <c r="I169" s="186">
        <v>0.05</v>
      </c>
      <c r="J169" s="187">
        <v>0.122</v>
      </c>
      <c r="K169" s="186">
        <v>0.1</v>
      </c>
      <c r="L169" s="171">
        <f t="shared" si="121"/>
        <v>0</v>
      </c>
      <c r="M169" s="171">
        <f t="shared" si="122"/>
        <v>0</v>
      </c>
      <c r="N169" s="171">
        <f t="shared" si="123"/>
        <v>0</v>
      </c>
      <c r="O169" s="171">
        <f t="shared" si="124"/>
        <v>0</v>
      </c>
      <c r="P169" s="171">
        <f t="shared" si="125"/>
        <v>0</v>
      </c>
      <c r="Q169" s="170">
        <f t="shared" si="126"/>
        <v>0</v>
      </c>
      <c r="R169" s="185">
        <v>0.05</v>
      </c>
      <c r="S169" s="185">
        <v>0.05</v>
      </c>
      <c r="T169" s="185">
        <v>0.05</v>
      </c>
      <c r="U169" s="184">
        <v>0.1</v>
      </c>
      <c r="V169" s="167">
        <f t="shared" si="127"/>
        <v>0</v>
      </c>
      <c r="W169" s="167">
        <f t="shared" si="128"/>
        <v>0</v>
      </c>
      <c r="X169" s="167">
        <f t="shared" si="129"/>
        <v>0</v>
      </c>
      <c r="Y169" s="167">
        <f t="shared" si="130"/>
        <v>0</v>
      </c>
      <c r="Z169" s="183">
        <f t="shared" si="131"/>
        <v>0</v>
      </c>
      <c r="AA169" s="182">
        <v>25</v>
      </c>
      <c r="AB169" s="181"/>
      <c r="AC169" s="180">
        <v>25</v>
      </c>
      <c r="AD169" s="162"/>
    </row>
    <row r="170" spans="1:30" ht="30.75" thickBot="1">
      <c r="A170" s="179" t="s">
        <v>4</v>
      </c>
      <c r="B170" s="178"/>
      <c r="C170" s="177">
        <v>0</v>
      </c>
      <c r="D170" s="176" t="s">
        <v>3</v>
      </c>
      <c r="E170" s="175">
        <v>400</v>
      </c>
      <c r="F170" s="174">
        <f t="shared" si="120"/>
        <v>0</v>
      </c>
      <c r="G170" s="172">
        <v>0.05</v>
      </c>
      <c r="H170" s="172">
        <v>0.02</v>
      </c>
      <c r="I170" s="172">
        <v>0.05</v>
      </c>
      <c r="J170" s="173">
        <v>0.122</v>
      </c>
      <c r="K170" s="172">
        <v>0.1</v>
      </c>
      <c r="L170" s="171">
        <f t="shared" si="121"/>
        <v>0</v>
      </c>
      <c r="M170" s="171">
        <f t="shared" si="122"/>
        <v>0</v>
      </c>
      <c r="N170" s="171">
        <f t="shared" si="123"/>
        <v>0</v>
      </c>
      <c r="O170" s="171">
        <f t="shared" si="124"/>
        <v>0</v>
      </c>
      <c r="P170" s="171">
        <f t="shared" si="125"/>
        <v>0</v>
      </c>
      <c r="Q170" s="170">
        <f t="shared" si="126"/>
        <v>0</v>
      </c>
      <c r="R170" s="169">
        <v>0.05</v>
      </c>
      <c r="S170" s="169">
        <v>0.05</v>
      </c>
      <c r="T170" s="169">
        <v>0.05</v>
      </c>
      <c r="U170" s="168">
        <v>0.1</v>
      </c>
      <c r="V170" s="167">
        <f t="shared" si="127"/>
        <v>0</v>
      </c>
      <c r="W170" s="167">
        <f t="shared" si="128"/>
        <v>0</v>
      </c>
      <c r="X170" s="167">
        <f t="shared" si="129"/>
        <v>0</v>
      </c>
      <c r="Y170" s="167">
        <f t="shared" si="130"/>
        <v>0</v>
      </c>
      <c r="Z170" s="166">
        <f t="shared" si="131"/>
        <v>0</v>
      </c>
      <c r="AA170" s="165">
        <v>25</v>
      </c>
      <c r="AB170" s="164"/>
      <c r="AC170" s="163">
        <v>25</v>
      </c>
      <c r="AD170" s="162"/>
    </row>
    <row r="171" spans="1:30" ht="18.75" thickBot="1">
      <c r="A171" s="161" t="s">
        <v>2</v>
      </c>
      <c r="B171" s="160"/>
      <c r="C171" s="159"/>
      <c r="D171" s="158"/>
      <c r="E171" s="157"/>
      <c r="F171" s="156">
        <f>SUM(F7:F170)</f>
        <v>275400</v>
      </c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6">
        <f>SUM(Q7:Q170)</f>
        <v>382233.06059400004</v>
      </c>
      <c r="R171" s="153"/>
      <c r="S171" s="153"/>
      <c r="T171" s="153"/>
      <c r="U171" s="153"/>
      <c r="V171" s="155"/>
      <c r="W171" s="154" t="s">
        <v>0</v>
      </c>
      <c r="X171" s="153">
        <f>SUM(X7:X170)</f>
        <v>19111.653029699999</v>
      </c>
      <c r="Y171" s="152"/>
      <c r="Z171" s="151">
        <f>SUM(Z7:Z170)</f>
        <v>443390.35028903995</v>
      </c>
      <c r="AA171" s="132"/>
      <c r="AB171" s="108"/>
      <c r="AC171" s="150">
        <v>64.352517985611513</v>
      </c>
      <c r="AD171" s="130"/>
    </row>
    <row r="172" spans="1:30" ht="15.75">
      <c r="A172" s="149"/>
      <c r="B172" s="148"/>
      <c r="C172" s="147"/>
      <c r="D172" s="146"/>
      <c r="E172" s="145"/>
      <c r="G172" s="144"/>
      <c r="H172" s="144"/>
      <c r="I172" s="144"/>
      <c r="J172" s="144"/>
      <c r="K172" s="143"/>
      <c r="L172" s="142"/>
      <c r="M172" s="142"/>
      <c r="N172" s="142"/>
      <c r="O172" s="142"/>
      <c r="P172" s="142"/>
      <c r="Q172" s="141"/>
      <c r="R172" s="140"/>
      <c r="S172" s="139"/>
      <c r="T172" s="138" t="s">
        <v>1</v>
      </c>
      <c r="U172" s="137">
        <f>SUM(V7:V170)+SUM(Y7:Y170)</f>
        <v>22933.983635639997</v>
      </c>
      <c r="V172" s="136"/>
      <c r="W172" s="134"/>
      <c r="X172" s="135"/>
      <c r="Y172" s="134"/>
      <c r="Z172" s="133"/>
      <c r="AA172" s="132"/>
      <c r="AB172" s="108"/>
      <c r="AC172" s="131"/>
      <c r="AD172" s="130"/>
    </row>
    <row r="173" spans="1:30" ht="15.75">
      <c r="A173" s="122"/>
      <c r="B173" s="121"/>
      <c r="C173" s="120"/>
      <c r="D173" s="119"/>
      <c r="E173" s="118"/>
      <c r="G173" s="117"/>
      <c r="H173" s="117"/>
      <c r="I173" s="117"/>
      <c r="J173" s="117"/>
      <c r="K173" s="129"/>
      <c r="L173" s="128"/>
      <c r="M173" s="128"/>
      <c r="N173" s="128"/>
      <c r="O173" s="128"/>
      <c r="P173" s="128"/>
      <c r="Q173" s="127"/>
      <c r="R173" s="126"/>
      <c r="S173" s="125"/>
      <c r="T173" s="124" t="s">
        <v>0</v>
      </c>
      <c r="U173" s="123">
        <f>X171</f>
        <v>19111.653029699999</v>
      </c>
      <c r="V173" s="111"/>
      <c r="W173" s="111"/>
      <c r="X173" s="111"/>
      <c r="Y173" s="111"/>
      <c r="Z173" s="110"/>
      <c r="AA173" s="109"/>
      <c r="AB173" s="108"/>
      <c r="AC173" s="107"/>
      <c r="AD173" s="106"/>
    </row>
    <row r="174" spans="1:30" ht="15.75">
      <c r="A174" s="122"/>
      <c r="B174" s="121"/>
      <c r="C174" s="120"/>
      <c r="D174" s="119"/>
      <c r="E174" s="118"/>
      <c r="G174" s="117"/>
      <c r="H174" s="117"/>
      <c r="I174" s="117"/>
      <c r="J174" s="117"/>
      <c r="K174" s="117"/>
      <c r="L174" s="116"/>
      <c r="M174" s="116"/>
      <c r="N174" s="116"/>
      <c r="O174" s="116"/>
      <c r="P174" s="116"/>
      <c r="R174" s="115"/>
      <c r="S174" s="114"/>
      <c r="T174" s="113"/>
      <c r="U174" s="112"/>
      <c r="V174" s="111"/>
      <c r="W174" s="111"/>
      <c r="X174" s="111"/>
      <c r="Y174" s="111"/>
      <c r="Z174" s="110"/>
      <c r="AA174" s="109"/>
      <c r="AB174" s="108"/>
      <c r="AC174" s="107"/>
      <c r="AD174" s="106"/>
    </row>
    <row r="175" spans="1:30" s="80" customFormat="1">
      <c r="A175" s="65"/>
      <c r="B175" s="62"/>
      <c r="C175" s="79"/>
      <c r="D175" s="78"/>
      <c r="E175" s="91"/>
      <c r="G175" s="90"/>
      <c r="H175" s="90"/>
      <c r="I175" s="90"/>
      <c r="J175" s="90"/>
      <c r="K175" s="90"/>
      <c r="L175" s="89"/>
      <c r="M175" s="89"/>
      <c r="N175" s="89"/>
      <c r="O175" s="89"/>
      <c r="P175" s="89"/>
      <c r="R175" s="87"/>
      <c r="S175" s="87"/>
      <c r="T175" s="87"/>
      <c r="U175" s="87"/>
      <c r="V175" s="87"/>
      <c r="W175" s="87"/>
      <c r="X175" s="87"/>
      <c r="Y175" s="87"/>
      <c r="Z175" s="103"/>
      <c r="AA175" s="85"/>
      <c r="AB175" s="84"/>
      <c r="AC175" s="83"/>
      <c r="AD175" s="66"/>
    </row>
    <row r="176" spans="1:30" s="80" customFormat="1" ht="18">
      <c r="A176" s="65"/>
      <c r="B176" s="62"/>
      <c r="C176" s="79"/>
      <c r="D176" s="78"/>
      <c r="E176" s="91"/>
      <c r="G176" s="90"/>
      <c r="H176" s="90"/>
      <c r="I176" s="90"/>
      <c r="J176" s="90"/>
      <c r="K176" s="90"/>
      <c r="L176" s="89"/>
      <c r="M176" s="89"/>
      <c r="N176" s="89"/>
      <c r="O176" s="89"/>
      <c r="P176" s="89"/>
      <c r="R176" s="87"/>
      <c r="S176" s="87"/>
      <c r="T176" s="87"/>
      <c r="U176" s="105"/>
      <c r="V176" s="87"/>
      <c r="W176" s="87"/>
      <c r="X176" s="87"/>
      <c r="Y176" s="87"/>
      <c r="Z176" s="104"/>
      <c r="AA176" s="98"/>
      <c r="AB176" s="84"/>
      <c r="AC176" s="83"/>
      <c r="AD176" s="66"/>
    </row>
    <row r="177" spans="1:30" s="80" customFormat="1">
      <c r="A177" s="65"/>
      <c r="B177" s="62"/>
      <c r="C177" s="79"/>
      <c r="D177" s="78"/>
      <c r="E177" s="91"/>
      <c r="G177" s="90"/>
      <c r="H177" s="90"/>
      <c r="I177" s="90"/>
      <c r="J177" s="90"/>
      <c r="K177" s="90"/>
      <c r="L177" s="89"/>
      <c r="M177" s="89"/>
      <c r="N177" s="89"/>
      <c r="O177" s="89"/>
      <c r="P177" s="89"/>
      <c r="R177" s="87"/>
      <c r="S177" s="87"/>
      <c r="T177" s="87"/>
      <c r="U177" s="87"/>
      <c r="V177" s="87"/>
      <c r="W177" s="87"/>
      <c r="X177" s="87"/>
      <c r="Y177" s="87"/>
      <c r="Z177" s="103"/>
      <c r="AA177" s="98"/>
      <c r="AB177" s="84"/>
      <c r="AC177" s="83"/>
      <c r="AD177" s="66"/>
    </row>
    <row r="178" spans="1:30" s="80" customFormat="1" ht="18">
      <c r="A178" s="102"/>
      <c r="B178" s="62"/>
      <c r="C178" s="79"/>
      <c r="D178" s="78"/>
      <c r="E178" s="91"/>
      <c r="G178" s="82"/>
      <c r="H178" s="90"/>
      <c r="I178" s="90"/>
      <c r="J178" s="99"/>
      <c r="K178" s="90"/>
      <c r="L178" s="89"/>
      <c r="M178" s="89"/>
      <c r="N178" s="89"/>
      <c r="O178" s="89"/>
      <c r="P178" s="89"/>
      <c r="R178" s="87"/>
      <c r="S178" s="87"/>
      <c r="T178" s="87"/>
      <c r="U178" s="87"/>
      <c r="V178" s="87"/>
      <c r="W178" s="87"/>
      <c r="X178" s="87"/>
      <c r="Y178" s="87"/>
      <c r="Z178" s="96"/>
      <c r="AA178" s="98"/>
      <c r="AB178" s="84"/>
      <c r="AC178" s="83"/>
      <c r="AD178" s="66"/>
    </row>
    <row r="179" spans="1:30" s="80" customFormat="1" ht="18">
      <c r="A179" s="65"/>
      <c r="B179" s="62"/>
      <c r="C179" s="79"/>
      <c r="D179" s="78"/>
      <c r="E179" s="91"/>
      <c r="G179" s="343"/>
      <c r="H179" s="344"/>
      <c r="I179" s="344"/>
      <c r="J179" s="344"/>
      <c r="K179" s="90"/>
      <c r="L179" s="89"/>
      <c r="M179" s="89"/>
      <c r="N179" s="89"/>
      <c r="O179" s="89"/>
      <c r="P179" s="89"/>
      <c r="R179" s="87"/>
      <c r="S179" s="87"/>
      <c r="T179" s="87"/>
      <c r="U179" s="87"/>
      <c r="V179" s="87"/>
      <c r="W179" s="87"/>
      <c r="X179" s="87"/>
      <c r="Y179" s="87"/>
      <c r="Z179" s="96"/>
      <c r="AA179" s="98"/>
      <c r="AB179" s="84"/>
      <c r="AC179" s="83"/>
      <c r="AD179" s="66"/>
    </row>
    <row r="180" spans="1:30" s="80" customFormat="1" ht="18">
      <c r="A180" s="65"/>
      <c r="B180" s="62"/>
      <c r="C180" s="79"/>
      <c r="D180" s="78"/>
      <c r="E180" s="91"/>
      <c r="G180" s="101"/>
      <c r="H180" s="90"/>
      <c r="I180" s="90"/>
      <c r="J180" s="99"/>
      <c r="K180" s="90"/>
      <c r="L180" s="89"/>
      <c r="M180" s="89"/>
      <c r="N180" s="89"/>
      <c r="O180" s="89"/>
      <c r="P180" s="89"/>
      <c r="R180" s="87"/>
      <c r="S180" s="87"/>
      <c r="T180" s="87"/>
      <c r="U180" s="100"/>
      <c r="V180" s="87"/>
      <c r="W180" s="87"/>
      <c r="X180" s="87"/>
      <c r="Y180" s="87"/>
      <c r="Z180" s="96"/>
      <c r="AA180" s="98"/>
      <c r="AB180" s="84"/>
      <c r="AC180" s="83"/>
      <c r="AD180" s="66"/>
    </row>
    <row r="181" spans="1:30" s="80" customFormat="1" ht="18">
      <c r="A181" s="65"/>
      <c r="B181" s="62"/>
      <c r="C181" s="79"/>
      <c r="D181" s="78"/>
      <c r="E181" s="91"/>
      <c r="G181" s="82"/>
      <c r="H181" s="90"/>
      <c r="I181" s="90"/>
      <c r="J181" s="99"/>
      <c r="K181" s="90"/>
      <c r="L181" s="89"/>
      <c r="M181" s="89"/>
      <c r="N181" s="89"/>
      <c r="O181" s="89"/>
      <c r="P181" s="89"/>
      <c r="R181" s="87"/>
      <c r="S181" s="87"/>
      <c r="T181" s="87"/>
      <c r="U181" s="87"/>
      <c r="V181" s="87"/>
      <c r="W181" s="87"/>
      <c r="X181" s="87"/>
      <c r="Y181" s="87"/>
      <c r="Z181" s="96"/>
      <c r="AA181" s="98"/>
      <c r="AB181" s="84"/>
      <c r="AC181" s="83"/>
      <c r="AD181" s="66"/>
    </row>
    <row r="182" spans="1:30" s="80" customFormat="1" ht="18">
      <c r="A182" s="65"/>
      <c r="B182" s="62"/>
      <c r="C182" s="79"/>
      <c r="D182" s="78"/>
      <c r="E182" s="91"/>
      <c r="G182" s="82"/>
      <c r="H182" s="90"/>
      <c r="I182" s="90"/>
      <c r="J182" s="95"/>
      <c r="K182" s="90"/>
      <c r="L182" s="89"/>
      <c r="M182" s="89"/>
      <c r="N182" s="89"/>
      <c r="O182" s="89"/>
      <c r="P182" s="89"/>
      <c r="R182" s="87"/>
      <c r="S182" s="87"/>
      <c r="T182" s="87"/>
      <c r="U182" s="87"/>
      <c r="V182" s="87"/>
      <c r="W182" s="87"/>
      <c r="X182" s="87"/>
      <c r="Y182" s="87"/>
      <c r="Z182" s="96"/>
      <c r="AA182" s="85"/>
      <c r="AB182" s="84"/>
      <c r="AC182" s="83"/>
      <c r="AD182" s="66"/>
    </row>
    <row r="183" spans="1:30" s="80" customFormat="1" ht="18">
      <c r="A183" s="65"/>
      <c r="B183" s="62"/>
      <c r="C183" s="79"/>
      <c r="D183" s="78"/>
      <c r="E183" s="91"/>
      <c r="G183" s="82"/>
      <c r="H183" s="90"/>
      <c r="I183" s="90"/>
      <c r="J183" s="95"/>
      <c r="K183" s="90"/>
      <c r="L183" s="89"/>
      <c r="M183" s="89"/>
      <c r="N183" s="89"/>
      <c r="O183" s="89"/>
      <c r="P183" s="89"/>
      <c r="R183" s="87"/>
      <c r="S183" s="87"/>
      <c r="T183" s="87"/>
      <c r="U183" s="97"/>
      <c r="V183" s="87"/>
      <c r="W183" s="87"/>
      <c r="X183" s="87"/>
      <c r="Y183" s="87"/>
      <c r="Z183" s="96"/>
      <c r="AA183" s="85"/>
      <c r="AB183" s="84"/>
      <c r="AC183" s="83"/>
      <c r="AD183" s="66"/>
    </row>
    <row r="184" spans="1:30" s="80" customFormat="1" ht="18">
      <c r="A184" s="65"/>
      <c r="B184" s="62"/>
      <c r="C184" s="79"/>
      <c r="D184" s="78"/>
      <c r="E184" s="91"/>
      <c r="G184" s="82"/>
      <c r="H184" s="90"/>
      <c r="I184" s="90"/>
      <c r="J184" s="95"/>
      <c r="K184" s="90"/>
      <c r="L184" s="89"/>
      <c r="M184" s="89"/>
      <c r="N184" s="89"/>
      <c r="O184" s="89"/>
      <c r="P184" s="89"/>
      <c r="R184" s="87"/>
      <c r="S184" s="87"/>
      <c r="T184" s="87"/>
      <c r="U184" s="97"/>
      <c r="V184" s="87"/>
      <c r="W184" s="87"/>
      <c r="X184" s="87"/>
      <c r="Y184" s="87"/>
      <c r="Z184" s="96"/>
      <c r="AA184" s="85"/>
      <c r="AB184" s="84"/>
      <c r="AC184" s="83"/>
      <c r="AD184" s="66"/>
    </row>
    <row r="185" spans="1:30" s="80" customFormat="1" ht="18">
      <c r="A185" s="65"/>
      <c r="B185" s="62"/>
      <c r="C185" s="79"/>
      <c r="D185" s="78"/>
      <c r="E185" s="91"/>
      <c r="G185" s="82"/>
      <c r="H185" s="90"/>
      <c r="I185" s="90"/>
      <c r="J185" s="95"/>
      <c r="K185" s="90"/>
      <c r="L185" s="89"/>
      <c r="M185" s="89"/>
      <c r="N185" s="89"/>
      <c r="O185" s="89"/>
      <c r="P185" s="89"/>
      <c r="R185" s="87"/>
      <c r="S185" s="87"/>
      <c r="T185" s="87"/>
      <c r="U185" s="87"/>
      <c r="V185" s="87"/>
      <c r="W185" s="87"/>
      <c r="X185" s="87"/>
      <c r="Y185" s="87"/>
      <c r="Z185" s="96"/>
      <c r="AA185" s="85"/>
      <c r="AB185" s="84"/>
      <c r="AC185" s="83"/>
      <c r="AD185" s="66"/>
    </row>
    <row r="186" spans="1:30" s="80" customFormat="1" ht="20.25">
      <c r="A186" s="65"/>
      <c r="B186" s="62"/>
      <c r="C186" s="79"/>
      <c r="D186" s="78"/>
      <c r="E186" s="91"/>
      <c r="G186" s="82"/>
      <c r="H186" s="90"/>
      <c r="I186" s="90"/>
      <c r="J186" s="95"/>
      <c r="K186" s="90"/>
      <c r="L186" s="89"/>
      <c r="M186" s="89"/>
      <c r="N186" s="89"/>
      <c r="O186" s="89"/>
      <c r="P186" s="89"/>
      <c r="R186" s="87"/>
      <c r="S186" s="87"/>
      <c r="T186" s="87"/>
      <c r="U186" s="94"/>
      <c r="V186" s="93"/>
      <c r="W186" s="93"/>
      <c r="X186" s="93"/>
      <c r="Y186" s="93"/>
      <c r="Z186" s="92"/>
      <c r="AA186" s="85"/>
      <c r="AB186" s="84"/>
      <c r="AC186" s="83"/>
      <c r="AD186" s="66"/>
    </row>
    <row r="187" spans="1:30" s="80" customFormat="1" ht="18">
      <c r="A187" s="65"/>
      <c r="B187" s="62"/>
      <c r="C187" s="79"/>
      <c r="D187" s="78"/>
      <c r="E187" s="91"/>
      <c r="G187" s="90"/>
      <c r="H187" s="90"/>
      <c r="I187" s="90"/>
      <c r="J187" s="90"/>
      <c r="K187" s="90"/>
      <c r="L187" s="89"/>
      <c r="M187" s="89"/>
      <c r="N187" s="89"/>
      <c r="O187" s="89"/>
      <c r="P187" s="89"/>
      <c r="R187" s="87"/>
      <c r="S187" s="87"/>
      <c r="T187" s="87"/>
      <c r="U187" s="88"/>
      <c r="V187" s="87"/>
      <c r="W187" s="87"/>
      <c r="X187" s="87"/>
      <c r="Y187" s="87"/>
      <c r="Z187" s="86"/>
      <c r="AA187" s="85"/>
      <c r="AB187" s="84"/>
      <c r="AC187" s="83"/>
      <c r="AD187" s="66"/>
    </row>
    <row r="188" spans="1:30" s="80" customFormat="1" ht="18">
      <c r="A188" s="45"/>
      <c r="B188" s="62"/>
      <c r="C188" s="79"/>
      <c r="D188" s="78"/>
      <c r="E188" s="64"/>
      <c r="G188" s="58"/>
      <c r="H188" s="58"/>
      <c r="I188" s="58"/>
      <c r="J188" s="58"/>
      <c r="K188" s="81"/>
      <c r="L188" s="57"/>
      <c r="M188" s="57"/>
      <c r="N188" s="57"/>
      <c r="O188" s="57"/>
      <c r="P188" s="57"/>
      <c r="R188" s="56"/>
      <c r="S188" s="56"/>
      <c r="T188" s="56"/>
      <c r="U188" s="56"/>
      <c r="V188" s="56"/>
      <c r="W188" s="56"/>
      <c r="X188" s="56"/>
      <c r="Y188" s="56"/>
      <c r="Z188" s="55"/>
      <c r="AA188" s="54"/>
      <c r="AB188" s="53"/>
      <c r="AC188" s="34"/>
      <c r="AD188" s="66"/>
    </row>
    <row r="189" spans="1:30" s="80" customFormat="1" ht="18">
      <c r="A189" s="45"/>
      <c r="B189" s="62"/>
      <c r="C189" s="79"/>
      <c r="D189" s="78"/>
      <c r="E189" s="64"/>
      <c r="G189" s="58"/>
      <c r="H189" s="58"/>
      <c r="I189" s="58"/>
      <c r="J189" s="58"/>
      <c r="K189" s="81"/>
      <c r="L189" s="57"/>
      <c r="M189" s="57"/>
      <c r="N189" s="57"/>
      <c r="O189" s="57"/>
      <c r="P189" s="57"/>
      <c r="R189" s="56"/>
      <c r="S189" s="56"/>
      <c r="T189" s="56"/>
      <c r="U189" s="56"/>
      <c r="V189" s="56"/>
      <c r="W189" s="56"/>
      <c r="X189" s="56"/>
      <c r="Y189" s="56"/>
      <c r="Z189" s="55"/>
      <c r="AA189" s="54"/>
      <c r="AB189" s="53"/>
      <c r="AC189" s="34"/>
      <c r="AD189" s="66"/>
    </row>
    <row r="190" spans="1:30" s="80" customFormat="1">
      <c r="A190" s="45"/>
      <c r="B190" s="62"/>
      <c r="C190" s="79"/>
      <c r="D190" s="78"/>
      <c r="E190" s="64"/>
      <c r="G190" s="58"/>
      <c r="H190" s="58"/>
      <c r="I190" s="58"/>
      <c r="J190" s="58"/>
      <c r="K190" s="58"/>
      <c r="L190" s="57"/>
      <c r="M190" s="57"/>
      <c r="N190" s="57"/>
      <c r="O190" s="57"/>
      <c r="P190" s="57"/>
      <c r="R190" s="56"/>
      <c r="S190" s="56"/>
      <c r="T190" s="56"/>
      <c r="U190" s="56"/>
      <c r="V190" s="56"/>
      <c r="W190" s="56"/>
      <c r="X190" s="56"/>
      <c r="Y190" s="56"/>
      <c r="Z190" s="55"/>
      <c r="AA190" s="54"/>
      <c r="AB190" s="53"/>
      <c r="AC190" s="34"/>
      <c r="AD190" s="66"/>
    </row>
    <row r="191" spans="1:30" s="80" customFormat="1" ht="18">
      <c r="A191" s="45"/>
      <c r="B191" s="62"/>
      <c r="C191" s="79"/>
      <c r="D191" s="78"/>
      <c r="E191" s="64"/>
      <c r="G191" s="82"/>
      <c r="H191" s="58"/>
      <c r="I191" s="58"/>
      <c r="J191" s="58"/>
      <c r="K191" s="58"/>
      <c r="L191" s="57"/>
      <c r="M191" s="57"/>
      <c r="N191" s="57"/>
      <c r="O191" s="57"/>
      <c r="P191" s="57"/>
      <c r="R191" s="56"/>
      <c r="S191" s="56"/>
      <c r="T191" s="56"/>
      <c r="U191" s="56"/>
      <c r="V191" s="56"/>
      <c r="W191" s="56"/>
      <c r="X191" s="56"/>
      <c r="Y191" s="56"/>
      <c r="Z191" s="55"/>
      <c r="AA191" s="54"/>
      <c r="AB191" s="53"/>
      <c r="AC191" s="34"/>
      <c r="AD191" s="66"/>
    </row>
    <row r="192" spans="1:30" s="80" customFormat="1" ht="18">
      <c r="A192" s="45"/>
      <c r="B192" s="62"/>
      <c r="C192" s="79"/>
      <c r="D192" s="78"/>
      <c r="E192" s="64"/>
      <c r="G192" s="82"/>
      <c r="H192" s="58"/>
      <c r="I192" s="58"/>
      <c r="J192" s="58"/>
      <c r="K192" s="58"/>
      <c r="L192" s="57"/>
      <c r="M192" s="57"/>
      <c r="N192" s="57"/>
      <c r="O192" s="57"/>
      <c r="P192" s="57"/>
      <c r="R192" s="56"/>
      <c r="S192" s="56"/>
      <c r="T192" s="56"/>
      <c r="U192" s="56"/>
      <c r="V192" s="56"/>
      <c r="W192" s="56"/>
      <c r="X192" s="56"/>
      <c r="Y192" s="56"/>
      <c r="Z192" s="55"/>
      <c r="AA192" s="54"/>
      <c r="AB192" s="53"/>
      <c r="AC192" s="34"/>
      <c r="AD192" s="66"/>
    </row>
    <row r="193" spans="1:30" s="80" customFormat="1" ht="18">
      <c r="A193" s="45"/>
      <c r="B193" s="62"/>
      <c r="C193" s="79"/>
      <c r="D193" s="78"/>
      <c r="E193" s="64"/>
      <c r="G193" s="82"/>
      <c r="H193" s="58"/>
      <c r="I193" s="58"/>
      <c r="J193" s="58"/>
      <c r="K193" s="58"/>
      <c r="L193" s="57"/>
      <c r="M193" s="57"/>
      <c r="N193" s="57"/>
      <c r="O193" s="57"/>
      <c r="P193" s="57"/>
      <c r="R193" s="56"/>
      <c r="S193" s="56"/>
      <c r="T193" s="56"/>
      <c r="U193" s="56"/>
      <c r="V193" s="56"/>
      <c r="W193" s="56"/>
      <c r="X193" s="56"/>
      <c r="Y193" s="56"/>
      <c r="Z193" s="55"/>
      <c r="AA193" s="54"/>
      <c r="AB193" s="53"/>
      <c r="AC193" s="34"/>
      <c r="AD193" s="66"/>
    </row>
    <row r="194" spans="1:30" s="80" customFormat="1" ht="18">
      <c r="A194" s="45"/>
      <c r="B194" s="62"/>
      <c r="C194" s="79"/>
      <c r="D194" s="78"/>
      <c r="E194" s="64"/>
      <c r="G194" s="82"/>
      <c r="H194" s="58"/>
      <c r="I194" s="58"/>
      <c r="J194" s="58"/>
      <c r="K194" s="58"/>
      <c r="L194" s="57"/>
      <c r="M194" s="57"/>
      <c r="N194" s="57"/>
      <c r="O194" s="57"/>
      <c r="P194" s="57"/>
      <c r="R194" s="56"/>
      <c r="S194" s="56"/>
      <c r="T194" s="56"/>
      <c r="U194" s="56"/>
      <c r="V194" s="56"/>
      <c r="W194" s="56"/>
      <c r="X194" s="56"/>
      <c r="Y194" s="56"/>
      <c r="Z194" s="55"/>
      <c r="AA194" s="54"/>
      <c r="AB194" s="53"/>
      <c r="AC194" s="34"/>
      <c r="AD194" s="66"/>
    </row>
    <row r="195" spans="1:30" s="80" customFormat="1">
      <c r="A195" s="45"/>
      <c r="B195" s="62"/>
      <c r="C195" s="79"/>
      <c r="D195" s="78"/>
      <c r="E195" s="64"/>
      <c r="G195" s="58"/>
      <c r="H195" s="58"/>
      <c r="I195" s="58"/>
      <c r="J195" s="58"/>
      <c r="K195" s="58"/>
      <c r="L195" s="57"/>
      <c r="M195" s="57"/>
      <c r="N195" s="57"/>
      <c r="O195" s="57"/>
      <c r="P195" s="57"/>
      <c r="R195" s="56"/>
      <c r="S195" s="56"/>
      <c r="T195" s="56"/>
      <c r="U195" s="56"/>
      <c r="V195" s="56"/>
      <c r="W195" s="56"/>
      <c r="X195" s="56"/>
      <c r="Y195" s="56"/>
      <c r="Z195" s="55"/>
      <c r="AA195" s="67"/>
      <c r="AB195" s="53"/>
      <c r="AC195" s="34"/>
      <c r="AD195" s="66"/>
    </row>
    <row r="196" spans="1:30" s="80" customFormat="1" ht="18">
      <c r="A196" s="45"/>
      <c r="B196" s="62"/>
      <c r="C196" s="79"/>
      <c r="D196" s="78"/>
      <c r="E196" s="64"/>
      <c r="G196" s="58"/>
      <c r="H196" s="58"/>
      <c r="I196" s="58"/>
      <c r="J196" s="58"/>
      <c r="K196" s="81"/>
      <c r="L196" s="57"/>
      <c r="M196" s="57"/>
      <c r="N196" s="57"/>
      <c r="O196" s="57"/>
      <c r="P196" s="57"/>
      <c r="R196" s="56"/>
      <c r="S196" s="56"/>
      <c r="T196" s="56"/>
      <c r="U196" s="56"/>
      <c r="V196" s="56"/>
      <c r="W196" s="56"/>
      <c r="X196" s="56"/>
      <c r="Y196" s="56"/>
      <c r="Z196" s="55"/>
      <c r="AA196" s="67"/>
      <c r="AB196" s="53"/>
      <c r="AC196" s="34"/>
      <c r="AD196" s="66"/>
    </row>
    <row r="197" spans="1:30" s="80" customFormat="1" ht="18">
      <c r="A197" s="45"/>
      <c r="B197" s="62"/>
      <c r="C197" s="79"/>
      <c r="D197" s="78"/>
      <c r="E197" s="64"/>
      <c r="G197" s="58"/>
      <c r="H197" s="58"/>
      <c r="I197" s="58"/>
      <c r="J197" s="58"/>
      <c r="K197" s="81"/>
      <c r="L197" s="57"/>
      <c r="M197" s="57"/>
      <c r="N197" s="57"/>
      <c r="O197" s="57"/>
      <c r="P197" s="57"/>
      <c r="R197" s="56"/>
      <c r="S197" s="56"/>
      <c r="T197" s="56"/>
      <c r="U197" s="56"/>
      <c r="V197" s="56"/>
      <c r="W197" s="56"/>
      <c r="X197" s="56"/>
      <c r="Y197" s="56"/>
      <c r="Z197" s="55"/>
      <c r="AA197" s="67"/>
      <c r="AB197" s="53"/>
      <c r="AC197" s="34"/>
      <c r="AD197" s="66"/>
    </row>
    <row r="198" spans="1:30" s="80" customFormat="1">
      <c r="A198" s="45"/>
      <c r="B198" s="62"/>
      <c r="C198" s="79"/>
      <c r="D198" s="78"/>
      <c r="E198" s="64"/>
      <c r="G198" s="58"/>
      <c r="H198" s="58"/>
      <c r="I198" s="58"/>
      <c r="J198" s="58"/>
      <c r="K198" s="58"/>
      <c r="L198" s="57"/>
      <c r="M198" s="57"/>
      <c r="N198" s="57"/>
      <c r="O198" s="57"/>
      <c r="P198" s="57"/>
      <c r="R198" s="56"/>
      <c r="S198" s="56"/>
      <c r="T198" s="56"/>
      <c r="U198" s="56"/>
      <c r="V198" s="56"/>
      <c r="W198" s="56"/>
      <c r="X198" s="56"/>
      <c r="Y198" s="56"/>
      <c r="Z198" s="55"/>
      <c r="AA198" s="67"/>
      <c r="AB198" s="53"/>
      <c r="AC198" s="34"/>
      <c r="AD198" s="66"/>
    </row>
    <row r="199" spans="1:30" s="80" customFormat="1" ht="18">
      <c r="A199" s="45"/>
      <c r="B199" s="62"/>
      <c r="C199" s="79"/>
      <c r="D199" s="78"/>
      <c r="E199" s="64"/>
      <c r="G199" s="58"/>
      <c r="H199" s="58"/>
      <c r="I199" s="58"/>
      <c r="J199" s="58"/>
      <c r="K199" s="81"/>
      <c r="L199" s="57"/>
      <c r="M199" s="57"/>
      <c r="N199" s="57"/>
      <c r="O199" s="57"/>
      <c r="P199" s="57"/>
      <c r="R199" s="56"/>
      <c r="S199" s="56"/>
      <c r="T199" s="56"/>
      <c r="U199" s="56"/>
      <c r="V199" s="56"/>
      <c r="W199" s="56"/>
      <c r="X199" s="56"/>
      <c r="Y199" s="56"/>
      <c r="Z199" s="55"/>
      <c r="AA199" s="67"/>
      <c r="AB199" s="53"/>
      <c r="AC199" s="34"/>
      <c r="AD199" s="66"/>
    </row>
    <row r="200" spans="1:30">
      <c r="A200" s="45"/>
      <c r="B200" s="62"/>
      <c r="C200" s="79"/>
      <c r="D200" s="78"/>
      <c r="E200" s="64"/>
      <c r="G200" s="58"/>
      <c r="H200" s="58"/>
      <c r="I200" s="58"/>
      <c r="J200" s="58"/>
      <c r="K200" s="58"/>
      <c r="L200" s="57"/>
      <c r="M200" s="57"/>
      <c r="N200" s="57"/>
      <c r="O200" s="57"/>
      <c r="P200" s="57"/>
      <c r="R200" s="56"/>
      <c r="S200" s="56"/>
      <c r="T200" s="56"/>
      <c r="U200" s="56"/>
      <c r="V200" s="56"/>
      <c r="W200" s="56"/>
      <c r="X200" s="56"/>
      <c r="Y200" s="56"/>
      <c r="Z200" s="55"/>
      <c r="AA200" s="67"/>
      <c r="AB200" s="53"/>
      <c r="AC200" s="34"/>
      <c r="AD200" s="66"/>
    </row>
    <row r="201" spans="1:30">
      <c r="A201" s="45"/>
      <c r="B201" s="62"/>
      <c r="C201" s="79"/>
      <c r="D201" s="78"/>
      <c r="E201" s="64"/>
      <c r="G201" s="58"/>
      <c r="H201" s="58"/>
      <c r="I201" s="58"/>
      <c r="J201" s="58"/>
      <c r="K201" s="58"/>
      <c r="L201" s="57"/>
      <c r="M201" s="57"/>
      <c r="N201" s="57"/>
      <c r="O201" s="57"/>
      <c r="P201" s="57"/>
      <c r="R201" s="56"/>
      <c r="S201" s="56"/>
      <c r="T201" s="56"/>
      <c r="U201" s="56"/>
      <c r="V201" s="56"/>
      <c r="W201" s="56"/>
      <c r="X201" s="56"/>
      <c r="Y201" s="56"/>
      <c r="Z201" s="55"/>
      <c r="AA201" s="54"/>
      <c r="AB201" s="53"/>
      <c r="AC201" s="34"/>
      <c r="AD201" s="66"/>
    </row>
    <row r="202" spans="1:30">
      <c r="A202" s="45"/>
      <c r="B202" s="62"/>
      <c r="C202" s="79"/>
      <c r="D202" s="78"/>
      <c r="E202" s="64"/>
      <c r="G202" s="58"/>
      <c r="H202" s="58"/>
      <c r="I202" s="58"/>
      <c r="J202" s="58"/>
      <c r="K202" s="58"/>
      <c r="L202" s="57"/>
      <c r="M202" s="57"/>
      <c r="N202" s="57"/>
      <c r="O202" s="57"/>
      <c r="P202" s="57"/>
      <c r="R202" s="56"/>
      <c r="S202" s="56"/>
      <c r="T202" s="56"/>
      <c r="U202" s="56"/>
      <c r="V202" s="56"/>
      <c r="W202" s="56"/>
      <c r="X202" s="56"/>
      <c r="Y202" s="56"/>
      <c r="Z202" s="55"/>
      <c r="AA202" s="54"/>
      <c r="AB202" s="53"/>
      <c r="AC202" s="34"/>
      <c r="AD202" s="66"/>
    </row>
    <row r="203" spans="1:30">
      <c r="A203" s="45"/>
      <c r="B203" s="62"/>
      <c r="C203" s="79"/>
      <c r="D203" s="78"/>
      <c r="E203" s="64"/>
      <c r="G203" s="58"/>
      <c r="H203" s="58"/>
      <c r="I203" s="58"/>
      <c r="J203" s="58"/>
      <c r="K203" s="58"/>
      <c r="L203" s="57"/>
      <c r="M203" s="57"/>
      <c r="N203" s="57"/>
      <c r="O203" s="57"/>
      <c r="P203" s="57"/>
      <c r="R203" s="56"/>
      <c r="S203" s="56"/>
      <c r="T203" s="56"/>
      <c r="U203" s="56"/>
      <c r="V203" s="56"/>
      <c r="W203" s="56"/>
      <c r="X203" s="56"/>
      <c r="Y203" s="56"/>
      <c r="Z203" s="55"/>
      <c r="AA203" s="54"/>
      <c r="AB203" s="53"/>
      <c r="AC203" s="34"/>
      <c r="AD203" s="66"/>
    </row>
    <row r="204" spans="1:30">
      <c r="A204" s="45"/>
      <c r="B204" s="62"/>
      <c r="C204" s="79"/>
      <c r="D204" s="78"/>
      <c r="E204" s="64"/>
      <c r="G204" s="58"/>
      <c r="H204" s="58"/>
      <c r="I204" s="58"/>
      <c r="J204" s="58"/>
      <c r="K204" s="58"/>
      <c r="L204" s="57"/>
      <c r="M204" s="57"/>
      <c r="N204" s="57"/>
      <c r="O204" s="57"/>
      <c r="P204" s="57"/>
      <c r="R204" s="56"/>
      <c r="S204" s="56"/>
      <c r="T204" s="56"/>
      <c r="U204" s="56"/>
      <c r="V204" s="56"/>
      <c r="W204" s="56"/>
      <c r="X204" s="56"/>
      <c r="Y204" s="56"/>
      <c r="Z204" s="55"/>
      <c r="AA204" s="54"/>
      <c r="AB204" s="53"/>
      <c r="AC204" s="34"/>
      <c r="AD204" s="66"/>
    </row>
    <row r="205" spans="1:30">
      <c r="A205" s="45"/>
      <c r="B205" s="62"/>
      <c r="C205" s="79"/>
      <c r="D205" s="78"/>
      <c r="E205" s="64"/>
      <c r="G205" s="58"/>
      <c r="H205" s="58"/>
      <c r="I205" s="58"/>
      <c r="J205" s="58"/>
      <c r="K205" s="58"/>
      <c r="L205" s="57"/>
      <c r="M205" s="57"/>
      <c r="N205" s="57"/>
      <c r="O205" s="57"/>
      <c r="P205" s="57"/>
      <c r="R205" s="56"/>
      <c r="S205" s="56"/>
      <c r="T205" s="56"/>
      <c r="U205" s="56"/>
      <c r="V205" s="56"/>
      <c r="W205" s="56"/>
      <c r="X205" s="56"/>
      <c r="Y205" s="56"/>
      <c r="Z205" s="55"/>
      <c r="AA205" s="54"/>
      <c r="AB205" s="53"/>
      <c r="AC205" s="34"/>
      <c r="AD205" s="66"/>
    </row>
    <row r="206" spans="1:30">
      <c r="A206" s="45"/>
      <c r="B206" s="62"/>
      <c r="C206" s="79"/>
      <c r="D206" s="78"/>
      <c r="E206" s="64"/>
      <c r="G206" s="58"/>
      <c r="H206" s="58"/>
      <c r="I206" s="58"/>
      <c r="J206" s="58"/>
      <c r="K206" s="58"/>
      <c r="L206" s="57"/>
      <c r="M206" s="57"/>
      <c r="N206" s="57"/>
      <c r="O206" s="57"/>
      <c r="P206" s="57"/>
      <c r="R206" s="56"/>
      <c r="S206" s="56"/>
      <c r="T206" s="56"/>
      <c r="U206" s="56"/>
      <c r="V206" s="56"/>
      <c r="W206" s="56"/>
      <c r="X206" s="56"/>
      <c r="Y206" s="56"/>
      <c r="Z206" s="55"/>
      <c r="AA206" s="54"/>
      <c r="AB206" s="53"/>
      <c r="AC206" s="34"/>
      <c r="AD206" s="66"/>
    </row>
    <row r="207" spans="1:30">
      <c r="A207" s="45"/>
      <c r="B207" s="62"/>
      <c r="C207" s="79"/>
      <c r="D207" s="78"/>
      <c r="E207" s="64"/>
      <c r="G207" s="58"/>
      <c r="H207" s="58"/>
      <c r="I207" s="58"/>
      <c r="J207" s="58"/>
      <c r="K207" s="58"/>
      <c r="L207" s="57"/>
      <c r="M207" s="57"/>
      <c r="N207" s="57"/>
      <c r="O207" s="57"/>
      <c r="P207" s="57"/>
      <c r="R207" s="56"/>
      <c r="S207" s="56"/>
      <c r="T207" s="56"/>
      <c r="U207" s="56"/>
      <c r="V207" s="56"/>
      <c r="W207" s="56"/>
      <c r="X207" s="56"/>
      <c r="Y207" s="56"/>
      <c r="Z207" s="55"/>
      <c r="AA207" s="54"/>
      <c r="AB207" s="53"/>
      <c r="AC207" s="34"/>
      <c r="AD207" s="66"/>
    </row>
    <row r="208" spans="1:30">
      <c r="A208" s="45"/>
      <c r="B208" s="62"/>
      <c r="C208" s="79"/>
      <c r="D208" s="78"/>
      <c r="E208" s="64"/>
      <c r="G208" s="58"/>
      <c r="H208" s="58"/>
      <c r="I208" s="58"/>
      <c r="J208" s="58"/>
      <c r="K208" s="58"/>
      <c r="L208" s="57"/>
      <c r="M208" s="57"/>
      <c r="N208" s="57"/>
      <c r="O208" s="57"/>
      <c r="P208" s="57"/>
      <c r="R208" s="56"/>
      <c r="S208" s="56"/>
      <c r="T208" s="56"/>
      <c r="U208" s="56"/>
      <c r="V208" s="56"/>
      <c r="W208" s="56"/>
      <c r="X208" s="56"/>
      <c r="Y208" s="56"/>
      <c r="Z208" s="55"/>
      <c r="AA208" s="54"/>
      <c r="AB208" s="53"/>
      <c r="AC208" s="34"/>
      <c r="AD208" s="66"/>
    </row>
    <row r="209" spans="1:30">
      <c r="A209" s="45"/>
      <c r="B209" s="62"/>
      <c r="C209" s="79"/>
      <c r="D209" s="78"/>
      <c r="E209" s="64"/>
      <c r="G209" s="58"/>
      <c r="H209" s="58"/>
      <c r="I209" s="58"/>
      <c r="J209" s="58"/>
      <c r="K209" s="58"/>
      <c r="L209" s="57"/>
      <c r="M209" s="57"/>
      <c r="N209" s="57"/>
      <c r="O209" s="57"/>
      <c r="P209" s="57"/>
      <c r="R209" s="56"/>
      <c r="S209" s="56"/>
      <c r="T209" s="56"/>
      <c r="U209" s="56"/>
      <c r="V209" s="56"/>
      <c r="W209" s="56"/>
      <c r="X209" s="56"/>
      <c r="Y209" s="56"/>
      <c r="Z209" s="55"/>
      <c r="AA209" s="54"/>
      <c r="AB209" s="53"/>
      <c r="AC209" s="34"/>
      <c r="AD209" s="66"/>
    </row>
    <row r="210" spans="1:30">
      <c r="A210" s="45"/>
      <c r="B210" s="62"/>
      <c r="C210" s="79"/>
      <c r="D210" s="78"/>
      <c r="E210" s="64"/>
      <c r="G210" s="58"/>
      <c r="H210" s="58"/>
      <c r="I210" s="58"/>
      <c r="J210" s="58"/>
      <c r="K210" s="58"/>
      <c r="L210" s="57"/>
      <c r="M210" s="57"/>
      <c r="N210" s="57"/>
      <c r="O210" s="57"/>
      <c r="P210" s="57"/>
      <c r="R210" s="56"/>
      <c r="S210" s="56"/>
      <c r="T210" s="56"/>
      <c r="U210" s="56"/>
      <c r="V210" s="56"/>
      <c r="W210" s="56"/>
      <c r="X210" s="56"/>
      <c r="Y210" s="56"/>
      <c r="Z210" s="55"/>
      <c r="AA210" s="54"/>
      <c r="AB210" s="53"/>
      <c r="AC210" s="34"/>
      <c r="AD210" s="66"/>
    </row>
    <row r="211" spans="1:30">
      <c r="A211" s="45"/>
      <c r="B211" s="62"/>
      <c r="C211" s="79"/>
      <c r="D211" s="78"/>
      <c r="E211" s="64"/>
      <c r="G211" s="58"/>
      <c r="H211" s="58"/>
      <c r="I211" s="58"/>
      <c r="J211" s="58"/>
      <c r="K211" s="58"/>
      <c r="L211" s="57"/>
      <c r="M211" s="57"/>
      <c r="N211" s="57"/>
      <c r="O211" s="57"/>
      <c r="P211" s="57"/>
      <c r="R211" s="56"/>
      <c r="S211" s="56"/>
      <c r="T211" s="56"/>
      <c r="U211" s="56"/>
      <c r="V211" s="56"/>
      <c r="W211" s="56"/>
      <c r="X211" s="56"/>
      <c r="Y211" s="56"/>
      <c r="Z211" s="55"/>
      <c r="AA211" s="54"/>
      <c r="AB211" s="53"/>
      <c r="AC211" s="34"/>
      <c r="AD211" s="66"/>
    </row>
    <row r="212" spans="1:30">
      <c r="A212" s="45"/>
      <c r="B212" s="62"/>
      <c r="C212" s="79"/>
      <c r="D212" s="78"/>
      <c r="E212" s="64"/>
      <c r="G212" s="58"/>
      <c r="H212" s="58"/>
      <c r="I212" s="58"/>
      <c r="J212" s="58"/>
      <c r="K212" s="58"/>
      <c r="L212" s="57"/>
      <c r="M212" s="57"/>
      <c r="N212" s="57"/>
      <c r="O212" s="57"/>
      <c r="P212" s="57"/>
      <c r="R212" s="56"/>
      <c r="S212" s="56"/>
      <c r="T212" s="56"/>
      <c r="U212" s="56"/>
      <c r="V212" s="56"/>
      <c r="W212" s="56"/>
      <c r="X212" s="56"/>
      <c r="Y212" s="56"/>
      <c r="Z212" s="55"/>
      <c r="AA212" s="54"/>
      <c r="AB212" s="53"/>
      <c r="AC212" s="34"/>
      <c r="AD212" s="66"/>
    </row>
    <row r="213" spans="1:30">
      <c r="A213" s="70"/>
      <c r="B213" s="62"/>
      <c r="C213" s="79"/>
      <c r="D213" s="78"/>
      <c r="E213" s="64"/>
      <c r="G213" s="58"/>
      <c r="H213" s="58"/>
      <c r="I213" s="58"/>
      <c r="J213" s="58"/>
      <c r="K213" s="58"/>
      <c r="L213" s="57"/>
      <c r="M213" s="57"/>
      <c r="N213" s="57"/>
      <c r="O213" s="57"/>
      <c r="P213" s="57"/>
      <c r="R213" s="56"/>
      <c r="S213" s="56"/>
      <c r="T213" s="56"/>
      <c r="U213" s="56"/>
      <c r="V213" s="56"/>
      <c r="W213" s="56"/>
      <c r="X213" s="56"/>
      <c r="Y213" s="56"/>
      <c r="Z213" s="55"/>
      <c r="AA213" s="54"/>
      <c r="AB213" s="53"/>
      <c r="AC213" s="34"/>
      <c r="AD213" s="66"/>
    </row>
    <row r="214" spans="1:30">
      <c r="A214" s="70"/>
      <c r="B214" s="62"/>
      <c r="C214" s="79"/>
      <c r="D214" s="78"/>
      <c r="E214" s="64"/>
      <c r="G214" s="58"/>
      <c r="H214" s="58"/>
      <c r="I214" s="58"/>
      <c r="J214" s="58"/>
      <c r="K214" s="58"/>
      <c r="L214" s="57"/>
      <c r="M214" s="57"/>
      <c r="N214" s="57"/>
      <c r="O214" s="57"/>
      <c r="P214" s="57"/>
      <c r="R214" s="56"/>
      <c r="S214" s="56"/>
      <c r="T214" s="56"/>
      <c r="U214" s="56"/>
      <c r="V214" s="56"/>
      <c r="W214" s="56"/>
      <c r="X214" s="56"/>
      <c r="Y214" s="56"/>
      <c r="Z214" s="55"/>
      <c r="AA214" s="54"/>
      <c r="AB214" s="53"/>
      <c r="AC214" s="34"/>
      <c r="AD214" s="66"/>
    </row>
    <row r="215" spans="1:30">
      <c r="A215" s="70"/>
      <c r="B215" s="62"/>
      <c r="C215" s="79"/>
      <c r="D215" s="78"/>
      <c r="E215" s="64"/>
      <c r="G215" s="58"/>
      <c r="H215" s="58"/>
      <c r="I215" s="58"/>
      <c r="J215" s="58"/>
      <c r="K215" s="58"/>
      <c r="L215" s="57"/>
      <c r="M215" s="57"/>
      <c r="N215" s="57"/>
      <c r="O215" s="57"/>
      <c r="P215" s="57"/>
      <c r="R215" s="56"/>
      <c r="S215" s="56"/>
      <c r="T215" s="56"/>
      <c r="U215" s="56"/>
      <c r="V215" s="56"/>
      <c r="W215" s="56"/>
      <c r="X215" s="56"/>
      <c r="Y215" s="56"/>
      <c r="Z215" s="55"/>
      <c r="AA215" s="54"/>
      <c r="AB215" s="53"/>
      <c r="AC215" s="34"/>
      <c r="AD215" s="66"/>
    </row>
    <row r="216" spans="1:30">
      <c r="A216" s="70"/>
      <c r="B216" s="62"/>
      <c r="C216" s="79"/>
      <c r="D216" s="78"/>
      <c r="E216" s="64"/>
      <c r="G216" s="58"/>
      <c r="H216" s="58"/>
      <c r="I216" s="58"/>
      <c r="J216" s="58"/>
      <c r="K216" s="58"/>
      <c r="L216" s="57"/>
      <c r="M216" s="57"/>
      <c r="N216" s="57"/>
      <c r="O216" s="57"/>
      <c r="P216" s="57"/>
      <c r="R216" s="56"/>
      <c r="S216" s="56"/>
      <c r="T216" s="56"/>
      <c r="U216" s="56"/>
      <c r="V216" s="56"/>
      <c r="W216" s="56"/>
      <c r="X216" s="56"/>
      <c r="Y216" s="56"/>
      <c r="Z216" s="55"/>
      <c r="AA216" s="54"/>
      <c r="AB216" s="53"/>
      <c r="AC216" s="34"/>
      <c r="AD216" s="66"/>
    </row>
    <row r="217" spans="1:30">
      <c r="A217" s="70"/>
      <c r="B217" s="62"/>
      <c r="C217" s="79"/>
      <c r="D217" s="78"/>
      <c r="E217" s="64"/>
      <c r="G217" s="58"/>
      <c r="H217" s="58"/>
      <c r="I217" s="58"/>
      <c r="J217" s="58"/>
      <c r="K217" s="58"/>
      <c r="L217" s="57"/>
      <c r="M217" s="57"/>
      <c r="N217" s="57"/>
      <c r="O217" s="57"/>
      <c r="P217" s="57"/>
      <c r="R217" s="56"/>
      <c r="S217" s="56"/>
      <c r="T217" s="56"/>
      <c r="U217" s="56"/>
      <c r="V217" s="56"/>
      <c r="W217" s="56"/>
      <c r="X217" s="56"/>
      <c r="Y217" s="56"/>
      <c r="Z217" s="55"/>
      <c r="AA217" s="54"/>
      <c r="AB217" s="53"/>
      <c r="AC217" s="34"/>
      <c r="AD217" s="66"/>
    </row>
    <row r="218" spans="1:30">
      <c r="A218" s="70"/>
      <c r="B218" s="62"/>
      <c r="C218" s="79"/>
      <c r="D218" s="78"/>
      <c r="E218" s="64"/>
      <c r="G218" s="58"/>
      <c r="H218" s="58"/>
      <c r="I218" s="58"/>
      <c r="J218" s="58"/>
      <c r="K218" s="58"/>
      <c r="L218" s="57"/>
      <c r="M218" s="57"/>
      <c r="N218" s="57"/>
      <c r="O218" s="57"/>
      <c r="P218" s="57"/>
      <c r="R218" s="56"/>
      <c r="S218" s="56"/>
      <c r="T218" s="56"/>
      <c r="U218" s="56"/>
      <c r="V218" s="56"/>
      <c r="W218" s="56"/>
      <c r="X218" s="56"/>
      <c r="Y218" s="56"/>
      <c r="Z218" s="55"/>
      <c r="AA218" s="54"/>
      <c r="AB218" s="53"/>
      <c r="AC218" s="34"/>
      <c r="AD218" s="66"/>
    </row>
    <row r="219" spans="1:30">
      <c r="A219" s="70"/>
      <c r="B219" s="62"/>
      <c r="C219" s="79"/>
      <c r="D219" s="78"/>
      <c r="E219" s="64"/>
      <c r="G219" s="58"/>
      <c r="H219" s="58"/>
      <c r="I219" s="58"/>
      <c r="J219" s="58"/>
      <c r="K219" s="58"/>
      <c r="L219" s="57"/>
      <c r="M219" s="57"/>
      <c r="N219" s="57"/>
      <c r="O219" s="57"/>
      <c r="P219" s="57"/>
      <c r="R219" s="56"/>
      <c r="S219" s="56"/>
      <c r="T219" s="56"/>
      <c r="U219" s="56"/>
      <c r="V219" s="56"/>
      <c r="W219" s="56"/>
      <c r="X219" s="56"/>
      <c r="Y219" s="56"/>
      <c r="Z219" s="55"/>
      <c r="AA219" s="54"/>
      <c r="AB219" s="53"/>
      <c r="AC219" s="34"/>
      <c r="AD219" s="66"/>
    </row>
    <row r="220" spans="1:30">
      <c r="A220" s="70"/>
      <c r="B220" s="62"/>
      <c r="C220" s="79"/>
      <c r="D220" s="78"/>
      <c r="E220" s="64"/>
      <c r="G220" s="58"/>
      <c r="H220" s="58"/>
      <c r="I220" s="58"/>
      <c r="J220" s="58"/>
      <c r="K220" s="58"/>
      <c r="L220" s="57"/>
      <c r="M220" s="57"/>
      <c r="N220" s="57"/>
      <c r="O220" s="57"/>
      <c r="P220" s="57"/>
      <c r="R220" s="56"/>
      <c r="S220" s="56"/>
      <c r="T220" s="56"/>
      <c r="U220" s="56"/>
      <c r="V220" s="56"/>
      <c r="W220" s="56"/>
      <c r="X220" s="56"/>
      <c r="Y220" s="56"/>
      <c r="Z220" s="55"/>
      <c r="AA220" s="54"/>
      <c r="AB220" s="53"/>
      <c r="AC220" s="34"/>
      <c r="AD220" s="66"/>
    </row>
    <row r="221" spans="1:30">
      <c r="A221" s="70"/>
      <c r="B221" s="62"/>
      <c r="C221" s="79"/>
      <c r="D221" s="78"/>
      <c r="E221" s="64"/>
      <c r="G221" s="58"/>
      <c r="H221" s="58"/>
      <c r="I221" s="58"/>
      <c r="J221" s="58"/>
      <c r="K221" s="58"/>
      <c r="L221" s="57"/>
      <c r="M221" s="57"/>
      <c r="N221" s="57"/>
      <c r="O221" s="57"/>
      <c r="P221" s="57"/>
      <c r="R221" s="56"/>
      <c r="S221" s="56"/>
      <c r="T221" s="56"/>
      <c r="U221" s="56"/>
      <c r="V221" s="56"/>
      <c r="W221" s="56"/>
      <c r="X221" s="56"/>
      <c r="Y221" s="56"/>
      <c r="Z221" s="55"/>
      <c r="AA221" s="54"/>
      <c r="AB221" s="53"/>
      <c r="AC221" s="34"/>
      <c r="AD221" s="66"/>
    </row>
    <row r="222" spans="1:30">
      <c r="A222" s="70"/>
      <c r="B222" s="62"/>
      <c r="C222" s="79"/>
      <c r="D222" s="78"/>
      <c r="E222" s="64"/>
      <c r="G222" s="58"/>
      <c r="H222" s="58"/>
      <c r="I222" s="58"/>
      <c r="J222" s="58"/>
      <c r="K222" s="58"/>
      <c r="L222" s="57"/>
      <c r="M222" s="57"/>
      <c r="N222" s="57"/>
      <c r="O222" s="57"/>
      <c r="P222" s="57"/>
      <c r="R222" s="56"/>
      <c r="S222" s="56"/>
      <c r="T222" s="56"/>
      <c r="U222" s="56"/>
      <c r="V222" s="56"/>
      <c r="W222" s="56"/>
      <c r="X222" s="56"/>
      <c r="Y222" s="56"/>
      <c r="Z222" s="55"/>
      <c r="AA222" s="54"/>
      <c r="AB222" s="53"/>
      <c r="AC222" s="34"/>
      <c r="AD222" s="66"/>
    </row>
    <row r="223" spans="1:30">
      <c r="A223" s="70"/>
      <c r="B223" s="62"/>
      <c r="C223" s="79"/>
      <c r="D223" s="78"/>
      <c r="E223" s="64"/>
      <c r="G223" s="58"/>
      <c r="H223" s="58"/>
      <c r="I223" s="58"/>
      <c r="J223" s="58"/>
      <c r="K223" s="58"/>
      <c r="L223" s="57"/>
      <c r="M223" s="57"/>
      <c r="N223" s="57"/>
      <c r="O223" s="57"/>
      <c r="P223" s="57"/>
      <c r="R223" s="56"/>
      <c r="S223" s="56"/>
      <c r="T223" s="56"/>
      <c r="U223" s="56"/>
      <c r="V223" s="56"/>
      <c r="W223" s="56"/>
      <c r="X223" s="56"/>
      <c r="Y223" s="56"/>
      <c r="Z223" s="55"/>
      <c r="AA223" s="54"/>
      <c r="AB223" s="53"/>
      <c r="AC223" s="34"/>
      <c r="AD223" s="66"/>
    </row>
    <row r="224" spans="1:30">
      <c r="A224" s="70"/>
      <c r="B224" s="62"/>
      <c r="C224" s="79"/>
      <c r="D224" s="78"/>
      <c r="E224" s="64"/>
      <c r="G224" s="58"/>
      <c r="H224" s="58"/>
      <c r="I224" s="58"/>
      <c r="J224" s="58"/>
      <c r="K224" s="58"/>
      <c r="L224" s="57"/>
      <c r="M224" s="57"/>
      <c r="N224" s="57"/>
      <c r="O224" s="57"/>
      <c r="P224" s="57"/>
      <c r="R224" s="56"/>
      <c r="S224" s="56"/>
      <c r="T224" s="56"/>
      <c r="U224" s="56"/>
      <c r="V224" s="56"/>
      <c r="W224" s="56"/>
      <c r="X224" s="56"/>
      <c r="Y224" s="56"/>
      <c r="Z224" s="55"/>
      <c r="AA224" s="54"/>
      <c r="AB224" s="53"/>
      <c r="AC224" s="34"/>
      <c r="AD224" s="66"/>
    </row>
    <row r="225" spans="1:30">
      <c r="A225" s="70"/>
      <c r="B225" s="62"/>
      <c r="C225" s="79"/>
      <c r="D225" s="78"/>
      <c r="E225" s="64"/>
      <c r="G225" s="58"/>
      <c r="H225" s="58"/>
      <c r="I225" s="58"/>
      <c r="J225" s="58"/>
      <c r="K225" s="58"/>
      <c r="L225" s="57"/>
      <c r="M225" s="57"/>
      <c r="N225" s="57"/>
      <c r="O225" s="57"/>
      <c r="P225" s="57"/>
      <c r="R225" s="56"/>
      <c r="S225" s="56"/>
      <c r="T225" s="56"/>
      <c r="U225" s="56"/>
      <c r="V225" s="56"/>
      <c r="W225" s="56"/>
      <c r="X225" s="56"/>
      <c r="Y225" s="56"/>
      <c r="Z225" s="55"/>
      <c r="AA225" s="54"/>
      <c r="AB225" s="53"/>
      <c r="AC225" s="34"/>
      <c r="AD225" s="66"/>
    </row>
    <row r="226" spans="1:30">
      <c r="A226" s="70"/>
      <c r="B226" s="62"/>
      <c r="C226" s="79"/>
      <c r="D226" s="78"/>
      <c r="E226" s="64"/>
      <c r="G226" s="58"/>
      <c r="H226" s="58"/>
      <c r="I226" s="58"/>
      <c r="J226" s="58"/>
      <c r="K226" s="58"/>
      <c r="L226" s="57"/>
      <c r="M226" s="57"/>
      <c r="N226" s="57"/>
      <c r="O226" s="57"/>
      <c r="P226" s="57"/>
      <c r="R226" s="56"/>
      <c r="S226" s="56"/>
      <c r="T226" s="56"/>
      <c r="U226" s="56"/>
      <c r="V226" s="56"/>
      <c r="W226" s="56"/>
      <c r="X226" s="56"/>
      <c r="Y226" s="56"/>
      <c r="Z226" s="55"/>
      <c r="AA226" s="54"/>
      <c r="AB226" s="53"/>
      <c r="AC226" s="34"/>
      <c r="AD226" s="66"/>
    </row>
    <row r="227" spans="1:30">
      <c r="A227" s="70"/>
      <c r="B227" s="62"/>
      <c r="C227" s="79"/>
      <c r="D227" s="78"/>
      <c r="E227" s="64"/>
      <c r="G227" s="58"/>
      <c r="H227" s="58"/>
      <c r="I227" s="58"/>
      <c r="J227" s="58"/>
      <c r="K227" s="58"/>
      <c r="L227" s="57"/>
      <c r="M227" s="57"/>
      <c r="N227" s="57"/>
      <c r="O227" s="57"/>
      <c r="P227" s="57"/>
      <c r="R227" s="56"/>
      <c r="S227" s="56"/>
      <c r="T227" s="56"/>
      <c r="U227" s="56"/>
      <c r="V227" s="56"/>
      <c r="W227" s="56"/>
      <c r="X227" s="56"/>
      <c r="Y227" s="56"/>
      <c r="Z227" s="55"/>
      <c r="AA227" s="54"/>
      <c r="AB227" s="53"/>
      <c r="AC227" s="34"/>
      <c r="AD227" s="66"/>
    </row>
    <row r="228" spans="1:30">
      <c r="A228" s="70"/>
      <c r="B228" s="62"/>
      <c r="C228" s="79"/>
      <c r="D228" s="78"/>
      <c r="E228" s="64"/>
      <c r="G228" s="58"/>
      <c r="H228" s="58"/>
      <c r="I228" s="58"/>
      <c r="J228" s="58"/>
      <c r="K228" s="58"/>
      <c r="L228" s="57"/>
      <c r="M228" s="57"/>
      <c r="N228" s="57"/>
      <c r="O228" s="57"/>
      <c r="P228" s="57"/>
      <c r="R228" s="56"/>
      <c r="S228" s="56"/>
      <c r="T228" s="56"/>
      <c r="U228" s="56"/>
      <c r="V228" s="56"/>
      <c r="W228" s="56"/>
      <c r="X228" s="56"/>
      <c r="Y228" s="56"/>
      <c r="Z228" s="55"/>
      <c r="AA228" s="54"/>
      <c r="AB228" s="53"/>
      <c r="AC228" s="34"/>
      <c r="AD228" s="66"/>
    </row>
    <row r="229" spans="1:30">
      <c r="A229" s="70"/>
      <c r="B229" s="62"/>
      <c r="C229" s="79"/>
      <c r="D229" s="78"/>
      <c r="E229" s="64"/>
      <c r="G229" s="58"/>
      <c r="H229" s="58"/>
      <c r="I229" s="58"/>
      <c r="J229" s="58"/>
      <c r="K229" s="58"/>
      <c r="L229" s="57"/>
      <c r="M229" s="57"/>
      <c r="N229" s="57"/>
      <c r="O229" s="57"/>
      <c r="P229" s="57"/>
      <c r="R229" s="56"/>
      <c r="S229" s="56"/>
      <c r="T229" s="56"/>
      <c r="U229" s="56"/>
      <c r="V229" s="56"/>
      <c r="W229" s="56"/>
      <c r="X229" s="56"/>
      <c r="Y229" s="56"/>
      <c r="Z229" s="55"/>
      <c r="AA229" s="54"/>
      <c r="AB229" s="53"/>
      <c r="AC229" s="34"/>
      <c r="AD229" s="66"/>
    </row>
    <row r="230" spans="1:30">
      <c r="A230" s="70"/>
      <c r="B230" s="62"/>
      <c r="C230" s="79"/>
      <c r="D230" s="78"/>
      <c r="E230" s="64"/>
      <c r="G230" s="58"/>
      <c r="H230" s="58"/>
      <c r="I230" s="58"/>
      <c r="J230" s="58"/>
      <c r="K230" s="58"/>
      <c r="L230" s="57"/>
      <c r="M230" s="57"/>
      <c r="N230" s="57"/>
      <c r="O230" s="57"/>
      <c r="P230" s="57"/>
      <c r="R230" s="56"/>
      <c r="S230" s="56"/>
      <c r="T230" s="56"/>
      <c r="U230" s="56"/>
      <c r="V230" s="56"/>
      <c r="W230" s="56"/>
      <c r="X230" s="56"/>
      <c r="Y230" s="56"/>
      <c r="Z230" s="55"/>
      <c r="AA230" s="54"/>
      <c r="AB230" s="53"/>
      <c r="AC230" s="34"/>
      <c r="AD230" s="66"/>
    </row>
    <row r="231" spans="1:30">
      <c r="A231" s="70"/>
      <c r="B231" s="62"/>
      <c r="C231" s="79"/>
      <c r="D231" s="78"/>
      <c r="E231" s="64"/>
      <c r="G231" s="58"/>
      <c r="H231" s="58"/>
      <c r="I231" s="58"/>
      <c r="J231" s="58"/>
      <c r="K231" s="58"/>
      <c r="L231" s="57"/>
      <c r="M231" s="57"/>
      <c r="N231" s="57"/>
      <c r="O231" s="57"/>
      <c r="P231" s="57"/>
      <c r="R231" s="56"/>
      <c r="S231" s="56"/>
      <c r="T231" s="56"/>
      <c r="U231" s="56"/>
      <c r="V231" s="56"/>
      <c r="W231" s="56"/>
      <c r="X231" s="56"/>
      <c r="Y231" s="56"/>
      <c r="Z231" s="55"/>
      <c r="AA231" s="54"/>
      <c r="AB231" s="53"/>
      <c r="AC231" s="34"/>
      <c r="AD231" s="66"/>
    </row>
    <row r="232" spans="1:30">
      <c r="A232" s="70"/>
      <c r="B232" s="62"/>
      <c r="C232" s="79"/>
      <c r="D232" s="78"/>
      <c r="E232" s="64"/>
      <c r="G232" s="58"/>
      <c r="H232" s="58"/>
      <c r="I232" s="58"/>
      <c r="J232" s="58"/>
      <c r="K232" s="58"/>
      <c r="L232" s="57"/>
      <c r="M232" s="57"/>
      <c r="N232" s="57"/>
      <c r="O232" s="57"/>
      <c r="P232" s="57"/>
      <c r="R232" s="56"/>
      <c r="S232" s="56"/>
      <c r="T232" s="56"/>
      <c r="U232" s="56"/>
      <c r="V232" s="56"/>
      <c r="W232" s="56"/>
      <c r="X232" s="56"/>
      <c r="Y232" s="56"/>
      <c r="Z232" s="55"/>
      <c r="AA232" s="54"/>
      <c r="AB232" s="53"/>
      <c r="AC232" s="34"/>
      <c r="AD232" s="66"/>
    </row>
    <row r="233" spans="1:30">
      <c r="A233" s="70"/>
      <c r="B233" s="62"/>
      <c r="C233" s="79"/>
      <c r="D233" s="78"/>
      <c r="E233" s="64"/>
      <c r="G233" s="58"/>
      <c r="H233" s="58"/>
      <c r="I233" s="58"/>
      <c r="J233" s="58"/>
      <c r="K233" s="58"/>
      <c r="L233" s="57"/>
      <c r="M233" s="57"/>
      <c r="N233" s="57"/>
      <c r="O233" s="57"/>
      <c r="P233" s="57"/>
      <c r="R233" s="56"/>
      <c r="S233" s="56"/>
      <c r="T233" s="56"/>
      <c r="U233" s="56"/>
      <c r="V233" s="56"/>
      <c r="W233" s="56"/>
      <c r="X233" s="56"/>
      <c r="Y233" s="56"/>
      <c r="Z233" s="55"/>
      <c r="AA233" s="54"/>
      <c r="AB233" s="53"/>
      <c r="AC233" s="34"/>
      <c r="AD233" s="66"/>
    </row>
    <row r="234" spans="1:30">
      <c r="A234" s="70"/>
      <c r="B234" s="62"/>
      <c r="C234" s="79"/>
      <c r="D234" s="78"/>
      <c r="E234" s="64"/>
      <c r="G234" s="58"/>
      <c r="H234" s="58"/>
      <c r="I234" s="58"/>
      <c r="J234" s="58"/>
      <c r="K234" s="58"/>
      <c r="L234" s="57"/>
      <c r="M234" s="57"/>
      <c r="N234" s="57"/>
      <c r="O234" s="57"/>
      <c r="P234" s="57"/>
      <c r="R234" s="56"/>
      <c r="S234" s="56"/>
      <c r="T234" s="56"/>
      <c r="U234" s="56"/>
      <c r="V234" s="56"/>
      <c r="W234" s="56"/>
      <c r="X234" s="56"/>
      <c r="Y234" s="56"/>
      <c r="Z234" s="55"/>
      <c r="AA234" s="54"/>
      <c r="AB234" s="53"/>
      <c r="AC234" s="34"/>
      <c r="AD234" s="66"/>
    </row>
    <row r="235" spans="1:30">
      <c r="A235" s="70"/>
      <c r="B235" s="62"/>
      <c r="C235" s="79"/>
      <c r="D235" s="78"/>
      <c r="E235" s="64"/>
      <c r="G235" s="58"/>
      <c r="H235" s="58"/>
      <c r="I235" s="58"/>
      <c r="J235" s="58"/>
      <c r="K235" s="58"/>
      <c r="L235" s="57"/>
      <c r="M235" s="57"/>
      <c r="N235" s="57"/>
      <c r="O235" s="57"/>
      <c r="P235" s="57"/>
      <c r="R235" s="56"/>
      <c r="S235" s="56"/>
      <c r="T235" s="56"/>
      <c r="U235" s="56"/>
      <c r="V235" s="56"/>
      <c r="W235" s="56"/>
      <c r="X235" s="56"/>
      <c r="Y235" s="56"/>
      <c r="Z235" s="55"/>
      <c r="AA235" s="54"/>
      <c r="AB235" s="53"/>
      <c r="AC235" s="34"/>
      <c r="AD235" s="66"/>
    </row>
    <row r="236" spans="1:30">
      <c r="A236" s="70"/>
      <c r="B236" s="62"/>
      <c r="C236" s="79"/>
      <c r="D236" s="78"/>
      <c r="E236" s="64"/>
      <c r="G236" s="58"/>
      <c r="H236" s="58"/>
      <c r="I236" s="58"/>
      <c r="J236" s="58"/>
      <c r="K236" s="58"/>
      <c r="L236" s="57"/>
      <c r="M236" s="57"/>
      <c r="N236" s="57"/>
      <c r="O236" s="57"/>
      <c r="P236" s="57"/>
      <c r="R236" s="56"/>
      <c r="S236" s="56"/>
      <c r="T236" s="56"/>
      <c r="U236" s="56"/>
      <c r="V236" s="56"/>
      <c r="W236" s="56"/>
      <c r="X236" s="56"/>
      <c r="Y236" s="56"/>
      <c r="Z236" s="55"/>
      <c r="AA236" s="54"/>
      <c r="AB236" s="53"/>
      <c r="AC236" s="34"/>
      <c r="AD236" s="66"/>
    </row>
    <row r="237" spans="1:30">
      <c r="A237" s="70"/>
      <c r="B237" s="62"/>
      <c r="C237" s="79"/>
      <c r="D237" s="78"/>
      <c r="E237" s="64"/>
      <c r="G237" s="58"/>
      <c r="H237" s="58"/>
      <c r="I237" s="58"/>
      <c r="J237" s="58"/>
      <c r="K237" s="58"/>
      <c r="L237" s="57"/>
      <c r="M237" s="57"/>
      <c r="N237" s="57"/>
      <c r="O237" s="57"/>
      <c r="P237" s="57"/>
      <c r="R237" s="56"/>
      <c r="S237" s="56"/>
      <c r="T237" s="56"/>
      <c r="U237" s="56"/>
      <c r="V237" s="56"/>
      <c r="W237" s="56"/>
      <c r="X237" s="56"/>
      <c r="Y237" s="56"/>
      <c r="Z237" s="55"/>
      <c r="AA237" s="54"/>
      <c r="AB237" s="53"/>
      <c r="AC237" s="34"/>
      <c r="AD237" s="66"/>
    </row>
    <row r="238" spans="1:30">
      <c r="A238" s="70"/>
      <c r="B238" s="62"/>
      <c r="C238" s="79"/>
      <c r="D238" s="78"/>
      <c r="E238" s="64"/>
      <c r="G238" s="58"/>
      <c r="H238" s="58"/>
      <c r="I238" s="58"/>
      <c r="J238" s="58"/>
      <c r="K238" s="58"/>
      <c r="L238" s="57"/>
      <c r="M238" s="57"/>
      <c r="N238" s="57"/>
      <c r="O238" s="57"/>
      <c r="P238" s="57"/>
      <c r="R238" s="56"/>
      <c r="S238" s="56"/>
      <c r="T238" s="56"/>
      <c r="U238" s="56"/>
      <c r="V238" s="56"/>
      <c r="W238" s="56"/>
      <c r="X238" s="56"/>
      <c r="Y238" s="56"/>
      <c r="Z238" s="55"/>
      <c r="AA238" s="54"/>
      <c r="AB238" s="53"/>
      <c r="AC238" s="34"/>
      <c r="AD238" s="66"/>
    </row>
    <row r="239" spans="1:30">
      <c r="A239" s="70"/>
      <c r="B239" s="62"/>
      <c r="C239" s="79"/>
      <c r="D239" s="78"/>
      <c r="E239" s="64"/>
      <c r="G239" s="58"/>
      <c r="H239" s="58"/>
      <c r="I239" s="58"/>
      <c r="J239" s="58"/>
      <c r="K239" s="58"/>
      <c r="L239" s="57"/>
      <c r="M239" s="57"/>
      <c r="N239" s="57"/>
      <c r="O239" s="57"/>
      <c r="P239" s="57"/>
      <c r="R239" s="56"/>
      <c r="S239" s="56"/>
      <c r="T239" s="56"/>
      <c r="U239" s="56"/>
      <c r="V239" s="56"/>
      <c r="W239" s="56"/>
      <c r="X239" s="56"/>
      <c r="Y239" s="56"/>
      <c r="Z239" s="55"/>
      <c r="AA239" s="54"/>
      <c r="AB239" s="53"/>
      <c r="AC239" s="34"/>
      <c r="AD239" s="66"/>
    </row>
    <row r="240" spans="1:30">
      <c r="A240" s="70"/>
      <c r="B240" s="62"/>
      <c r="C240" s="79"/>
      <c r="D240" s="78"/>
      <c r="E240" s="64"/>
      <c r="G240" s="58"/>
      <c r="H240" s="58"/>
      <c r="I240" s="58"/>
      <c r="J240" s="58"/>
      <c r="K240" s="58"/>
      <c r="L240" s="57"/>
      <c r="M240" s="57"/>
      <c r="N240" s="57"/>
      <c r="O240" s="57"/>
      <c r="P240" s="57"/>
      <c r="R240" s="56"/>
      <c r="S240" s="56"/>
      <c r="T240" s="56"/>
      <c r="U240" s="56"/>
      <c r="V240" s="56"/>
      <c r="W240" s="56"/>
      <c r="X240" s="56"/>
      <c r="Y240" s="56"/>
      <c r="Z240" s="55"/>
      <c r="AA240" s="67"/>
      <c r="AB240" s="53"/>
      <c r="AC240" s="34"/>
      <c r="AD240" s="66"/>
    </row>
    <row r="241" spans="1:30">
      <c r="A241" s="45"/>
      <c r="B241" s="62"/>
      <c r="C241" s="79"/>
      <c r="D241" s="78"/>
      <c r="E241" s="64"/>
      <c r="G241" s="58"/>
      <c r="H241" s="58"/>
      <c r="I241" s="58"/>
      <c r="J241" s="58"/>
      <c r="K241" s="58"/>
      <c r="L241" s="57"/>
      <c r="M241" s="57"/>
      <c r="N241" s="57"/>
      <c r="O241" s="57"/>
      <c r="P241" s="57"/>
      <c r="R241" s="56"/>
      <c r="S241" s="56"/>
      <c r="T241" s="56"/>
      <c r="U241" s="56"/>
      <c r="V241" s="56"/>
      <c r="W241" s="56"/>
      <c r="X241" s="56"/>
      <c r="Y241" s="56"/>
      <c r="Z241" s="55"/>
      <c r="AA241" s="54"/>
      <c r="AB241" s="53"/>
      <c r="AC241" s="34"/>
      <c r="AD241" s="66"/>
    </row>
    <row r="242" spans="1:30">
      <c r="A242" s="70"/>
      <c r="B242" s="62"/>
      <c r="C242" s="79"/>
      <c r="D242" s="78"/>
      <c r="E242" s="64"/>
      <c r="G242" s="58"/>
      <c r="H242" s="58"/>
      <c r="I242" s="58"/>
      <c r="J242" s="58"/>
      <c r="K242" s="58"/>
      <c r="L242" s="57"/>
      <c r="M242" s="57"/>
      <c r="N242" s="57"/>
      <c r="O242" s="57"/>
      <c r="P242" s="57"/>
      <c r="R242" s="56"/>
      <c r="S242" s="56"/>
      <c r="T242" s="56"/>
      <c r="U242" s="56"/>
      <c r="V242" s="56"/>
      <c r="W242" s="56"/>
      <c r="X242" s="56"/>
      <c r="Y242" s="56"/>
      <c r="Z242" s="55"/>
      <c r="AA242" s="54"/>
      <c r="AB242" s="53"/>
      <c r="AC242" s="34"/>
      <c r="AD242" s="66"/>
    </row>
    <row r="243" spans="1:30">
      <c r="A243" s="73"/>
      <c r="B243" s="62"/>
      <c r="C243" s="79"/>
      <c r="D243" s="78"/>
      <c r="E243" s="64"/>
      <c r="G243" s="58"/>
      <c r="H243" s="58"/>
      <c r="I243" s="58"/>
      <c r="J243" s="58"/>
      <c r="K243" s="58"/>
      <c r="L243" s="57"/>
      <c r="M243" s="57"/>
      <c r="N243" s="57"/>
      <c r="O243" s="57"/>
      <c r="P243" s="57"/>
      <c r="R243" s="56"/>
      <c r="S243" s="56"/>
      <c r="T243" s="56"/>
      <c r="U243" s="56"/>
      <c r="V243" s="56"/>
      <c r="W243" s="56"/>
      <c r="X243" s="56"/>
      <c r="Y243" s="56"/>
      <c r="Z243" s="55"/>
      <c r="AA243" s="54"/>
      <c r="AB243" s="53"/>
      <c r="AC243" s="34"/>
      <c r="AD243" s="66"/>
    </row>
    <row r="244" spans="1:30">
      <c r="A244" s="73"/>
      <c r="B244" s="62"/>
      <c r="C244" s="79"/>
      <c r="D244" s="78"/>
      <c r="E244" s="64"/>
      <c r="G244" s="58"/>
      <c r="H244" s="58"/>
      <c r="I244" s="58"/>
      <c r="J244" s="58"/>
      <c r="K244" s="58"/>
      <c r="L244" s="57"/>
      <c r="M244" s="57"/>
      <c r="N244" s="57"/>
      <c r="O244" s="57"/>
      <c r="P244" s="57"/>
      <c r="R244" s="56"/>
      <c r="S244" s="56"/>
      <c r="T244" s="56"/>
      <c r="U244" s="56"/>
      <c r="V244" s="56"/>
      <c r="W244" s="56"/>
      <c r="X244" s="56"/>
      <c r="Y244" s="56"/>
      <c r="Z244" s="55"/>
      <c r="AA244" s="67"/>
      <c r="AB244" s="53"/>
      <c r="AC244" s="34"/>
      <c r="AD244" s="66"/>
    </row>
    <row r="245" spans="1:30">
      <c r="A245" s="73"/>
      <c r="B245" s="62"/>
      <c r="C245" s="79"/>
      <c r="D245" s="78"/>
      <c r="E245" s="64"/>
      <c r="G245" s="58"/>
      <c r="H245" s="58"/>
      <c r="I245" s="58"/>
      <c r="J245" s="58"/>
      <c r="K245" s="58"/>
      <c r="L245" s="57"/>
      <c r="M245" s="57"/>
      <c r="N245" s="57"/>
      <c r="O245" s="57"/>
      <c r="P245" s="57"/>
      <c r="R245" s="56"/>
      <c r="S245" s="56"/>
      <c r="T245" s="56"/>
      <c r="U245" s="56"/>
      <c r="V245" s="56"/>
      <c r="W245" s="56"/>
      <c r="X245" s="56"/>
      <c r="Y245" s="56"/>
      <c r="Z245" s="55"/>
      <c r="AA245" s="54"/>
      <c r="AB245" s="53"/>
      <c r="AC245" s="34"/>
      <c r="AD245" s="66"/>
    </row>
    <row r="246" spans="1:30">
      <c r="A246" s="73"/>
      <c r="B246" s="62"/>
      <c r="C246" s="71"/>
      <c r="D246" s="68"/>
      <c r="E246" s="64"/>
      <c r="G246" s="58"/>
      <c r="H246" s="58"/>
      <c r="I246" s="58"/>
      <c r="J246" s="58"/>
      <c r="K246" s="58"/>
      <c r="L246" s="57"/>
      <c r="M246" s="57"/>
      <c r="N246" s="57"/>
      <c r="O246" s="57"/>
      <c r="P246" s="57"/>
      <c r="R246" s="56"/>
      <c r="S246" s="56"/>
      <c r="T246" s="56"/>
      <c r="U246" s="56"/>
      <c r="V246" s="56"/>
      <c r="W246" s="56"/>
      <c r="X246" s="56"/>
      <c r="Y246" s="56"/>
      <c r="Z246" s="55"/>
      <c r="AA246" s="54"/>
      <c r="AB246" s="53"/>
      <c r="AC246" s="34"/>
      <c r="AD246" s="66"/>
    </row>
    <row r="247" spans="1:30">
      <c r="A247" s="73"/>
      <c r="B247" s="62"/>
      <c r="C247" s="71"/>
      <c r="D247" s="68"/>
      <c r="E247" s="64"/>
      <c r="G247" s="58"/>
      <c r="H247" s="58"/>
      <c r="I247" s="58"/>
      <c r="J247" s="58"/>
      <c r="K247" s="58"/>
      <c r="L247" s="57"/>
      <c r="M247" s="57"/>
      <c r="N247" s="57"/>
      <c r="O247" s="57"/>
      <c r="P247" s="57"/>
      <c r="R247" s="56"/>
      <c r="S247" s="56"/>
      <c r="T247" s="56"/>
      <c r="U247" s="56"/>
      <c r="V247" s="56"/>
      <c r="W247" s="56"/>
      <c r="X247" s="56"/>
      <c r="Y247" s="56"/>
      <c r="Z247" s="55"/>
      <c r="AA247" s="54"/>
      <c r="AB247" s="53"/>
      <c r="AC247" s="34"/>
      <c r="AD247" s="66"/>
    </row>
    <row r="248" spans="1:30">
      <c r="A248" s="73"/>
      <c r="B248" s="62"/>
      <c r="C248" s="71"/>
      <c r="D248" s="68"/>
      <c r="E248" s="64"/>
      <c r="G248" s="58"/>
      <c r="H248" s="58"/>
      <c r="I248" s="58"/>
      <c r="J248" s="58"/>
      <c r="K248" s="58"/>
      <c r="L248" s="57"/>
      <c r="M248" s="57"/>
      <c r="N248" s="57"/>
      <c r="O248" s="57"/>
      <c r="P248" s="57"/>
      <c r="R248" s="56"/>
      <c r="S248" s="56"/>
      <c r="T248" s="56"/>
      <c r="U248" s="56"/>
      <c r="V248" s="56"/>
      <c r="W248" s="56"/>
      <c r="X248" s="56"/>
      <c r="Y248" s="56"/>
      <c r="Z248" s="55"/>
      <c r="AA248" s="54"/>
      <c r="AB248" s="53"/>
      <c r="AC248" s="34"/>
      <c r="AD248" s="66"/>
    </row>
    <row r="249" spans="1:30">
      <c r="A249" s="73"/>
      <c r="B249" s="62"/>
      <c r="C249" s="71"/>
      <c r="D249" s="68"/>
      <c r="E249" s="64"/>
      <c r="G249" s="58"/>
      <c r="H249" s="58"/>
      <c r="I249" s="58"/>
      <c r="J249" s="58"/>
      <c r="K249" s="58"/>
      <c r="L249" s="57"/>
      <c r="M249" s="57"/>
      <c r="N249" s="57"/>
      <c r="O249" s="57"/>
      <c r="P249" s="57"/>
      <c r="R249" s="56"/>
      <c r="S249" s="56"/>
      <c r="T249" s="56"/>
      <c r="U249" s="56"/>
      <c r="V249" s="56"/>
      <c r="W249" s="56"/>
      <c r="X249" s="56"/>
      <c r="Y249" s="56"/>
      <c r="Z249" s="55"/>
      <c r="AA249" s="54"/>
      <c r="AB249" s="53"/>
      <c r="AC249" s="34"/>
      <c r="AD249" s="66"/>
    </row>
    <row r="250" spans="1:30">
      <c r="A250" s="73"/>
      <c r="B250" s="62"/>
      <c r="C250" s="71"/>
      <c r="D250" s="68"/>
      <c r="E250" s="64"/>
      <c r="G250" s="58"/>
      <c r="H250" s="58"/>
      <c r="I250" s="58"/>
      <c r="J250" s="58"/>
      <c r="K250" s="58"/>
      <c r="L250" s="57"/>
      <c r="M250" s="57"/>
      <c r="N250" s="57"/>
      <c r="O250" s="57"/>
      <c r="P250" s="57"/>
      <c r="R250" s="56"/>
      <c r="S250" s="56"/>
      <c r="T250" s="56"/>
      <c r="U250" s="56"/>
      <c r="V250" s="56"/>
      <c r="W250" s="56"/>
      <c r="X250" s="56"/>
      <c r="Y250" s="56"/>
      <c r="Z250" s="55"/>
      <c r="AA250" s="67"/>
      <c r="AB250" s="53"/>
      <c r="AC250" s="34"/>
      <c r="AD250" s="66"/>
    </row>
    <row r="251" spans="1:30">
      <c r="A251" s="73"/>
      <c r="B251" s="62"/>
      <c r="C251" s="71"/>
      <c r="D251" s="68"/>
      <c r="E251" s="64"/>
      <c r="G251" s="58"/>
      <c r="H251" s="58"/>
      <c r="I251" s="58"/>
      <c r="J251" s="58"/>
      <c r="K251" s="58"/>
      <c r="L251" s="57"/>
      <c r="M251" s="57"/>
      <c r="N251" s="57"/>
      <c r="O251" s="57"/>
      <c r="P251" s="57"/>
      <c r="R251" s="56"/>
      <c r="S251" s="56"/>
      <c r="T251" s="56"/>
      <c r="U251" s="56"/>
      <c r="V251" s="56"/>
      <c r="W251" s="56"/>
      <c r="X251" s="56"/>
      <c r="Y251" s="56"/>
      <c r="Z251" s="55"/>
      <c r="AA251" s="54"/>
      <c r="AB251" s="53"/>
      <c r="AC251" s="34"/>
      <c r="AD251" s="66"/>
    </row>
    <row r="252" spans="1:30">
      <c r="A252" s="73"/>
      <c r="B252" s="62"/>
      <c r="C252" s="71"/>
      <c r="D252" s="68"/>
      <c r="E252" s="64"/>
      <c r="G252" s="58"/>
      <c r="H252" s="58"/>
      <c r="I252" s="58"/>
      <c r="J252" s="58"/>
      <c r="K252" s="58"/>
      <c r="L252" s="57"/>
      <c r="M252" s="57"/>
      <c r="N252" s="57"/>
      <c r="O252" s="57"/>
      <c r="P252" s="57"/>
      <c r="R252" s="56"/>
      <c r="S252" s="56"/>
      <c r="T252" s="56"/>
      <c r="U252" s="56"/>
      <c r="V252" s="56"/>
      <c r="W252" s="56"/>
      <c r="X252" s="56"/>
      <c r="Y252" s="56"/>
      <c r="Z252" s="55"/>
      <c r="AA252" s="54"/>
      <c r="AB252" s="53"/>
      <c r="AC252" s="34"/>
      <c r="AD252" s="66"/>
    </row>
    <row r="253" spans="1:30">
      <c r="A253" s="73"/>
      <c r="B253" s="62"/>
      <c r="C253" s="71"/>
      <c r="D253" s="68"/>
      <c r="E253" s="64"/>
      <c r="G253" s="58"/>
      <c r="H253" s="58"/>
      <c r="I253" s="58"/>
      <c r="J253" s="58"/>
      <c r="K253" s="58"/>
      <c r="L253" s="57"/>
      <c r="M253" s="57"/>
      <c r="N253" s="57"/>
      <c r="O253" s="57"/>
      <c r="P253" s="57"/>
      <c r="R253" s="56"/>
      <c r="S253" s="56"/>
      <c r="T253" s="56"/>
      <c r="U253" s="56"/>
      <c r="V253" s="56"/>
      <c r="W253" s="56"/>
      <c r="X253" s="56"/>
      <c r="Y253" s="56"/>
      <c r="Z253" s="55"/>
      <c r="AA253" s="67"/>
      <c r="AB253" s="53"/>
      <c r="AC253" s="34"/>
      <c r="AD253" s="66"/>
    </row>
    <row r="254" spans="1:30">
      <c r="A254" s="73"/>
      <c r="B254" s="62"/>
      <c r="C254" s="71"/>
      <c r="D254" s="68"/>
      <c r="E254" s="64"/>
      <c r="G254" s="58"/>
      <c r="H254" s="58"/>
      <c r="I254" s="58"/>
      <c r="J254" s="58"/>
      <c r="K254" s="58"/>
      <c r="L254" s="57"/>
      <c r="M254" s="57"/>
      <c r="N254" s="57"/>
      <c r="O254" s="57"/>
      <c r="P254" s="57"/>
      <c r="R254" s="56"/>
      <c r="S254" s="56"/>
      <c r="T254" s="56"/>
      <c r="U254" s="56"/>
      <c r="V254" s="56"/>
      <c r="W254" s="56"/>
      <c r="X254" s="56"/>
      <c r="Y254" s="56"/>
      <c r="Z254" s="55"/>
      <c r="AA254" s="67"/>
      <c r="AB254" s="53"/>
      <c r="AC254" s="34"/>
      <c r="AD254" s="66"/>
    </row>
    <row r="255" spans="1:30">
      <c r="A255" s="73"/>
      <c r="B255" s="62"/>
      <c r="C255" s="71"/>
      <c r="D255" s="68"/>
      <c r="E255" s="64"/>
      <c r="G255" s="58"/>
      <c r="H255" s="58"/>
      <c r="I255" s="58"/>
      <c r="J255" s="58"/>
      <c r="K255" s="58"/>
      <c r="L255" s="57"/>
      <c r="M255" s="57"/>
      <c r="N255" s="57"/>
      <c r="O255" s="57"/>
      <c r="P255" s="57"/>
      <c r="R255" s="56"/>
      <c r="S255" s="56"/>
      <c r="T255" s="56"/>
      <c r="U255" s="56"/>
      <c r="V255" s="56"/>
      <c r="W255" s="56"/>
      <c r="X255" s="56"/>
      <c r="Y255" s="56"/>
      <c r="Z255" s="55"/>
      <c r="AA255" s="67"/>
      <c r="AB255" s="53"/>
      <c r="AC255" s="34"/>
      <c r="AD255" s="66"/>
    </row>
    <row r="256" spans="1:30">
      <c r="A256" s="73"/>
      <c r="B256" s="62"/>
      <c r="C256" s="71"/>
      <c r="D256" s="68"/>
      <c r="E256" s="64"/>
      <c r="G256" s="58"/>
      <c r="H256" s="58"/>
      <c r="I256" s="58"/>
      <c r="J256" s="58"/>
      <c r="K256" s="58"/>
      <c r="L256" s="57"/>
      <c r="M256" s="57"/>
      <c r="N256" s="57"/>
      <c r="O256" s="57"/>
      <c r="P256" s="57"/>
      <c r="R256" s="56"/>
      <c r="S256" s="56"/>
      <c r="T256" s="56"/>
      <c r="U256" s="56"/>
      <c r="V256" s="56"/>
      <c r="W256" s="56"/>
      <c r="X256" s="56"/>
      <c r="Y256" s="56"/>
      <c r="Z256" s="55"/>
      <c r="AA256" s="67"/>
      <c r="AB256" s="53"/>
      <c r="AC256" s="34"/>
      <c r="AD256" s="66"/>
    </row>
    <row r="257" spans="1:30">
      <c r="A257" s="73"/>
      <c r="B257" s="62"/>
      <c r="C257" s="71"/>
      <c r="D257" s="68"/>
      <c r="E257" s="64"/>
      <c r="G257" s="58"/>
      <c r="H257" s="58"/>
      <c r="I257" s="58"/>
      <c r="J257" s="58"/>
      <c r="K257" s="58"/>
      <c r="L257" s="57"/>
      <c r="M257" s="57"/>
      <c r="N257" s="57"/>
      <c r="O257" s="57"/>
      <c r="P257" s="57"/>
      <c r="R257" s="56"/>
      <c r="S257" s="56"/>
      <c r="T257" s="56"/>
      <c r="U257" s="56"/>
      <c r="V257" s="56"/>
      <c r="W257" s="56"/>
      <c r="X257" s="56"/>
      <c r="Y257" s="56"/>
      <c r="Z257" s="55"/>
      <c r="AA257" s="67"/>
      <c r="AB257" s="53"/>
      <c r="AC257" s="34"/>
      <c r="AD257" s="66"/>
    </row>
    <row r="258" spans="1:30">
      <c r="A258" s="70"/>
      <c r="B258" s="62"/>
      <c r="C258" s="71"/>
      <c r="D258" s="68"/>
      <c r="E258" s="64"/>
      <c r="G258" s="58"/>
      <c r="H258" s="58"/>
      <c r="I258" s="58"/>
      <c r="J258" s="58"/>
      <c r="K258" s="58"/>
      <c r="L258" s="57"/>
      <c r="M258" s="57"/>
      <c r="N258" s="57"/>
      <c r="O258" s="57"/>
      <c r="P258" s="57"/>
      <c r="R258" s="56"/>
      <c r="S258" s="56"/>
      <c r="T258" s="56"/>
      <c r="U258" s="56"/>
      <c r="V258" s="56"/>
      <c r="W258" s="56"/>
      <c r="X258" s="56"/>
      <c r="Y258" s="56"/>
      <c r="Z258" s="55"/>
      <c r="AA258" s="67"/>
      <c r="AB258" s="53"/>
      <c r="AC258" s="34"/>
      <c r="AD258" s="66"/>
    </row>
    <row r="259" spans="1:30">
      <c r="A259" s="73"/>
      <c r="B259" s="62"/>
      <c r="C259" s="71"/>
      <c r="D259" s="68"/>
      <c r="E259" s="64"/>
      <c r="G259" s="58"/>
      <c r="H259" s="58"/>
      <c r="I259" s="58"/>
      <c r="J259" s="58"/>
      <c r="K259" s="58"/>
      <c r="L259" s="57"/>
      <c r="M259" s="57"/>
      <c r="N259" s="57"/>
      <c r="O259" s="57"/>
      <c r="P259" s="57"/>
      <c r="R259" s="56"/>
      <c r="S259" s="56"/>
      <c r="T259" s="56"/>
      <c r="U259" s="56"/>
      <c r="V259" s="56"/>
      <c r="W259" s="56"/>
      <c r="X259" s="56"/>
      <c r="Y259" s="56"/>
      <c r="Z259" s="55"/>
      <c r="AA259" s="54"/>
      <c r="AB259" s="53"/>
      <c r="AC259" s="34"/>
      <c r="AD259" s="66"/>
    </row>
    <row r="260" spans="1:30">
      <c r="A260" s="73"/>
      <c r="B260" s="62"/>
      <c r="C260" s="71"/>
      <c r="D260" s="68"/>
      <c r="E260" s="64"/>
      <c r="G260" s="58"/>
      <c r="H260" s="58"/>
      <c r="I260" s="58"/>
      <c r="J260" s="58"/>
      <c r="K260" s="58"/>
      <c r="L260" s="57"/>
      <c r="M260" s="57"/>
      <c r="N260" s="57"/>
      <c r="O260" s="57"/>
      <c r="P260" s="57"/>
      <c r="R260" s="56"/>
      <c r="S260" s="56"/>
      <c r="T260" s="56"/>
      <c r="U260" s="56"/>
      <c r="V260" s="56"/>
      <c r="W260" s="56"/>
      <c r="X260" s="56"/>
      <c r="Y260" s="56"/>
      <c r="Z260" s="55"/>
      <c r="AA260" s="67"/>
      <c r="AB260" s="53"/>
      <c r="AC260" s="77"/>
      <c r="AD260" s="66"/>
    </row>
    <row r="261" spans="1:30">
      <c r="A261" s="73"/>
      <c r="B261" s="62"/>
      <c r="C261" s="71"/>
      <c r="D261" s="68"/>
      <c r="E261" s="64"/>
      <c r="G261" s="58"/>
      <c r="H261" s="58"/>
      <c r="I261" s="58"/>
      <c r="J261" s="58"/>
      <c r="K261" s="58"/>
      <c r="L261" s="57"/>
      <c r="M261" s="57"/>
      <c r="N261" s="57"/>
      <c r="O261" s="57"/>
      <c r="P261" s="57"/>
      <c r="R261" s="56"/>
      <c r="S261" s="56"/>
      <c r="T261" s="56"/>
      <c r="U261" s="56"/>
      <c r="V261" s="56"/>
      <c r="W261" s="56"/>
      <c r="X261" s="56"/>
      <c r="Y261" s="56"/>
      <c r="Z261" s="55"/>
      <c r="AA261" s="67"/>
      <c r="AB261" s="53"/>
      <c r="AC261" s="77"/>
      <c r="AD261" s="66"/>
    </row>
    <row r="262" spans="1:30">
      <c r="A262" s="73"/>
      <c r="B262" s="62"/>
      <c r="C262" s="71"/>
      <c r="D262" s="68"/>
      <c r="E262" s="64"/>
      <c r="G262" s="58"/>
      <c r="H262" s="58"/>
      <c r="I262" s="58"/>
      <c r="J262" s="58"/>
      <c r="K262" s="58"/>
      <c r="L262" s="57"/>
      <c r="M262" s="57"/>
      <c r="N262" s="57"/>
      <c r="O262" s="57"/>
      <c r="P262" s="57"/>
      <c r="R262" s="56"/>
      <c r="S262" s="56"/>
      <c r="T262" s="56"/>
      <c r="U262" s="56"/>
      <c r="V262" s="56"/>
      <c r="W262" s="56"/>
      <c r="X262" s="56"/>
      <c r="Y262" s="56"/>
      <c r="Z262" s="55"/>
      <c r="AA262" s="67"/>
      <c r="AB262" s="53"/>
      <c r="AC262" s="34"/>
      <c r="AD262" s="66"/>
    </row>
    <row r="263" spans="1:30">
      <c r="A263" s="73"/>
      <c r="B263" s="62"/>
      <c r="C263" s="71"/>
      <c r="D263" s="68"/>
      <c r="E263" s="64"/>
      <c r="G263" s="58"/>
      <c r="H263" s="58"/>
      <c r="I263" s="58"/>
      <c r="J263" s="58"/>
      <c r="K263" s="58"/>
      <c r="L263" s="57"/>
      <c r="M263" s="57"/>
      <c r="N263" s="57"/>
      <c r="O263" s="57"/>
      <c r="P263" s="57"/>
      <c r="R263" s="56"/>
      <c r="S263" s="56"/>
      <c r="T263" s="56"/>
      <c r="U263" s="56"/>
      <c r="V263" s="56"/>
      <c r="W263" s="56"/>
      <c r="X263" s="56"/>
      <c r="Y263" s="56"/>
      <c r="Z263" s="55"/>
      <c r="AA263" s="67"/>
      <c r="AB263" s="53"/>
      <c r="AC263" s="34"/>
      <c r="AD263" s="66"/>
    </row>
    <row r="264" spans="1:30">
      <c r="A264" s="73"/>
      <c r="B264" s="62"/>
      <c r="C264" s="71"/>
      <c r="D264" s="68"/>
      <c r="E264" s="64"/>
      <c r="G264" s="58"/>
      <c r="H264" s="58"/>
      <c r="I264" s="58"/>
      <c r="J264" s="58"/>
      <c r="K264" s="58"/>
      <c r="L264" s="57"/>
      <c r="M264" s="57"/>
      <c r="N264" s="57"/>
      <c r="O264" s="57"/>
      <c r="P264" s="57"/>
      <c r="R264" s="56"/>
      <c r="S264" s="56"/>
      <c r="T264" s="56"/>
      <c r="U264" s="56"/>
      <c r="V264" s="56"/>
      <c r="W264" s="56"/>
      <c r="X264" s="56"/>
      <c r="Y264" s="56"/>
      <c r="Z264" s="55"/>
      <c r="AA264" s="67"/>
      <c r="AB264" s="53"/>
      <c r="AC264" s="34"/>
      <c r="AD264" s="66"/>
    </row>
    <row r="265" spans="1:30">
      <c r="A265" s="73"/>
      <c r="B265" s="62"/>
      <c r="C265" s="71"/>
      <c r="D265" s="68"/>
      <c r="E265" s="64"/>
      <c r="G265" s="58"/>
      <c r="H265" s="58"/>
      <c r="I265" s="58"/>
      <c r="J265" s="58"/>
      <c r="K265" s="58"/>
      <c r="L265" s="57"/>
      <c r="M265" s="57"/>
      <c r="N265" s="57"/>
      <c r="O265" s="57"/>
      <c r="P265" s="57"/>
      <c r="R265" s="56"/>
      <c r="S265" s="56"/>
      <c r="T265" s="56"/>
      <c r="U265" s="56"/>
      <c r="V265" s="56"/>
      <c r="W265" s="56"/>
      <c r="X265" s="56"/>
      <c r="Y265" s="56"/>
      <c r="Z265" s="55"/>
      <c r="AA265" s="67"/>
      <c r="AB265" s="53"/>
      <c r="AC265" s="34"/>
      <c r="AD265" s="66"/>
    </row>
    <row r="266" spans="1:30">
      <c r="A266" s="73"/>
      <c r="B266" s="62"/>
      <c r="C266" s="71"/>
      <c r="D266" s="68"/>
      <c r="E266" s="64"/>
      <c r="G266" s="58"/>
      <c r="H266" s="58"/>
      <c r="I266" s="58"/>
      <c r="J266" s="58"/>
      <c r="K266" s="58"/>
      <c r="L266" s="57"/>
      <c r="M266" s="57"/>
      <c r="N266" s="57"/>
      <c r="O266" s="57"/>
      <c r="P266" s="57"/>
      <c r="R266" s="56"/>
      <c r="S266" s="56"/>
      <c r="T266" s="56"/>
      <c r="U266" s="56"/>
      <c r="V266" s="56"/>
      <c r="W266" s="56"/>
      <c r="X266" s="56"/>
      <c r="Y266" s="56"/>
      <c r="Z266" s="55"/>
      <c r="AA266" s="67"/>
      <c r="AB266" s="53"/>
      <c r="AC266" s="34"/>
      <c r="AD266" s="66"/>
    </row>
    <row r="267" spans="1:30">
      <c r="A267" s="73"/>
      <c r="B267" s="62"/>
      <c r="C267" s="71"/>
      <c r="D267" s="68"/>
      <c r="E267" s="64"/>
      <c r="G267" s="58"/>
      <c r="H267" s="58"/>
      <c r="I267" s="58"/>
      <c r="J267" s="58"/>
      <c r="K267" s="58"/>
      <c r="L267" s="57"/>
      <c r="M267" s="57"/>
      <c r="N267" s="57"/>
      <c r="O267" s="57"/>
      <c r="P267" s="57"/>
      <c r="R267" s="56"/>
      <c r="S267" s="56"/>
      <c r="T267" s="56"/>
      <c r="U267" s="56"/>
      <c r="V267" s="56"/>
      <c r="W267" s="56"/>
      <c r="X267" s="56"/>
      <c r="Y267" s="56"/>
      <c r="Z267" s="55"/>
      <c r="AA267" s="67"/>
      <c r="AB267" s="53"/>
      <c r="AC267" s="34"/>
      <c r="AD267" s="66"/>
    </row>
    <row r="268" spans="1:30">
      <c r="A268" s="73"/>
      <c r="B268" s="62"/>
      <c r="C268" s="71"/>
      <c r="D268" s="68"/>
      <c r="E268" s="64"/>
      <c r="G268" s="58"/>
      <c r="H268" s="58"/>
      <c r="I268" s="58"/>
      <c r="J268" s="58"/>
      <c r="K268" s="58"/>
      <c r="L268" s="57"/>
      <c r="M268" s="57"/>
      <c r="N268" s="57"/>
      <c r="O268" s="57"/>
      <c r="P268" s="57"/>
      <c r="R268" s="56"/>
      <c r="S268" s="56"/>
      <c r="T268" s="56"/>
      <c r="U268" s="56"/>
      <c r="V268" s="56"/>
      <c r="W268" s="56"/>
      <c r="X268" s="56"/>
      <c r="Y268" s="56"/>
      <c r="Z268" s="55"/>
      <c r="AA268" s="67"/>
      <c r="AB268" s="53"/>
      <c r="AC268" s="34"/>
      <c r="AD268" s="66"/>
    </row>
    <row r="269" spans="1:30">
      <c r="A269" s="76"/>
      <c r="B269" s="62"/>
      <c r="C269" s="43"/>
      <c r="D269" s="68"/>
      <c r="E269" s="64"/>
      <c r="G269" s="58"/>
      <c r="H269" s="58"/>
      <c r="I269" s="58"/>
      <c r="J269" s="58"/>
      <c r="K269" s="58"/>
      <c r="L269" s="57"/>
      <c r="M269" s="57"/>
      <c r="N269" s="57"/>
      <c r="O269" s="57"/>
      <c r="P269" s="57"/>
      <c r="R269" s="56"/>
      <c r="S269" s="56"/>
      <c r="T269" s="56"/>
      <c r="U269" s="56"/>
      <c r="V269" s="56"/>
      <c r="W269" s="56"/>
      <c r="X269" s="56"/>
      <c r="Y269" s="56"/>
      <c r="Z269" s="55"/>
      <c r="AA269" s="67"/>
      <c r="AB269" s="53"/>
      <c r="AC269" s="34"/>
      <c r="AD269" s="66"/>
    </row>
    <row r="270" spans="1:30">
      <c r="A270" s="70"/>
      <c r="B270" s="62"/>
      <c r="C270" s="43"/>
      <c r="D270" s="68"/>
      <c r="E270" s="64"/>
      <c r="G270" s="58"/>
      <c r="H270" s="58"/>
      <c r="I270" s="58"/>
      <c r="J270" s="58"/>
      <c r="K270" s="58"/>
      <c r="L270" s="57"/>
      <c r="M270" s="57"/>
      <c r="N270" s="57"/>
      <c r="O270" s="57"/>
      <c r="P270" s="57"/>
      <c r="R270" s="56"/>
      <c r="S270" s="56"/>
      <c r="T270" s="56"/>
      <c r="U270" s="56"/>
      <c r="V270" s="56"/>
      <c r="W270" s="56"/>
      <c r="X270" s="56"/>
      <c r="Y270" s="56"/>
      <c r="Z270" s="55"/>
      <c r="AA270" s="67"/>
      <c r="AB270" s="53"/>
      <c r="AC270" s="34"/>
      <c r="AD270" s="66"/>
    </row>
    <row r="271" spans="1:30">
      <c r="A271" s="73"/>
      <c r="B271" s="62"/>
      <c r="C271" s="43"/>
      <c r="D271" s="68"/>
      <c r="E271" s="64"/>
      <c r="G271" s="58"/>
      <c r="H271" s="58"/>
      <c r="I271" s="58"/>
      <c r="J271" s="58"/>
      <c r="K271" s="58"/>
      <c r="L271" s="57"/>
      <c r="M271" s="57"/>
      <c r="N271" s="57"/>
      <c r="O271" s="57"/>
      <c r="P271" s="57"/>
      <c r="R271" s="56"/>
      <c r="S271" s="56"/>
      <c r="T271" s="56"/>
      <c r="U271" s="56"/>
      <c r="V271" s="56"/>
      <c r="W271" s="56"/>
      <c r="X271" s="56"/>
      <c r="Y271" s="56"/>
      <c r="Z271" s="55"/>
      <c r="AA271" s="67"/>
      <c r="AB271" s="53"/>
      <c r="AC271" s="34"/>
      <c r="AD271" s="74"/>
    </row>
    <row r="272" spans="1:30">
      <c r="A272" s="73"/>
      <c r="B272" s="62"/>
      <c r="C272" s="43"/>
      <c r="D272" s="68"/>
      <c r="E272" s="64"/>
      <c r="G272" s="58"/>
      <c r="H272" s="58"/>
      <c r="I272" s="58"/>
      <c r="J272" s="58"/>
      <c r="K272" s="58"/>
      <c r="L272" s="57"/>
      <c r="M272" s="57"/>
      <c r="N272" s="57"/>
      <c r="O272" s="57"/>
      <c r="P272" s="57"/>
      <c r="R272" s="56"/>
      <c r="S272" s="56"/>
      <c r="T272" s="56"/>
      <c r="U272" s="56"/>
      <c r="V272" s="56"/>
      <c r="W272" s="56"/>
      <c r="X272" s="56"/>
      <c r="Y272" s="56"/>
      <c r="Z272" s="55"/>
      <c r="AA272" s="67"/>
      <c r="AB272" s="53"/>
      <c r="AC272" s="34"/>
      <c r="AD272" s="74"/>
    </row>
    <row r="273" spans="1:30">
      <c r="A273" s="73"/>
      <c r="B273" s="62"/>
      <c r="C273" s="43"/>
      <c r="D273" s="68"/>
      <c r="E273" s="64"/>
      <c r="G273" s="58"/>
      <c r="H273" s="58"/>
      <c r="I273" s="58"/>
      <c r="J273" s="58"/>
      <c r="K273" s="58"/>
      <c r="L273" s="57"/>
      <c r="M273" s="57"/>
      <c r="N273" s="57"/>
      <c r="O273" s="57"/>
      <c r="P273" s="57"/>
      <c r="R273" s="56"/>
      <c r="S273" s="56"/>
      <c r="T273" s="56"/>
      <c r="U273" s="56"/>
      <c r="V273" s="56"/>
      <c r="W273" s="56"/>
      <c r="X273" s="56"/>
      <c r="Y273" s="56"/>
      <c r="Z273" s="55"/>
      <c r="AA273" s="67"/>
      <c r="AB273" s="53"/>
      <c r="AC273" s="34"/>
      <c r="AD273" s="74"/>
    </row>
    <row r="274" spans="1:30">
      <c r="A274" s="73"/>
      <c r="B274" s="62"/>
      <c r="C274" s="43"/>
      <c r="D274" s="68"/>
      <c r="E274" s="64"/>
      <c r="G274" s="58"/>
      <c r="H274" s="58"/>
      <c r="I274" s="58"/>
      <c r="J274" s="58"/>
      <c r="K274" s="58"/>
      <c r="L274" s="57"/>
      <c r="M274" s="57"/>
      <c r="N274" s="57"/>
      <c r="O274" s="57"/>
      <c r="P274" s="57"/>
      <c r="R274" s="56"/>
      <c r="S274" s="56"/>
      <c r="T274" s="56"/>
      <c r="U274" s="56"/>
      <c r="V274" s="56"/>
      <c r="W274" s="56"/>
      <c r="X274" s="56"/>
      <c r="Y274" s="56"/>
      <c r="Z274" s="55"/>
      <c r="AA274" s="67"/>
      <c r="AB274" s="53"/>
      <c r="AC274" s="34"/>
      <c r="AD274" s="74"/>
    </row>
    <row r="275" spans="1:30">
      <c r="A275" s="73"/>
      <c r="B275" s="62"/>
      <c r="C275" s="43"/>
      <c r="D275" s="68"/>
      <c r="E275" s="64"/>
      <c r="G275" s="58"/>
      <c r="H275" s="58"/>
      <c r="I275" s="58"/>
      <c r="J275" s="58"/>
      <c r="K275" s="58"/>
      <c r="L275" s="57"/>
      <c r="M275" s="57"/>
      <c r="N275" s="57"/>
      <c r="O275" s="57"/>
      <c r="P275" s="57"/>
      <c r="R275" s="56"/>
      <c r="S275" s="56"/>
      <c r="T275" s="56"/>
      <c r="U275" s="56"/>
      <c r="V275" s="56"/>
      <c r="W275" s="56"/>
      <c r="X275" s="56"/>
      <c r="Y275" s="56"/>
      <c r="Z275" s="55"/>
      <c r="AA275" s="67"/>
      <c r="AB275" s="53"/>
      <c r="AC275" s="34"/>
      <c r="AD275" s="74"/>
    </row>
    <row r="276" spans="1:30">
      <c r="A276" s="73"/>
      <c r="B276" s="62"/>
      <c r="C276" s="43"/>
      <c r="D276" s="68"/>
      <c r="E276" s="64"/>
      <c r="G276" s="58"/>
      <c r="H276" s="58"/>
      <c r="I276" s="58"/>
      <c r="J276" s="58"/>
      <c r="K276" s="58"/>
      <c r="L276" s="57"/>
      <c r="M276" s="57"/>
      <c r="N276" s="57"/>
      <c r="O276" s="57"/>
      <c r="P276" s="57"/>
      <c r="R276" s="56"/>
      <c r="S276" s="56"/>
      <c r="T276" s="56"/>
      <c r="U276" s="56"/>
      <c r="V276" s="56"/>
      <c r="W276" s="56"/>
      <c r="X276" s="56"/>
      <c r="Y276" s="56"/>
      <c r="Z276" s="55"/>
      <c r="AA276" s="67"/>
      <c r="AB276" s="53"/>
      <c r="AC276" s="34"/>
      <c r="AD276" s="74"/>
    </row>
    <row r="277" spans="1:30">
      <c r="A277" s="73"/>
      <c r="B277" s="62"/>
      <c r="C277" s="43"/>
      <c r="D277" s="68"/>
      <c r="E277" s="64"/>
      <c r="G277" s="58"/>
      <c r="H277" s="58"/>
      <c r="I277" s="58"/>
      <c r="J277" s="58"/>
      <c r="K277" s="58"/>
      <c r="L277" s="57"/>
      <c r="M277" s="57"/>
      <c r="N277" s="57"/>
      <c r="O277" s="57"/>
      <c r="P277" s="57"/>
      <c r="R277" s="56"/>
      <c r="S277" s="56"/>
      <c r="T277" s="56"/>
      <c r="U277" s="56"/>
      <c r="V277" s="56"/>
      <c r="W277" s="56"/>
      <c r="X277" s="56"/>
      <c r="Y277" s="56"/>
      <c r="Z277" s="55"/>
      <c r="AA277" s="67"/>
      <c r="AB277" s="53"/>
      <c r="AC277" s="34"/>
      <c r="AD277" s="74"/>
    </row>
    <row r="278" spans="1:30">
      <c r="A278" s="73"/>
      <c r="B278" s="62"/>
      <c r="C278" s="43"/>
      <c r="D278" s="68"/>
      <c r="E278" s="64"/>
      <c r="G278" s="58"/>
      <c r="H278" s="58"/>
      <c r="I278" s="58"/>
      <c r="J278" s="58"/>
      <c r="K278" s="58"/>
      <c r="L278" s="57"/>
      <c r="M278" s="57"/>
      <c r="N278" s="57"/>
      <c r="O278" s="57"/>
      <c r="P278" s="57"/>
      <c r="R278" s="56"/>
      <c r="S278" s="56"/>
      <c r="T278" s="56"/>
      <c r="U278" s="56"/>
      <c r="V278" s="56"/>
      <c r="W278" s="56"/>
      <c r="X278" s="56"/>
      <c r="Y278" s="56"/>
      <c r="Z278" s="55"/>
      <c r="AA278" s="67"/>
      <c r="AB278" s="53"/>
      <c r="AC278" s="34"/>
      <c r="AD278" s="74"/>
    </row>
    <row r="279" spans="1:30">
      <c r="A279" s="73"/>
      <c r="B279" s="62"/>
      <c r="C279" s="43"/>
      <c r="D279" s="68"/>
      <c r="E279" s="64"/>
      <c r="G279" s="58"/>
      <c r="H279" s="58"/>
      <c r="I279" s="58"/>
      <c r="J279" s="58"/>
      <c r="K279" s="58"/>
      <c r="L279" s="57"/>
      <c r="M279" s="57"/>
      <c r="N279" s="57"/>
      <c r="O279" s="57"/>
      <c r="P279" s="57"/>
      <c r="R279" s="56"/>
      <c r="S279" s="56"/>
      <c r="T279" s="56"/>
      <c r="U279" s="56"/>
      <c r="V279" s="56"/>
      <c r="W279" s="56"/>
      <c r="X279" s="56"/>
      <c r="Y279" s="56"/>
      <c r="Z279" s="55"/>
      <c r="AA279" s="67"/>
      <c r="AB279" s="53"/>
      <c r="AC279" s="34"/>
      <c r="AD279" s="74"/>
    </row>
    <row r="280" spans="1:30">
      <c r="A280" s="73"/>
      <c r="B280" s="62"/>
      <c r="C280" s="43"/>
      <c r="D280" s="68"/>
      <c r="E280" s="64"/>
      <c r="G280" s="58"/>
      <c r="H280" s="58"/>
      <c r="I280" s="58"/>
      <c r="J280" s="58"/>
      <c r="K280" s="58"/>
      <c r="L280" s="57"/>
      <c r="M280" s="57"/>
      <c r="N280" s="57"/>
      <c r="O280" s="57"/>
      <c r="P280" s="57"/>
      <c r="R280" s="56"/>
      <c r="S280" s="56"/>
      <c r="T280" s="56"/>
      <c r="U280" s="56"/>
      <c r="V280" s="56"/>
      <c r="W280" s="56"/>
      <c r="X280" s="56"/>
      <c r="Y280" s="56"/>
      <c r="Z280" s="55"/>
      <c r="AA280" s="67"/>
      <c r="AB280" s="53"/>
      <c r="AC280" s="34"/>
      <c r="AD280" s="74"/>
    </row>
    <row r="281" spans="1:30">
      <c r="A281" s="70"/>
      <c r="B281" s="72"/>
      <c r="C281" s="43"/>
      <c r="D281" s="68"/>
      <c r="E281" s="64"/>
      <c r="G281" s="58"/>
      <c r="H281" s="58"/>
      <c r="I281" s="58"/>
      <c r="J281" s="58"/>
      <c r="K281" s="58"/>
      <c r="L281" s="57"/>
      <c r="M281" s="57"/>
      <c r="N281" s="57"/>
      <c r="O281" s="57"/>
      <c r="P281" s="57"/>
      <c r="R281" s="56"/>
      <c r="S281" s="56"/>
      <c r="T281" s="56"/>
      <c r="U281" s="56"/>
      <c r="V281" s="56"/>
      <c r="W281" s="56"/>
      <c r="X281" s="56"/>
      <c r="Y281" s="56"/>
      <c r="Z281" s="55"/>
      <c r="AA281" s="67"/>
      <c r="AB281" s="53"/>
      <c r="AC281" s="34"/>
      <c r="AD281" s="66"/>
    </row>
    <row r="282" spans="1:30">
      <c r="A282" s="70"/>
      <c r="B282" s="72"/>
      <c r="C282" s="43"/>
      <c r="D282" s="68"/>
      <c r="E282" s="64"/>
      <c r="G282" s="58"/>
      <c r="H282" s="58"/>
      <c r="I282" s="58"/>
      <c r="J282" s="58"/>
      <c r="K282" s="58"/>
      <c r="L282" s="57"/>
      <c r="M282" s="57"/>
      <c r="N282" s="57"/>
      <c r="O282" s="57"/>
      <c r="P282" s="57"/>
      <c r="R282" s="56"/>
      <c r="S282" s="56"/>
      <c r="T282" s="56"/>
      <c r="U282" s="56"/>
      <c r="V282" s="56"/>
      <c r="W282" s="56"/>
      <c r="X282" s="56"/>
      <c r="Y282" s="56"/>
      <c r="Z282" s="55"/>
      <c r="AA282" s="67"/>
      <c r="AB282" s="53"/>
      <c r="AC282" s="34"/>
      <c r="AD282" s="66"/>
    </row>
    <row r="283" spans="1:30">
      <c r="A283" s="73"/>
      <c r="B283" s="72"/>
      <c r="C283" s="43"/>
      <c r="D283" s="68"/>
      <c r="E283" s="64"/>
      <c r="G283" s="58"/>
      <c r="H283" s="58"/>
      <c r="I283" s="58"/>
      <c r="J283" s="58"/>
      <c r="K283" s="58"/>
      <c r="L283" s="57"/>
      <c r="M283" s="57"/>
      <c r="N283" s="57"/>
      <c r="O283" s="57"/>
      <c r="P283" s="57"/>
      <c r="R283" s="56"/>
      <c r="S283" s="56"/>
      <c r="T283" s="56"/>
      <c r="U283" s="56"/>
      <c r="V283" s="56"/>
      <c r="W283" s="56"/>
      <c r="X283" s="56"/>
      <c r="Y283" s="56"/>
      <c r="Z283" s="55"/>
      <c r="AA283" s="67"/>
      <c r="AB283" s="53"/>
      <c r="AC283" s="34"/>
      <c r="AD283" s="66"/>
    </row>
    <row r="284" spans="1:30">
      <c r="A284" s="70"/>
      <c r="B284" s="72"/>
      <c r="C284" s="43"/>
      <c r="D284" s="68"/>
      <c r="E284" s="64"/>
      <c r="G284" s="58"/>
      <c r="H284" s="58"/>
      <c r="I284" s="58"/>
      <c r="J284" s="58"/>
      <c r="K284" s="58"/>
      <c r="L284" s="57"/>
      <c r="M284" s="57"/>
      <c r="N284" s="57"/>
      <c r="O284" s="57"/>
      <c r="P284" s="57"/>
      <c r="R284" s="56"/>
      <c r="S284" s="56"/>
      <c r="T284" s="56"/>
      <c r="U284" s="56"/>
      <c r="V284" s="56"/>
      <c r="W284" s="56"/>
      <c r="X284" s="56"/>
      <c r="Y284" s="56"/>
      <c r="Z284" s="55"/>
      <c r="AA284" s="67"/>
      <c r="AB284" s="53"/>
      <c r="AC284" s="34"/>
      <c r="AD284" s="66"/>
    </row>
    <row r="285" spans="1:30">
      <c r="A285" s="70"/>
      <c r="B285" s="72"/>
      <c r="C285" s="43"/>
      <c r="D285" s="68"/>
      <c r="E285" s="64"/>
      <c r="G285" s="58"/>
      <c r="H285" s="58"/>
      <c r="I285" s="58"/>
      <c r="J285" s="58"/>
      <c r="K285" s="58"/>
      <c r="L285" s="57"/>
      <c r="M285" s="57"/>
      <c r="N285" s="57"/>
      <c r="O285" s="57"/>
      <c r="P285" s="57"/>
      <c r="R285" s="56"/>
      <c r="S285" s="56"/>
      <c r="T285" s="56"/>
      <c r="U285" s="56"/>
      <c r="V285" s="56"/>
      <c r="W285" s="56"/>
      <c r="X285" s="56"/>
      <c r="Y285" s="56"/>
      <c r="Z285" s="55"/>
      <c r="AA285" s="67"/>
      <c r="AB285" s="53"/>
      <c r="AC285" s="34"/>
      <c r="AD285" s="66"/>
    </row>
    <row r="286" spans="1:30">
      <c r="A286" s="73"/>
      <c r="B286" s="72"/>
      <c r="C286" s="43"/>
      <c r="D286" s="68"/>
      <c r="E286" s="64"/>
      <c r="G286" s="58"/>
      <c r="H286" s="58"/>
      <c r="I286" s="58"/>
      <c r="J286" s="58"/>
      <c r="K286" s="58"/>
      <c r="L286" s="57"/>
      <c r="M286" s="57"/>
      <c r="N286" s="57"/>
      <c r="O286" s="57"/>
      <c r="P286" s="57"/>
      <c r="R286" s="56"/>
      <c r="S286" s="56"/>
      <c r="T286" s="56"/>
      <c r="U286" s="56"/>
      <c r="V286" s="56"/>
      <c r="W286" s="56"/>
      <c r="X286" s="56"/>
      <c r="Y286" s="56"/>
      <c r="Z286" s="55"/>
      <c r="AA286" s="67"/>
      <c r="AB286" s="53"/>
      <c r="AC286" s="34"/>
      <c r="AD286" s="74"/>
    </row>
    <row r="287" spans="1:30">
      <c r="A287" s="73"/>
      <c r="B287" s="72"/>
      <c r="C287" s="43"/>
      <c r="D287" s="68"/>
      <c r="E287" s="64"/>
      <c r="G287" s="58"/>
      <c r="H287" s="58"/>
      <c r="I287" s="58"/>
      <c r="J287" s="58"/>
      <c r="K287" s="58"/>
      <c r="L287" s="57"/>
      <c r="M287" s="57"/>
      <c r="N287" s="57"/>
      <c r="O287" s="57"/>
      <c r="P287" s="57"/>
      <c r="R287" s="56"/>
      <c r="S287" s="56"/>
      <c r="T287" s="56"/>
      <c r="U287" s="56"/>
      <c r="V287" s="56"/>
      <c r="W287" s="56"/>
      <c r="X287" s="56"/>
      <c r="Y287" s="56"/>
      <c r="Z287" s="55"/>
      <c r="AA287" s="67"/>
      <c r="AB287" s="53"/>
      <c r="AC287" s="34"/>
      <c r="AD287" s="74"/>
    </row>
    <row r="288" spans="1:30">
      <c r="A288" s="73"/>
      <c r="B288" s="72"/>
      <c r="C288" s="43"/>
      <c r="D288" s="68"/>
      <c r="E288" s="64"/>
      <c r="G288" s="58"/>
      <c r="H288" s="58"/>
      <c r="I288" s="58"/>
      <c r="J288" s="58"/>
      <c r="K288" s="58"/>
      <c r="L288" s="57"/>
      <c r="M288" s="57"/>
      <c r="N288" s="57"/>
      <c r="O288" s="57"/>
      <c r="P288" s="57"/>
      <c r="R288" s="56"/>
      <c r="S288" s="56"/>
      <c r="T288" s="56"/>
      <c r="U288" s="56"/>
      <c r="V288" s="56"/>
      <c r="W288" s="56"/>
      <c r="X288" s="56"/>
      <c r="Y288" s="56"/>
      <c r="Z288" s="55"/>
      <c r="AA288" s="67"/>
      <c r="AB288" s="53"/>
      <c r="AC288" s="34"/>
      <c r="AD288" s="74"/>
    </row>
    <row r="289" spans="1:30">
      <c r="A289" s="73"/>
      <c r="B289" s="72"/>
      <c r="C289" s="43"/>
      <c r="D289" s="68"/>
      <c r="E289" s="64"/>
      <c r="G289" s="58"/>
      <c r="H289" s="58"/>
      <c r="I289" s="58"/>
      <c r="J289" s="58"/>
      <c r="K289" s="58"/>
      <c r="L289" s="57"/>
      <c r="M289" s="57"/>
      <c r="N289" s="57"/>
      <c r="O289" s="57"/>
      <c r="P289" s="57"/>
      <c r="R289" s="56"/>
      <c r="S289" s="56"/>
      <c r="T289" s="56"/>
      <c r="U289" s="56"/>
      <c r="V289" s="56"/>
      <c r="W289" s="56"/>
      <c r="X289" s="56"/>
      <c r="Y289" s="56"/>
      <c r="Z289" s="55"/>
      <c r="AA289" s="67"/>
      <c r="AB289" s="53"/>
      <c r="AC289" s="34"/>
      <c r="AD289" s="74"/>
    </row>
    <row r="290" spans="1:30">
      <c r="A290" s="73"/>
      <c r="B290" s="72"/>
      <c r="C290" s="43"/>
      <c r="D290" s="68"/>
      <c r="E290" s="64"/>
      <c r="G290" s="58"/>
      <c r="H290" s="58"/>
      <c r="I290" s="58"/>
      <c r="J290" s="58"/>
      <c r="K290" s="58"/>
      <c r="L290" s="57"/>
      <c r="M290" s="57"/>
      <c r="N290" s="57"/>
      <c r="O290" s="57"/>
      <c r="P290" s="57"/>
      <c r="R290" s="56"/>
      <c r="S290" s="56"/>
      <c r="T290" s="56"/>
      <c r="U290" s="56"/>
      <c r="V290" s="56"/>
      <c r="W290" s="56"/>
      <c r="X290" s="56"/>
      <c r="Y290" s="56"/>
      <c r="Z290" s="55"/>
      <c r="AA290" s="67"/>
      <c r="AB290" s="53"/>
      <c r="AC290" s="34"/>
      <c r="AD290" s="74"/>
    </row>
    <row r="291" spans="1:30">
      <c r="A291" s="73"/>
      <c r="B291" s="72"/>
      <c r="C291" s="43"/>
      <c r="D291" s="68"/>
      <c r="E291" s="64"/>
      <c r="G291" s="58"/>
      <c r="H291" s="58"/>
      <c r="I291" s="58"/>
      <c r="J291" s="58"/>
      <c r="K291" s="58"/>
      <c r="L291" s="57"/>
      <c r="M291" s="57"/>
      <c r="N291" s="57"/>
      <c r="O291" s="57"/>
      <c r="P291" s="57"/>
      <c r="R291" s="56"/>
      <c r="S291" s="56"/>
      <c r="T291" s="56"/>
      <c r="U291" s="56"/>
      <c r="V291" s="56"/>
      <c r="W291" s="56"/>
      <c r="X291" s="56"/>
      <c r="Y291" s="56"/>
      <c r="Z291" s="55"/>
      <c r="AA291" s="67"/>
      <c r="AB291" s="53"/>
      <c r="AC291" s="34"/>
      <c r="AD291" s="74"/>
    </row>
    <row r="292" spans="1:30">
      <c r="A292" s="73"/>
      <c r="B292" s="72"/>
      <c r="C292" s="43"/>
      <c r="D292" s="68"/>
      <c r="E292" s="64"/>
      <c r="G292" s="58"/>
      <c r="H292" s="58"/>
      <c r="I292" s="58"/>
      <c r="J292" s="58"/>
      <c r="K292" s="58"/>
      <c r="L292" s="57"/>
      <c r="M292" s="57"/>
      <c r="N292" s="57"/>
      <c r="O292" s="57"/>
      <c r="P292" s="57"/>
      <c r="R292" s="56"/>
      <c r="S292" s="56"/>
      <c r="T292" s="56"/>
      <c r="U292" s="56"/>
      <c r="V292" s="56"/>
      <c r="W292" s="56"/>
      <c r="X292" s="56"/>
      <c r="Y292" s="56"/>
      <c r="Z292" s="55"/>
      <c r="AA292" s="67"/>
      <c r="AB292" s="53"/>
      <c r="AC292" s="34"/>
      <c r="AD292" s="74"/>
    </row>
    <row r="293" spans="1:30">
      <c r="A293" s="73"/>
      <c r="B293" s="72"/>
      <c r="C293" s="75"/>
      <c r="D293" s="68"/>
      <c r="E293" s="64"/>
      <c r="G293" s="58"/>
      <c r="H293" s="58"/>
      <c r="I293" s="58"/>
      <c r="J293" s="58"/>
      <c r="K293" s="58"/>
      <c r="L293" s="57"/>
      <c r="M293" s="57"/>
      <c r="N293" s="57"/>
      <c r="O293" s="57"/>
      <c r="P293" s="57"/>
      <c r="R293" s="56"/>
      <c r="S293" s="56"/>
      <c r="T293" s="56"/>
      <c r="U293" s="56"/>
      <c r="V293" s="56"/>
      <c r="W293" s="56"/>
      <c r="X293" s="56"/>
      <c r="Y293" s="56"/>
      <c r="Z293" s="55"/>
      <c r="AA293" s="67"/>
      <c r="AB293" s="53"/>
      <c r="AC293" s="34"/>
      <c r="AD293" s="74"/>
    </row>
    <row r="294" spans="1:30">
      <c r="A294" s="73"/>
      <c r="B294" s="72"/>
      <c r="C294" s="71"/>
      <c r="D294" s="68"/>
      <c r="E294" s="64"/>
      <c r="G294" s="58"/>
      <c r="H294" s="58"/>
      <c r="I294" s="58"/>
      <c r="J294" s="58"/>
      <c r="K294" s="58"/>
      <c r="L294" s="57"/>
      <c r="M294" s="57"/>
      <c r="N294" s="57"/>
      <c r="O294" s="57"/>
      <c r="P294" s="57"/>
      <c r="R294" s="56"/>
      <c r="S294" s="56"/>
      <c r="T294" s="56"/>
      <c r="U294" s="56"/>
      <c r="V294" s="56"/>
      <c r="W294" s="56"/>
      <c r="X294" s="56"/>
      <c r="Y294" s="56"/>
      <c r="Z294" s="55"/>
      <c r="AA294" s="67"/>
      <c r="AB294" s="53"/>
      <c r="AC294" s="34"/>
      <c r="AD294" s="66"/>
    </row>
    <row r="295" spans="1:30">
      <c r="A295" s="70"/>
      <c r="B295" s="72"/>
      <c r="C295" s="71"/>
      <c r="D295" s="68"/>
      <c r="E295" s="64"/>
      <c r="G295" s="58"/>
      <c r="H295" s="58"/>
      <c r="I295" s="58"/>
      <c r="J295" s="58"/>
      <c r="K295" s="58"/>
      <c r="L295" s="57"/>
      <c r="M295" s="57"/>
      <c r="N295" s="57"/>
      <c r="O295" s="57"/>
      <c r="P295" s="57"/>
      <c r="R295" s="56"/>
      <c r="S295" s="56"/>
      <c r="T295" s="56"/>
      <c r="U295" s="56"/>
      <c r="V295" s="56"/>
      <c r="W295" s="56"/>
      <c r="X295" s="56"/>
      <c r="Y295" s="56"/>
      <c r="Z295" s="55"/>
      <c r="AA295" s="67"/>
      <c r="AB295" s="53"/>
      <c r="AC295" s="34"/>
      <c r="AD295" s="66"/>
    </row>
    <row r="296" spans="1:30">
      <c r="A296" s="65"/>
      <c r="B296" s="72"/>
      <c r="C296" s="71"/>
      <c r="D296" s="68"/>
      <c r="E296" s="64"/>
      <c r="G296" s="58"/>
      <c r="H296" s="58"/>
      <c r="I296" s="58"/>
      <c r="J296" s="58"/>
      <c r="K296" s="58"/>
      <c r="L296" s="57"/>
      <c r="M296" s="57"/>
      <c r="N296" s="57"/>
      <c r="O296" s="57"/>
      <c r="P296" s="57"/>
      <c r="R296" s="56"/>
      <c r="S296" s="56"/>
      <c r="T296" s="56"/>
      <c r="U296" s="56"/>
      <c r="V296" s="56"/>
      <c r="W296" s="56"/>
      <c r="X296" s="56"/>
      <c r="Y296" s="56"/>
      <c r="Z296" s="55"/>
      <c r="AA296" s="67"/>
      <c r="AB296" s="53"/>
      <c r="AC296" s="34"/>
      <c r="AD296" s="66"/>
    </row>
    <row r="297" spans="1:30">
      <c r="A297" s="70"/>
      <c r="B297" s="72"/>
      <c r="C297" s="71"/>
      <c r="D297" s="68"/>
      <c r="E297" s="64"/>
      <c r="G297" s="58"/>
      <c r="H297" s="58"/>
      <c r="I297" s="58"/>
      <c r="J297" s="58"/>
      <c r="K297" s="58"/>
      <c r="L297" s="57"/>
      <c r="M297" s="57"/>
      <c r="N297" s="57"/>
      <c r="O297" s="57"/>
      <c r="P297" s="57"/>
      <c r="R297" s="56"/>
      <c r="S297" s="56"/>
      <c r="T297" s="56"/>
      <c r="U297" s="56"/>
      <c r="V297" s="56"/>
      <c r="W297" s="56"/>
      <c r="X297" s="56"/>
      <c r="Y297" s="56"/>
      <c r="Z297" s="55"/>
      <c r="AA297" s="67"/>
      <c r="AB297" s="53"/>
      <c r="AC297" s="34"/>
      <c r="AD297" s="66"/>
    </row>
    <row r="298" spans="1:30">
      <c r="A298" s="70"/>
      <c r="B298" s="72"/>
      <c r="C298" s="71"/>
      <c r="D298" s="68"/>
      <c r="E298" s="64"/>
      <c r="G298" s="58"/>
      <c r="H298" s="58"/>
      <c r="I298" s="58"/>
      <c r="J298" s="58"/>
      <c r="K298" s="58"/>
      <c r="L298" s="57"/>
      <c r="M298" s="57"/>
      <c r="N298" s="57"/>
      <c r="O298" s="57"/>
      <c r="P298" s="57"/>
      <c r="R298" s="56"/>
      <c r="S298" s="56"/>
      <c r="T298" s="56"/>
      <c r="U298" s="56"/>
      <c r="V298" s="56"/>
      <c r="W298" s="56"/>
      <c r="X298" s="56"/>
      <c r="Y298" s="56"/>
      <c r="Z298" s="55"/>
      <c r="AA298" s="67"/>
      <c r="AB298" s="53"/>
      <c r="AC298" s="34"/>
      <c r="AD298" s="66"/>
    </row>
    <row r="299" spans="1:30">
      <c r="A299" s="70"/>
      <c r="B299" s="72"/>
      <c r="C299" s="71"/>
      <c r="D299" s="68"/>
      <c r="E299" s="64"/>
      <c r="G299" s="58"/>
      <c r="H299" s="58"/>
      <c r="I299" s="58"/>
      <c r="J299" s="58"/>
      <c r="K299" s="58"/>
      <c r="L299" s="57"/>
      <c r="M299" s="57"/>
      <c r="N299" s="57"/>
      <c r="O299" s="57"/>
      <c r="P299" s="57"/>
      <c r="R299" s="56"/>
      <c r="S299" s="56"/>
      <c r="T299" s="56"/>
      <c r="U299" s="56"/>
      <c r="V299" s="56"/>
      <c r="W299" s="56"/>
      <c r="X299" s="56"/>
      <c r="Y299" s="56"/>
      <c r="Z299" s="55"/>
      <c r="AA299" s="67"/>
      <c r="AB299" s="53"/>
      <c r="AC299" s="34"/>
      <c r="AD299" s="66"/>
    </row>
    <row r="300" spans="1:30">
      <c r="A300" s="70"/>
      <c r="B300" s="72"/>
      <c r="C300" s="71"/>
      <c r="D300" s="68"/>
      <c r="E300" s="64"/>
      <c r="G300" s="58"/>
      <c r="H300" s="58"/>
      <c r="I300" s="58"/>
      <c r="J300" s="58"/>
      <c r="K300" s="58"/>
      <c r="L300" s="57"/>
      <c r="M300" s="57"/>
      <c r="N300" s="57"/>
      <c r="O300" s="57"/>
      <c r="P300" s="57"/>
      <c r="R300" s="56"/>
      <c r="S300" s="56"/>
      <c r="T300" s="56"/>
      <c r="U300" s="56"/>
      <c r="V300" s="56"/>
      <c r="W300" s="56"/>
      <c r="X300" s="56"/>
      <c r="Y300" s="56"/>
      <c r="Z300" s="55"/>
      <c r="AA300" s="67"/>
      <c r="AB300" s="53"/>
      <c r="AC300" s="34"/>
      <c r="AD300" s="66"/>
    </row>
    <row r="301" spans="1:30">
      <c r="A301" s="70"/>
      <c r="B301" s="72"/>
      <c r="C301" s="71"/>
      <c r="D301" s="68"/>
      <c r="E301" s="64"/>
      <c r="G301" s="58"/>
      <c r="H301" s="58"/>
      <c r="I301" s="58"/>
      <c r="J301" s="58"/>
      <c r="K301" s="58"/>
      <c r="L301" s="57"/>
      <c r="M301" s="57"/>
      <c r="N301" s="57"/>
      <c r="O301" s="57"/>
      <c r="P301" s="57"/>
      <c r="R301" s="56"/>
      <c r="S301" s="56"/>
      <c r="T301" s="56"/>
      <c r="U301" s="56"/>
      <c r="V301" s="56"/>
      <c r="W301" s="56"/>
      <c r="X301" s="56"/>
      <c r="Y301" s="56"/>
      <c r="Z301" s="55"/>
      <c r="AA301" s="67"/>
      <c r="AB301" s="53"/>
      <c r="AC301" s="34"/>
      <c r="AD301" s="66"/>
    </row>
    <row r="302" spans="1:30">
      <c r="A302" s="73"/>
      <c r="B302" s="72"/>
      <c r="C302" s="71"/>
      <c r="D302" s="68"/>
      <c r="E302" s="64"/>
      <c r="G302" s="58"/>
      <c r="H302" s="58"/>
      <c r="I302" s="58"/>
      <c r="J302" s="58"/>
      <c r="K302" s="58"/>
      <c r="L302" s="57"/>
      <c r="M302" s="57"/>
      <c r="N302" s="57"/>
      <c r="O302" s="57"/>
      <c r="P302" s="57"/>
      <c r="R302" s="56"/>
      <c r="S302" s="56"/>
      <c r="T302" s="56"/>
      <c r="U302" s="56"/>
      <c r="V302" s="56"/>
      <c r="W302" s="56"/>
      <c r="X302" s="56"/>
      <c r="Y302" s="56"/>
      <c r="Z302" s="55"/>
      <c r="AA302" s="67"/>
      <c r="AB302" s="53"/>
      <c r="AC302" s="34"/>
      <c r="AD302" s="66"/>
    </row>
    <row r="303" spans="1:30">
      <c r="A303" s="65"/>
      <c r="B303" s="72"/>
      <c r="C303" s="71"/>
      <c r="D303" s="68"/>
      <c r="E303" s="64"/>
      <c r="G303" s="58"/>
      <c r="H303" s="58"/>
      <c r="I303" s="58"/>
      <c r="J303" s="58"/>
      <c r="K303" s="58"/>
      <c r="L303" s="57"/>
      <c r="M303" s="57"/>
      <c r="N303" s="57"/>
      <c r="O303" s="57"/>
      <c r="P303" s="57"/>
      <c r="R303" s="56"/>
      <c r="S303" s="56"/>
      <c r="T303" s="56"/>
      <c r="U303" s="56"/>
      <c r="V303" s="56"/>
      <c r="W303" s="56"/>
      <c r="X303" s="56"/>
      <c r="Y303" s="56"/>
      <c r="Z303" s="55"/>
      <c r="AA303" s="67"/>
      <c r="AB303" s="53"/>
      <c r="AC303" s="34"/>
      <c r="AD303" s="66"/>
    </row>
    <row r="304" spans="1:30">
      <c r="A304" s="70"/>
      <c r="B304" s="72"/>
      <c r="C304" s="71"/>
      <c r="D304" s="68"/>
      <c r="E304" s="64"/>
      <c r="G304" s="58"/>
      <c r="H304" s="58"/>
      <c r="I304" s="58"/>
      <c r="J304" s="58"/>
      <c r="K304" s="58"/>
      <c r="L304" s="57"/>
      <c r="M304" s="57"/>
      <c r="N304" s="57"/>
      <c r="O304" s="57"/>
      <c r="P304" s="57"/>
      <c r="R304" s="56"/>
      <c r="S304" s="56"/>
      <c r="T304" s="56"/>
      <c r="U304" s="56"/>
      <c r="V304" s="56"/>
      <c r="W304" s="56"/>
      <c r="X304" s="56"/>
      <c r="Y304" s="56"/>
      <c r="Z304" s="55"/>
      <c r="AA304" s="67"/>
      <c r="AB304" s="53"/>
      <c r="AC304" s="34"/>
      <c r="AD304" s="66"/>
    </row>
    <row r="305" spans="1:30">
      <c r="A305" s="70"/>
      <c r="B305" s="72"/>
      <c r="C305" s="71"/>
      <c r="D305" s="68"/>
      <c r="E305" s="64"/>
      <c r="G305" s="58"/>
      <c r="H305" s="58"/>
      <c r="I305" s="58"/>
      <c r="J305" s="58"/>
      <c r="K305" s="58"/>
      <c r="L305" s="57"/>
      <c r="M305" s="57"/>
      <c r="N305" s="57"/>
      <c r="O305" s="57"/>
      <c r="P305" s="57"/>
      <c r="R305" s="56"/>
      <c r="S305" s="56"/>
      <c r="T305" s="56"/>
      <c r="U305" s="56"/>
      <c r="V305" s="56"/>
      <c r="W305" s="56"/>
      <c r="X305" s="56"/>
      <c r="Y305" s="56"/>
      <c r="Z305" s="55"/>
      <c r="AA305" s="67"/>
      <c r="AB305" s="53"/>
      <c r="AC305" s="34"/>
      <c r="AD305" s="66"/>
    </row>
    <row r="306" spans="1:30">
      <c r="A306" s="70"/>
      <c r="B306" s="72"/>
      <c r="C306" s="71"/>
      <c r="D306" s="68"/>
      <c r="E306" s="64"/>
      <c r="G306" s="58"/>
      <c r="H306" s="58"/>
      <c r="I306" s="58"/>
      <c r="J306" s="58"/>
      <c r="K306" s="58"/>
      <c r="L306" s="57"/>
      <c r="M306" s="57"/>
      <c r="N306" s="57"/>
      <c r="O306" s="57"/>
      <c r="P306" s="57"/>
      <c r="R306" s="56"/>
      <c r="S306" s="56"/>
      <c r="T306" s="56"/>
      <c r="U306" s="56"/>
      <c r="V306" s="56"/>
      <c r="W306" s="56"/>
      <c r="X306" s="56"/>
      <c r="Y306" s="56"/>
      <c r="Z306" s="55"/>
      <c r="AA306" s="67"/>
      <c r="AB306" s="53"/>
      <c r="AC306" s="34"/>
      <c r="AD306" s="66"/>
    </row>
    <row r="307" spans="1:30">
      <c r="A307" s="70"/>
      <c r="B307" s="72"/>
      <c r="C307" s="71"/>
      <c r="D307" s="68"/>
      <c r="E307" s="64"/>
      <c r="G307" s="58"/>
      <c r="H307" s="58"/>
      <c r="I307" s="58"/>
      <c r="J307" s="58"/>
      <c r="K307" s="58"/>
      <c r="L307" s="57"/>
      <c r="M307" s="57"/>
      <c r="N307" s="57"/>
      <c r="O307" s="57"/>
      <c r="P307" s="57"/>
      <c r="R307" s="56"/>
      <c r="S307" s="56"/>
      <c r="T307" s="56"/>
      <c r="U307" s="56"/>
      <c r="V307" s="56"/>
      <c r="W307" s="56"/>
      <c r="X307" s="56"/>
      <c r="Y307" s="56"/>
      <c r="Z307" s="55"/>
      <c r="AA307" s="67"/>
      <c r="AB307" s="53"/>
      <c r="AC307" s="34"/>
      <c r="AD307" s="66"/>
    </row>
    <row r="308" spans="1:30">
      <c r="A308" s="70"/>
      <c r="B308" s="72"/>
      <c r="C308" s="71"/>
      <c r="D308" s="68"/>
      <c r="E308" s="64"/>
      <c r="G308" s="58"/>
      <c r="H308" s="58"/>
      <c r="I308" s="58"/>
      <c r="J308" s="58"/>
      <c r="K308" s="58"/>
      <c r="L308" s="57"/>
      <c r="M308" s="57"/>
      <c r="N308" s="57"/>
      <c r="O308" s="57"/>
      <c r="P308" s="57"/>
      <c r="R308" s="56"/>
      <c r="S308" s="56"/>
      <c r="T308" s="56"/>
      <c r="U308" s="56"/>
      <c r="V308" s="56"/>
      <c r="W308" s="56"/>
      <c r="X308" s="56"/>
      <c r="Y308" s="56"/>
      <c r="Z308" s="55"/>
      <c r="AA308" s="67"/>
      <c r="AB308" s="53"/>
      <c r="AC308" s="34"/>
      <c r="AD308" s="66"/>
    </row>
    <row r="309" spans="1:30">
      <c r="A309" s="70"/>
      <c r="B309" s="72"/>
      <c r="C309" s="71"/>
      <c r="D309" s="68"/>
      <c r="E309" s="64"/>
      <c r="G309" s="58"/>
      <c r="H309" s="58"/>
      <c r="I309" s="58"/>
      <c r="J309" s="58"/>
      <c r="K309" s="58"/>
      <c r="L309" s="57"/>
      <c r="M309" s="57"/>
      <c r="N309" s="57"/>
      <c r="O309" s="57"/>
      <c r="P309" s="57"/>
      <c r="R309" s="56"/>
      <c r="S309" s="56"/>
      <c r="T309" s="56"/>
      <c r="U309" s="56"/>
      <c r="V309" s="56"/>
      <c r="W309" s="56"/>
      <c r="X309" s="56"/>
      <c r="Y309" s="56"/>
      <c r="Z309" s="55"/>
      <c r="AA309" s="67"/>
      <c r="AB309" s="53"/>
      <c r="AC309" s="34"/>
      <c r="AD309" s="66"/>
    </row>
    <row r="310" spans="1:30">
      <c r="A310" s="70"/>
      <c r="B310" s="62"/>
      <c r="C310" s="69"/>
      <c r="D310" s="68"/>
      <c r="E310" s="64"/>
      <c r="G310" s="58"/>
      <c r="H310" s="58"/>
      <c r="I310" s="58"/>
      <c r="J310" s="58"/>
      <c r="K310" s="58"/>
      <c r="L310" s="57"/>
      <c r="M310" s="57"/>
      <c r="N310" s="57"/>
      <c r="O310" s="57"/>
      <c r="P310" s="57"/>
      <c r="R310" s="56"/>
      <c r="S310" s="56"/>
      <c r="T310" s="56"/>
      <c r="U310" s="56"/>
      <c r="V310" s="56"/>
      <c r="W310" s="56"/>
      <c r="X310" s="56"/>
      <c r="Y310" s="56"/>
      <c r="Z310" s="55"/>
      <c r="AA310" s="67"/>
      <c r="AB310" s="53"/>
      <c r="AC310" s="34"/>
      <c r="AD310" s="66"/>
    </row>
    <row r="311" spans="1:30">
      <c r="A311" s="65"/>
      <c r="B311" s="62"/>
      <c r="C311" s="43"/>
      <c r="D311" s="42"/>
      <c r="E311" s="64"/>
      <c r="G311" s="58"/>
      <c r="H311" s="58"/>
      <c r="I311" s="58"/>
      <c r="J311" s="58"/>
      <c r="K311" s="58"/>
      <c r="L311" s="57"/>
      <c r="M311" s="57"/>
      <c r="N311" s="57"/>
      <c r="O311" s="57"/>
      <c r="P311" s="57"/>
      <c r="R311" s="56"/>
      <c r="S311" s="56"/>
      <c r="T311" s="56"/>
      <c r="U311" s="56"/>
      <c r="V311" s="56"/>
      <c r="W311" s="56"/>
      <c r="X311" s="56"/>
      <c r="Y311" s="56"/>
      <c r="Z311" s="55"/>
      <c r="AA311" s="54"/>
      <c r="AB311" s="63"/>
      <c r="AC311" s="34"/>
      <c r="AD311" s="33"/>
    </row>
    <row r="312" spans="1:30">
      <c r="A312" s="45"/>
      <c r="B312" s="62"/>
      <c r="C312" s="43"/>
      <c r="D312" s="42"/>
      <c r="E312" s="41"/>
      <c r="G312" s="49"/>
      <c r="H312" s="49"/>
      <c r="I312" s="49"/>
      <c r="J312" s="49"/>
      <c r="K312" s="49"/>
      <c r="L312" s="48"/>
      <c r="M312" s="48"/>
      <c r="N312" s="48"/>
      <c r="O312" s="48"/>
      <c r="P312" s="48"/>
      <c r="R312" s="47"/>
      <c r="S312" s="47"/>
      <c r="T312" s="47"/>
      <c r="U312" s="47"/>
      <c r="V312" s="47"/>
      <c r="W312" s="47"/>
      <c r="X312" s="47"/>
      <c r="Y312" s="47"/>
      <c r="Z312" s="46"/>
      <c r="AA312" s="61"/>
      <c r="AB312" s="35"/>
      <c r="AC312" s="34"/>
      <c r="AD312" s="33"/>
    </row>
    <row r="313" spans="1:30">
      <c r="A313" s="45"/>
      <c r="B313" s="44"/>
      <c r="C313" s="43"/>
      <c r="D313" s="60"/>
      <c r="E313" s="59"/>
      <c r="G313" s="58"/>
      <c r="H313" s="58"/>
      <c r="I313" s="58"/>
      <c r="J313" s="58"/>
      <c r="K313" s="58"/>
      <c r="L313" s="57"/>
      <c r="M313" s="57"/>
      <c r="N313" s="57"/>
      <c r="O313" s="57"/>
      <c r="P313" s="57"/>
      <c r="R313" s="56"/>
      <c r="S313" s="56"/>
      <c r="T313" s="56"/>
      <c r="U313" s="56"/>
      <c r="V313" s="56"/>
      <c r="W313" s="56"/>
      <c r="X313" s="56"/>
      <c r="Y313" s="56"/>
      <c r="Z313" s="55"/>
      <c r="AA313" s="54"/>
      <c r="AB313" s="53"/>
      <c r="AC313" s="34"/>
      <c r="AD313" s="33"/>
    </row>
    <row r="314" spans="1:30">
      <c r="A314" s="45"/>
      <c r="B314" s="44"/>
      <c r="C314" s="43"/>
      <c r="D314" s="42"/>
      <c r="E314" s="41"/>
      <c r="G314" s="40"/>
      <c r="H314" s="40"/>
      <c r="I314" s="40"/>
      <c r="J314" s="40"/>
      <c r="K314" s="40"/>
      <c r="L314" s="39"/>
      <c r="M314" s="39"/>
      <c r="N314" s="39"/>
      <c r="O314" s="39"/>
      <c r="P314" s="39"/>
      <c r="R314" s="38"/>
      <c r="S314" s="38"/>
      <c r="T314" s="38"/>
      <c r="U314" s="38"/>
      <c r="V314" s="38"/>
      <c r="W314" s="38"/>
      <c r="X314" s="38"/>
      <c r="Y314" s="38"/>
      <c r="Z314" s="37"/>
      <c r="AA314" s="36"/>
      <c r="AB314" s="35"/>
      <c r="AC314" s="34"/>
      <c r="AD314" s="33"/>
    </row>
    <row r="315" spans="1:30">
      <c r="A315" s="52"/>
      <c r="B315" s="51"/>
      <c r="C315" s="43"/>
      <c r="D315" s="42"/>
      <c r="E315" s="50"/>
      <c r="G315" s="49"/>
      <c r="H315" s="49"/>
      <c r="I315" s="49"/>
      <c r="J315" s="49"/>
      <c r="K315" s="49"/>
      <c r="L315" s="48"/>
      <c r="M315" s="48"/>
      <c r="N315" s="48"/>
      <c r="O315" s="48"/>
      <c r="P315" s="48"/>
      <c r="R315" s="47"/>
      <c r="S315" s="47"/>
      <c r="T315" s="47"/>
      <c r="U315" s="47"/>
      <c r="V315" s="47"/>
      <c r="W315" s="47"/>
      <c r="X315" s="47"/>
      <c r="Y315" s="47"/>
      <c r="Z315" s="46"/>
      <c r="AA315" s="36"/>
      <c r="AB315" s="35"/>
      <c r="AC315" s="34"/>
      <c r="AD315" s="33"/>
    </row>
    <row r="316" spans="1:30">
      <c r="A316" s="45"/>
      <c r="B316" s="44"/>
      <c r="C316" s="43"/>
      <c r="D316" s="42"/>
      <c r="E316" s="41"/>
      <c r="G316" s="40"/>
      <c r="H316" s="40"/>
      <c r="I316" s="40"/>
      <c r="J316" s="40"/>
      <c r="K316" s="40"/>
      <c r="L316" s="39"/>
      <c r="M316" s="39"/>
      <c r="N316" s="39"/>
      <c r="O316" s="39"/>
      <c r="P316" s="39"/>
      <c r="R316" s="38"/>
      <c r="S316" s="38"/>
      <c r="T316" s="38"/>
      <c r="U316" s="38"/>
      <c r="V316" s="38"/>
      <c r="W316" s="38"/>
      <c r="X316" s="38"/>
      <c r="Y316" s="38"/>
      <c r="Z316" s="37"/>
      <c r="AA316" s="36"/>
      <c r="AB316" s="35"/>
      <c r="AC316" s="34"/>
      <c r="AD316" s="33"/>
    </row>
    <row r="317" spans="1:30">
      <c r="A317" s="45"/>
      <c r="B317" s="44"/>
      <c r="C317" s="43"/>
      <c r="D317" s="42"/>
      <c r="E317" s="41"/>
      <c r="G317" s="40"/>
      <c r="H317" s="40"/>
      <c r="I317" s="40"/>
      <c r="J317" s="40"/>
      <c r="K317" s="40"/>
      <c r="L317" s="39"/>
      <c r="M317" s="39"/>
      <c r="N317" s="39"/>
      <c r="O317" s="39"/>
      <c r="P317" s="39"/>
      <c r="R317" s="38"/>
      <c r="S317" s="38"/>
      <c r="T317" s="38"/>
      <c r="U317" s="38"/>
      <c r="V317" s="38"/>
      <c r="W317" s="38"/>
      <c r="X317" s="38"/>
      <c r="Y317" s="38"/>
      <c r="Z317" s="37"/>
      <c r="AA317" s="36"/>
      <c r="AB317" s="35"/>
      <c r="AC317" s="34"/>
      <c r="AD317" s="33"/>
    </row>
    <row r="318" spans="1:30">
      <c r="A318" s="20"/>
      <c r="B318" s="11"/>
      <c r="C318" s="28"/>
      <c r="D318" s="26"/>
      <c r="E318" s="29"/>
      <c r="G318" s="19"/>
      <c r="H318" s="19"/>
      <c r="I318" s="19"/>
      <c r="J318" s="19"/>
      <c r="K318" s="19"/>
      <c r="L318" s="18"/>
      <c r="M318" s="18"/>
      <c r="N318" s="18"/>
      <c r="O318" s="18"/>
      <c r="P318" s="18"/>
      <c r="R318" s="17"/>
      <c r="S318" s="17"/>
      <c r="T318" s="17"/>
      <c r="U318" s="17"/>
      <c r="V318" s="17"/>
      <c r="W318" s="17"/>
      <c r="X318" s="17"/>
      <c r="Y318" s="17"/>
      <c r="Z318" s="16"/>
      <c r="AA318" s="15"/>
      <c r="AB318" s="30"/>
      <c r="AC318" s="14"/>
      <c r="AD318" s="13"/>
    </row>
    <row r="319" spans="1:30">
      <c r="A319" s="20"/>
      <c r="B319" s="11"/>
      <c r="C319" s="28"/>
      <c r="D319" s="26"/>
      <c r="E319" s="29"/>
      <c r="G319" s="19"/>
      <c r="H319" s="19"/>
      <c r="I319" s="19"/>
      <c r="J319" s="19"/>
      <c r="K319" s="19"/>
      <c r="L319" s="18"/>
      <c r="M319" s="18"/>
      <c r="N319" s="18"/>
      <c r="O319" s="18"/>
      <c r="P319" s="18"/>
      <c r="R319" s="17"/>
      <c r="S319" s="17"/>
      <c r="T319" s="17"/>
      <c r="U319" s="17"/>
      <c r="V319" s="17"/>
      <c r="W319" s="17"/>
      <c r="X319" s="17"/>
      <c r="Y319" s="17"/>
      <c r="Z319" s="16"/>
      <c r="AA319" s="15"/>
      <c r="AB319" s="30"/>
      <c r="AC319" s="14"/>
      <c r="AD319" s="13"/>
    </row>
    <row r="320" spans="1:30">
      <c r="A320" s="20"/>
      <c r="B320" s="11"/>
      <c r="C320" s="28"/>
      <c r="D320" s="26"/>
      <c r="E320" s="29"/>
      <c r="G320" s="19"/>
      <c r="H320" s="19"/>
      <c r="I320" s="19"/>
      <c r="J320" s="19"/>
      <c r="K320" s="19"/>
      <c r="L320" s="18"/>
      <c r="M320" s="18"/>
      <c r="N320" s="18"/>
      <c r="O320" s="18"/>
      <c r="P320" s="18"/>
      <c r="R320" s="17"/>
      <c r="S320" s="17"/>
      <c r="T320" s="17"/>
      <c r="U320" s="17"/>
      <c r="V320" s="17"/>
      <c r="W320" s="17"/>
      <c r="X320" s="17"/>
      <c r="Y320" s="17"/>
      <c r="Z320" s="16"/>
      <c r="AA320" s="15"/>
      <c r="AB320" s="30"/>
      <c r="AC320" s="14"/>
      <c r="AD320" s="13"/>
    </row>
    <row r="321" spans="1:30">
      <c r="A321" s="20"/>
      <c r="B321" s="11"/>
      <c r="C321" s="28"/>
      <c r="D321" s="26"/>
      <c r="E321" s="29"/>
      <c r="G321" s="19"/>
      <c r="H321" s="19"/>
      <c r="I321" s="19"/>
      <c r="J321" s="19"/>
      <c r="K321" s="19"/>
      <c r="L321" s="18"/>
      <c r="M321" s="18"/>
      <c r="N321" s="18"/>
      <c r="O321" s="18"/>
      <c r="P321" s="18"/>
      <c r="R321" s="17"/>
      <c r="S321" s="17"/>
      <c r="T321" s="17"/>
      <c r="U321" s="17"/>
      <c r="V321" s="17"/>
      <c r="W321" s="17"/>
      <c r="X321" s="17"/>
      <c r="Y321" s="17"/>
      <c r="Z321" s="16"/>
      <c r="AA321" s="15"/>
      <c r="AB321" s="30"/>
      <c r="AC321" s="14"/>
      <c r="AD321" s="13"/>
    </row>
    <row r="322" spans="1:30">
      <c r="A322" s="20"/>
      <c r="B322" s="11"/>
      <c r="C322" s="28"/>
      <c r="D322" s="26"/>
      <c r="E322" s="29"/>
      <c r="G322" s="19"/>
      <c r="H322" s="19"/>
      <c r="I322" s="19"/>
      <c r="J322" s="19"/>
      <c r="K322" s="19"/>
      <c r="L322" s="18"/>
      <c r="M322" s="18"/>
      <c r="N322" s="18"/>
      <c r="O322" s="18"/>
      <c r="P322" s="18"/>
      <c r="R322" s="17"/>
      <c r="S322" s="17"/>
      <c r="T322" s="17"/>
      <c r="U322" s="17"/>
      <c r="V322" s="17"/>
      <c r="W322" s="17"/>
      <c r="X322" s="17"/>
      <c r="Y322" s="17"/>
      <c r="Z322" s="16"/>
      <c r="AA322" s="31"/>
      <c r="AB322" s="30"/>
      <c r="AC322" s="14"/>
      <c r="AD322" s="13"/>
    </row>
    <row r="323" spans="1:30">
      <c r="A323" s="20"/>
      <c r="B323" s="11"/>
      <c r="C323" s="28"/>
      <c r="D323" s="26"/>
      <c r="E323" s="29"/>
      <c r="G323" s="19"/>
      <c r="H323" s="19"/>
      <c r="I323" s="19"/>
      <c r="J323" s="19"/>
      <c r="K323" s="19"/>
      <c r="L323" s="18"/>
      <c r="M323" s="18"/>
      <c r="N323" s="18"/>
      <c r="O323" s="18"/>
      <c r="P323" s="18"/>
      <c r="R323" s="17"/>
      <c r="S323" s="17"/>
      <c r="T323" s="17"/>
      <c r="U323" s="17"/>
      <c r="V323" s="17"/>
      <c r="W323" s="17"/>
      <c r="X323" s="17"/>
      <c r="Y323" s="17"/>
      <c r="Z323" s="16"/>
      <c r="AA323" s="31"/>
      <c r="AB323" s="30"/>
      <c r="AC323" s="14"/>
      <c r="AD323" s="13"/>
    </row>
    <row r="324" spans="1:30">
      <c r="A324" s="20"/>
      <c r="B324" s="11"/>
      <c r="C324" s="28"/>
      <c r="D324" s="26"/>
      <c r="E324" s="29"/>
      <c r="G324" s="19"/>
      <c r="H324" s="19"/>
      <c r="I324" s="19"/>
      <c r="J324" s="19"/>
      <c r="K324" s="19"/>
      <c r="L324" s="18"/>
      <c r="M324" s="18"/>
      <c r="N324" s="18"/>
      <c r="O324" s="18"/>
      <c r="P324" s="18"/>
      <c r="R324" s="17"/>
      <c r="S324" s="17"/>
      <c r="T324" s="17"/>
      <c r="U324" s="17"/>
      <c r="V324" s="17"/>
      <c r="W324" s="17"/>
      <c r="X324" s="17"/>
      <c r="Y324" s="17"/>
      <c r="Z324" s="16"/>
      <c r="AA324" s="15"/>
      <c r="AB324" s="30"/>
      <c r="AC324" s="14"/>
      <c r="AD324" s="13"/>
    </row>
    <row r="325" spans="1:30">
      <c r="A325" s="20"/>
      <c r="B325" s="11"/>
      <c r="C325" s="28"/>
      <c r="D325" s="26"/>
      <c r="E325" s="29"/>
      <c r="G325" s="19"/>
      <c r="H325" s="19"/>
      <c r="I325" s="19"/>
      <c r="J325" s="19"/>
      <c r="K325" s="19"/>
      <c r="L325" s="18"/>
      <c r="M325" s="18"/>
      <c r="N325" s="18"/>
      <c r="O325" s="18"/>
      <c r="P325" s="18"/>
      <c r="R325" s="17"/>
      <c r="S325" s="17"/>
      <c r="T325" s="17"/>
      <c r="U325" s="17"/>
      <c r="V325" s="17"/>
      <c r="W325" s="17"/>
      <c r="X325" s="17"/>
      <c r="Y325" s="17"/>
      <c r="Z325" s="16"/>
      <c r="AA325" s="15"/>
      <c r="AB325" s="30"/>
      <c r="AC325" s="14"/>
      <c r="AD325" s="13"/>
    </row>
    <row r="326" spans="1:30">
      <c r="A326" s="20"/>
      <c r="B326" s="11"/>
      <c r="C326" s="28"/>
      <c r="D326" s="26"/>
      <c r="E326" s="29"/>
      <c r="G326" s="19"/>
      <c r="H326" s="19"/>
      <c r="I326" s="19"/>
      <c r="J326" s="19"/>
      <c r="K326" s="19"/>
      <c r="L326" s="18"/>
      <c r="M326" s="18"/>
      <c r="N326" s="18"/>
      <c r="O326" s="18"/>
      <c r="P326" s="18"/>
      <c r="R326" s="17"/>
      <c r="S326" s="17"/>
      <c r="T326" s="17"/>
      <c r="U326" s="17"/>
      <c r="V326" s="17"/>
      <c r="W326" s="17"/>
      <c r="X326" s="17"/>
      <c r="Y326" s="17"/>
      <c r="Z326" s="16"/>
      <c r="AA326" s="31"/>
      <c r="AB326" s="30"/>
      <c r="AC326" s="14"/>
      <c r="AD326" s="13"/>
    </row>
    <row r="327" spans="1:30">
      <c r="A327" s="20"/>
      <c r="B327" s="11"/>
      <c r="C327" s="28"/>
      <c r="D327" s="26"/>
      <c r="E327" s="29"/>
      <c r="G327" s="19"/>
      <c r="H327" s="19"/>
      <c r="I327" s="19"/>
      <c r="J327" s="19"/>
      <c r="K327" s="19"/>
      <c r="L327" s="18"/>
      <c r="M327" s="18"/>
      <c r="N327" s="18"/>
      <c r="O327" s="18"/>
      <c r="P327" s="18"/>
      <c r="R327" s="17"/>
      <c r="S327" s="17"/>
      <c r="T327" s="17"/>
      <c r="U327" s="17"/>
      <c r="V327" s="17"/>
      <c r="W327" s="17"/>
      <c r="X327" s="17"/>
      <c r="Y327" s="17"/>
      <c r="Z327" s="16"/>
      <c r="AA327" s="31"/>
      <c r="AB327" s="30"/>
      <c r="AC327" s="14"/>
      <c r="AD327" s="13"/>
    </row>
    <row r="328" spans="1:30">
      <c r="A328" s="20"/>
      <c r="B328" s="11"/>
      <c r="C328" s="28"/>
      <c r="D328" s="26"/>
      <c r="E328" s="29"/>
      <c r="G328" s="19"/>
      <c r="H328" s="19"/>
      <c r="I328" s="19"/>
      <c r="J328" s="19"/>
      <c r="K328" s="19"/>
      <c r="L328" s="18"/>
      <c r="M328" s="18"/>
      <c r="N328" s="18"/>
      <c r="O328" s="18"/>
      <c r="P328" s="18"/>
      <c r="R328" s="17"/>
      <c r="S328" s="17"/>
      <c r="T328" s="17"/>
      <c r="U328" s="17"/>
      <c r="V328" s="17"/>
      <c r="W328" s="17"/>
      <c r="X328" s="17"/>
      <c r="Y328" s="17"/>
      <c r="Z328" s="16"/>
      <c r="AA328" s="15"/>
      <c r="AB328" s="30"/>
      <c r="AC328" s="14"/>
      <c r="AD328" s="13"/>
    </row>
    <row r="329" spans="1:30">
      <c r="A329" s="20"/>
      <c r="B329" s="11"/>
      <c r="C329" s="28"/>
      <c r="D329" s="26"/>
      <c r="E329" s="29"/>
      <c r="G329" s="19"/>
      <c r="H329" s="19"/>
      <c r="I329" s="19"/>
      <c r="J329" s="19"/>
      <c r="K329" s="19"/>
      <c r="L329" s="18"/>
      <c r="M329" s="18"/>
      <c r="N329" s="18"/>
      <c r="O329" s="18"/>
      <c r="P329" s="18"/>
      <c r="R329" s="17"/>
      <c r="S329" s="17"/>
      <c r="T329" s="17"/>
      <c r="U329" s="17"/>
      <c r="V329" s="17"/>
      <c r="W329" s="17"/>
      <c r="X329" s="17"/>
      <c r="Y329" s="17"/>
      <c r="Z329" s="16"/>
      <c r="AA329" s="15"/>
      <c r="AB329" s="30"/>
      <c r="AC329" s="14"/>
      <c r="AD329" s="13"/>
    </row>
    <row r="330" spans="1:30">
      <c r="A330" s="20"/>
      <c r="B330" s="11"/>
      <c r="C330" s="28"/>
      <c r="D330" s="26"/>
      <c r="E330" s="29"/>
      <c r="G330" s="19"/>
      <c r="H330" s="19"/>
      <c r="I330" s="19"/>
      <c r="J330" s="19"/>
      <c r="K330" s="19"/>
      <c r="L330" s="18"/>
      <c r="M330" s="18"/>
      <c r="N330" s="18"/>
      <c r="O330" s="18"/>
      <c r="P330" s="18"/>
      <c r="R330" s="17"/>
      <c r="S330" s="17"/>
      <c r="T330" s="17"/>
      <c r="U330" s="17"/>
      <c r="V330" s="17"/>
      <c r="W330" s="17"/>
      <c r="X330" s="17"/>
      <c r="Y330" s="17"/>
      <c r="Z330" s="16"/>
      <c r="AA330" s="31"/>
      <c r="AB330" s="30"/>
      <c r="AC330" s="14"/>
      <c r="AD330" s="13"/>
    </row>
    <row r="331" spans="1:30">
      <c r="A331" s="20"/>
      <c r="B331" s="11"/>
      <c r="C331" s="28"/>
      <c r="D331" s="26"/>
      <c r="E331" s="29"/>
      <c r="G331" s="19"/>
      <c r="H331" s="19"/>
      <c r="I331" s="19"/>
      <c r="J331" s="19"/>
      <c r="K331" s="19"/>
      <c r="L331" s="18"/>
      <c r="M331" s="18"/>
      <c r="N331" s="18"/>
      <c r="O331" s="18"/>
      <c r="P331" s="18"/>
      <c r="R331" s="17"/>
      <c r="S331" s="17"/>
      <c r="T331" s="17"/>
      <c r="U331" s="17"/>
      <c r="V331" s="17"/>
      <c r="W331" s="17"/>
      <c r="X331" s="17"/>
      <c r="Y331" s="17"/>
      <c r="Z331" s="16"/>
      <c r="AA331" s="31"/>
      <c r="AB331" s="30"/>
      <c r="AC331" s="14"/>
      <c r="AD331" s="13"/>
    </row>
    <row r="332" spans="1:30">
      <c r="A332" s="20"/>
      <c r="B332" s="11"/>
      <c r="C332" s="28"/>
      <c r="D332" s="26"/>
      <c r="E332" s="29"/>
      <c r="G332" s="19"/>
      <c r="H332" s="19"/>
      <c r="I332" s="19"/>
      <c r="J332" s="19"/>
      <c r="K332" s="19"/>
      <c r="L332" s="18"/>
      <c r="M332" s="18"/>
      <c r="N332" s="18"/>
      <c r="O332" s="18"/>
      <c r="P332" s="18"/>
      <c r="R332" s="17"/>
      <c r="S332" s="17"/>
      <c r="T332" s="17"/>
      <c r="U332" s="17"/>
      <c r="V332" s="17"/>
      <c r="W332" s="17"/>
      <c r="X332" s="17"/>
      <c r="Y332" s="17"/>
      <c r="Z332" s="16"/>
      <c r="AA332" s="15"/>
      <c r="AB332" s="30"/>
      <c r="AC332" s="14"/>
      <c r="AD332" s="13"/>
    </row>
    <row r="333" spans="1:30">
      <c r="A333" s="20"/>
      <c r="B333" s="11"/>
      <c r="C333" s="28"/>
      <c r="D333" s="26"/>
      <c r="E333" s="29"/>
      <c r="G333" s="19"/>
      <c r="H333" s="19"/>
      <c r="I333" s="19"/>
      <c r="J333" s="19"/>
      <c r="K333" s="19"/>
      <c r="L333" s="18"/>
      <c r="M333" s="18"/>
      <c r="N333" s="18"/>
      <c r="O333" s="18"/>
      <c r="P333" s="18"/>
      <c r="R333" s="17"/>
      <c r="S333" s="17"/>
      <c r="T333" s="17"/>
      <c r="U333" s="17"/>
      <c r="V333" s="17"/>
      <c r="W333" s="17"/>
      <c r="X333" s="17"/>
      <c r="Y333" s="17"/>
      <c r="Z333" s="16"/>
      <c r="AA333" s="15"/>
      <c r="AB333" s="30"/>
      <c r="AC333" s="14"/>
      <c r="AD333" s="13"/>
    </row>
    <row r="334" spans="1:30">
      <c r="A334" s="20"/>
      <c r="B334" s="11"/>
      <c r="C334" s="28"/>
      <c r="D334" s="26"/>
      <c r="E334" s="29"/>
      <c r="G334" s="19"/>
      <c r="H334" s="19"/>
      <c r="I334" s="19"/>
      <c r="J334" s="19"/>
      <c r="K334" s="19"/>
      <c r="L334" s="18"/>
      <c r="M334" s="18"/>
      <c r="N334" s="18"/>
      <c r="O334" s="18"/>
      <c r="P334" s="18"/>
      <c r="R334" s="17"/>
      <c r="S334" s="17"/>
      <c r="T334" s="17"/>
      <c r="U334" s="17"/>
      <c r="V334" s="17"/>
      <c r="W334" s="17"/>
      <c r="X334" s="17"/>
      <c r="Y334" s="17"/>
      <c r="Z334" s="16"/>
      <c r="AA334" s="31"/>
      <c r="AB334" s="30"/>
      <c r="AC334" s="14"/>
      <c r="AD334" s="13"/>
    </row>
    <row r="335" spans="1:30">
      <c r="A335" s="20"/>
      <c r="B335" s="11"/>
      <c r="C335" s="28"/>
      <c r="D335" s="26"/>
      <c r="E335" s="29"/>
      <c r="G335" s="19"/>
      <c r="H335" s="19"/>
      <c r="I335" s="19"/>
      <c r="J335" s="19"/>
      <c r="K335" s="19"/>
      <c r="L335" s="18"/>
      <c r="M335" s="18"/>
      <c r="N335" s="18"/>
      <c r="O335" s="18"/>
      <c r="P335" s="18"/>
      <c r="R335" s="17"/>
      <c r="S335" s="17"/>
      <c r="T335" s="17"/>
      <c r="U335" s="17"/>
      <c r="V335" s="17"/>
      <c r="W335" s="17"/>
      <c r="X335" s="17"/>
      <c r="Y335" s="17"/>
      <c r="Z335" s="16"/>
      <c r="AA335" s="31"/>
      <c r="AB335" s="30"/>
      <c r="AC335" s="14"/>
      <c r="AD335" s="13"/>
    </row>
    <row r="336" spans="1:30">
      <c r="A336" s="20"/>
      <c r="B336" s="11"/>
      <c r="C336" s="28"/>
      <c r="D336" s="26"/>
      <c r="E336" s="29"/>
      <c r="G336" s="19"/>
      <c r="H336" s="19"/>
      <c r="I336" s="19"/>
      <c r="J336" s="19"/>
      <c r="K336" s="19"/>
      <c r="L336" s="18"/>
      <c r="M336" s="18"/>
      <c r="N336" s="18"/>
      <c r="O336" s="18"/>
      <c r="P336" s="18"/>
      <c r="R336" s="17"/>
      <c r="S336" s="17"/>
      <c r="T336" s="17"/>
      <c r="U336" s="17"/>
      <c r="V336" s="17"/>
      <c r="W336" s="17"/>
      <c r="X336" s="17"/>
      <c r="Y336" s="17"/>
      <c r="Z336" s="16"/>
      <c r="AA336" s="15"/>
      <c r="AB336" s="30"/>
      <c r="AC336" s="14"/>
      <c r="AD336" s="13"/>
    </row>
    <row r="337" spans="1:30">
      <c r="A337" s="20"/>
      <c r="B337" s="11"/>
      <c r="C337" s="28"/>
      <c r="D337" s="26"/>
      <c r="E337" s="29"/>
      <c r="G337" s="19"/>
      <c r="H337" s="19"/>
      <c r="I337" s="19"/>
      <c r="J337" s="19"/>
      <c r="K337" s="19"/>
      <c r="L337" s="18"/>
      <c r="M337" s="18"/>
      <c r="N337" s="18"/>
      <c r="O337" s="18"/>
      <c r="P337" s="18"/>
      <c r="R337" s="17"/>
      <c r="S337" s="17"/>
      <c r="T337" s="17"/>
      <c r="U337" s="17"/>
      <c r="V337" s="17"/>
      <c r="W337" s="17"/>
      <c r="X337" s="17"/>
      <c r="Y337" s="17"/>
      <c r="Z337" s="16"/>
      <c r="AA337" s="15"/>
      <c r="AB337" s="30"/>
      <c r="AC337" s="14"/>
      <c r="AD337" s="13"/>
    </row>
    <row r="338" spans="1:30">
      <c r="A338" s="20"/>
      <c r="B338" s="11"/>
      <c r="C338" s="28"/>
      <c r="D338" s="26"/>
      <c r="E338" s="29"/>
      <c r="G338" s="19"/>
      <c r="H338" s="19"/>
      <c r="I338" s="19"/>
      <c r="J338" s="19"/>
      <c r="K338" s="19"/>
      <c r="L338" s="18"/>
      <c r="M338" s="18"/>
      <c r="N338" s="18"/>
      <c r="O338" s="18"/>
      <c r="P338" s="18"/>
      <c r="R338" s="17"/>
      <c r="S338" s="17"/>
      <c r="T338" s="17"/>
      <c r="U338" s="17"/>
      <c r="V338" s="17"/>
      <c r="W338" s="17"/>
      <c r="X338" s="17"/>
      <c r="Y338" s="17"/>
      <c r="Z338" s="16"/>
      <c r="AA338" s="31"/>
      <c r="AB338" s="30"/>
      <c r="AC338" s="14"/>
      <c r="AD338" s="13"/>
    </row>
    <row r="339" spans="1:30">
      <c r="A339" s="20"/>
      <c r="B339" s="11"/>
      <c r="C339" s="28"/>
      <c r="D339" s="26"/>
      <c r="E339" s="29"/>
      <c r="G339" s="19"/>
      <c r="H339" s="19"/>
      <c r="I339" s="19"/>
      <c r="J339" s="19"/>
      <c r="K339" s="19"/>
      <c r="L339" s="18"/>
      <c r="M339" s="18"/>
      <c r="N339" s="18"/>
      <c r="O339" s="18"/>
      <c r="P339" s="18"/>
      <c r="R339" s="17"/>
      <c r="S339" s="17"/>
      <c r="T339" s="17"/>
      <c r="U339" s="17"/>
      <c r="V339" s="17"/>
      <c r="W339" s="17"/>
      <c r="X339" s="17"/>
      <c r="Y339" s="17"/>
      <c r="Z339" s="16"/>
      <c r="AA339" s="31"/>
      <c r="AB339" s="30"/>
      <c r="AC339" s="14"/>
      <c r="AD339" s="13"/>
    </row>
    <row r="340" spans="1:30">
      <c r="A340" s="20"/>
      <c r="B340" s="11"/>
      <c r="C340" s="28"/>
      <c r="D340" s="26"/>
      <c r="E340" s="29"/>
      <c r="G340" s="19"/>
      <c r="H340" s="19"/>
      <c r="I340" s="19"/>
      <c r="J340" s="19"/>
      <c r="K340" s="19"/>
      <c r="L340" s="18"/>
      <c r="M340" s="18"/>
      <c r="N340" s="18"/>
      <c r="O340" s="18"/>
      <c r="P340" s="18"/>
      <c r="R340" s="17"/>
      <c r="S340" s="17"/>
      <c r="T340" s="17"/>
      <c r="U340" s="17"/>
      <c r="V340" s="17"/>
      <c r="W340" s="17"/>
      <c r="X340" s="17"/>
      <c r="Y340" s="17"/>
      <c r="Z340" s="16"/>
      <c r="AA340" s="15"/>
      <c r="AB340" s="30"/>
      <c r="AC340" s="14"/>
      <c r="AD340" s="13"/>
    </row>
    <row r="341" spans="1:30">
      <c r="A341" s="20"/>
      <c r="B341" s="11"/>
      <c r="C341" s="28"/>
      <c r="D341" s="26"/>
      <c r="E341" s="29"/>
      <c r="G341" s="19"/>
      <c r="H341" s="19"/>
      <c r="I341" s="19"/>
      <c r="J341" s="19"/>
      <c r="K341" s="19"/>
      <c r="L341" s="18"/>
      <c r="M341" s="18"/>
      <c r="N341" s="18"/>
      <c r="O341" s="18"/>
      <c r="P341" s="18"/>
      <c r="R341" s="17"/>
      <c r="S341" s="17"/>
      <c r="T341" s="17"/>
      <c r="U341" s="17"/>
      <c r="V341" s="17"/>
      <c r="W341" s="17"/>
      <c r="X341" s="17"/>
      <c r="Y341" s="17"/>
      <c r="Z341" s="16"/>
      <c r="AA341" s="15"/>
      <c r="AB341" s="30"/>
      <c r="AC341" s="14"/>
      <c r="AD341" s="13"/>
    </row>
    <row r="342" spans="1:30">
      <c r="A342" s="20"/>
      <c r="B342" s="11"/>
      <c r="C342" s="28"/>
      <c r="D342" s="26"/>
      <c r="E342" s="29"/>
      <c r="G342" s="19"/>
      <c r="H342" s="19"/>
      <c r="I342" s="19"/>
      <c r="J342" s="19"/>
      <c r="K342" s="19"/>
      <c r="L342" s="18"/>
      <c r="M342" s="18"/>
      <c r="N342" s="18"/>
      <c r="O342" s="18"/>
      <c r="P342" s="18"/>
      <c r="R342" s="17"/>
      <c r="S342" s="17"/>
      <c r="T342" s="17"/>
      <c r="U342" s="17"/>
      <c r="V342" s="17"/>
      <c r="W342" s="17"/>
      <c r="X342" s="17"/>
      <c r="Y342" s="17"/>
      <c r="Z342" s="16"/>
      <c r="AA342" s="31"/>
      <c r="AB342" s="30"/>
      <c r="AC342" s="14"/>
      <c r="AD342" s="13"/>
    </row>
    <row r="343" spans="1:30">
      <c r="A343" s="20"/>
      <c r="B343" s="11"/>
      <c r="C343" s="28"/>
      <c r="D343" s="26"/>
      <c r="E343" s="29"/>
      <c r="G343" s="19"/>
      <c r="H343" s="19"/>
      <c r="I343" s="19"/>
      <c r="J343" s="19"/>
      <c r="K343" s="19"/>
      <c r="L343" s="18"/>
      <c r="M343" s="18"/>
      <c r="N343" s="18"/>
      <c r="O343" s="18"/>
      <c r="P343" s="18"/>
      <c r="R343" s="17"/>
      <c r="S343" s="17"/>
      <c r="T343" s="17"/>
      <c r="U343" s="17"/>
      <c r="V343" s="17"/>
      <c r="W343" s="17"/>
      <c r="X343" s="17"/>
      <c r="Y343" s="17"/>
      <c r="Z343" s="16"/>
      <c r="AA343" s="31"/>
      <c r="AB343" s="30"/>
      <c r="AC343" s="14"/>
      <c r="AD343" s="13"/>
    </row>
    <row r="344" spans="1:30">
      <c r="A344" s="20"/>
      <c r="B344" s="11"/>
      <c r="C344" s="28"/>
      <c r="D344" s="26"/>
      <c r="E344" s="29"/>
      <c r="G344" s="19"/>
      <c r="H344" s="19"/>
      <c r="I344" s="19"/>
      <c r="J344" s="19"/>
      <c r="K344" s="19"/>
      <c r="L344" s="18"/>
      <c r="M344" s="18"/>
      <c r="N344" s="18"/>
      <c r="O344" s="18"/>
      <c r="P344" s="18"/>
      <c r="R344" s="17"/>
      <c r="S344" s="17"/>
      <c r="T344" s="17"/>
      <c r="U344" s="17"/>
      <c r="V344" s="17"/>
      <c r="W344" s="17"/>
      <c r="X344" s="17"/>
      <c r="Y344" s="17"/>
      <c r="Z344" s="16"/>
      <c r="AA344" s="31"/>
      <c r="AB344" s="30"/>
      <c r="AC344" s="14"/>
      <c r="AD344" s="13"/>
    </row>
    <row r="345" spans="1:30">
      <c r="A345" s="20"/>
      <c r="B345" s="11"/>
      <c r="C345" s="28"/>
      <c r="D345" s="26"/>
      <c r="E345" s="29"/>
      <c r="G345" s="19"/>
      <c r="H345" s="19"/>
      <c r="I345" s="19"/>
      <c r="J345" s="19"/>
      <c r="K345" s="19"/>
      <c r="L345" s="18"/>
      <c r="M345" s="18"/>
      <c r="N345" s="18"/>
      <c r="O345" s="18"/>
      <c r="P345" s="18"/>
      <c r="R345" s="17"/>
      <c r="S345" s="17"/>
      <c r="T345" s="17"/>
      <c r="U345" s="17"/>
      <c r="V345" s="17"/>
      <c r="W345" s="17"/>
      <c r="X345" s="17"/>
      <c r="Y345" s="17"/>
      <c r="Z345" s="16"/>
      <c r="AA345" s="15"/>
      <c r="AB345" s="30"/>
      <c r="AC345" s="14"/>
      <c r="AD345" s="13"/>
    </row>
    <row r="346" spans="1:30">
      <c r="A346" s="20"/>
      <c r="B346" s="11"/>
      <c r="C346" s="28"/>
      <c r="D346" s="26"/>
      <c r="E346" s="29"/>
      <c r="G346" s="19"/>
      <c r="H346" s="19"/>
      <c r="I346" s="19"/>
      <c r="J346" s="19"/>
      <c r="K346" s="19"/>
      <c r="L346" s="18"/>
      <c r="M346" s="18"/>
      <c r="N346" s="18"/>
      <c r="O346" s="18"/>
      <c r="P346" s="18"/>
      <c r="R346" s="17"/>
      <c r="S346" s="17"/>
      <c r="T346" s="17"/>
      <c r="U346" s="17"/>
      <c r="V346" s="17"/>
      <c r="W346" s="17"/>
      <c r="X346" s="17"/>
      <c r="Y346" s="17"/>
      <c r="Z346" s="16"/>
      <c r="AA346" s="31"/>
      <c r="AB346" s="30"/>
      <c r="AC346" s="32"/>
      <c r="AD346" s="13"/>
    </row>
    <row r="347" spans="1:30">
      <c r="A347" s="20"/>
      <c r="B347" s="11"/>
      <c r="C347" s="28"/>
      <c r="D347" s="26"/>
      <c r="E347" s="29"/>
      <c r="G347" s="19"/>
      <c r="H347" s="19"/>
      <c r="I347" s="19"/>
      <c r="J347" s="19"/>
      <c r="K347" s="19"/>
      <c r="L347" s="18"/>
      <c r="M347" s="18"/>
      <c r="N347" s="18"/>
      <c r="O347" s="18"/>
      <c r="P347" s="18"/>
      <c r="R347" s="17"/>
      <c r="S347" s="17"/>
      <c r="T347" s="17"/>
      <c r="U347" s="17"/>
      <c r="V347" s="17"/>
      <c r="W347" s="17"/>
      <c r="X347" s="17"/>
      <c r="Y347" s="17"/>
      <c r="Z347" s="16"/>
      <c r="AA347" s="15"/>
      <c r="AB347" s="30"/>
      <c r="AC347" s="14"/>
      <c r="AD347" s="13"/>
    </row>
    <row r="348" spans="1:30">
      <c r="A348" s="20"/>
      <c r="B348" s="11"/>
      <c r="C348" s="28"/>
      <c r="D348" s="26"/>
      <c r="E348" s="29"/>
      <c r="G348" s="19"/>
      <c r="H348" s="19"/>
      <c r="I348" s="19"/>
      <c r="J348" s="19"/>
      <c r="K348" s="19"/>
      <c r="L348" s="18"/>
      <c r="M348" s="18"/>
      <c r="N348" s="18"/>
      <c r="O348" s="18"/>
      <c r="P348" s="18"/>
      <c r="R348" s="17"/>
      <c r="S348" s="17"/>
      <c r="T348" s="17"/>
      <c r="U348" s="17"/>
      <c r="V348" s="17"/>
      <c r="W348" s="17"/>
      <c r="X348" s="17"/>
      <c r="Y348" s="17"/>
      <c r="Z348" s="16"/>
      <c r="AA348" s="31"/>
      <c r="AB348" s="30"/>
      <c r="AC348" s="14"/>
      <c r="AD348" s="13"/>
    </row>
    <row r="349" spans="1:30">
      <c r="A349" s="20"/>
      <c r="B349" s="11"/>
      <c r="C349" s="28"/>
      <c r="D349" s="26"/>
      <c r="E349" s="29"/>
      <c r="G349" s="19"/>
      <c r="H349" s="19"/>
      <c r="I349" s="19"/>
      <c r="J349" s="19"/>
      <c r="K349" s="19"/>
      <c r="L349" s="18"/>
      <c r="M349" s="18"/>
      <c r="N349" s="18"/>
      <c r="O349" s="18"/>
      <c r="P349" s="18"/>
      <c r="R349" s="17"/>
      <c r="S349" s="17"/>
      <c r="T349" s="17"/>
      <c r="U349" s="17"/>
      <c r="V349" s="17"/>
      <c r="W349" s="17"/>
      <c r="X349" s="17"/>
      <c r="Y349" s="17"/>
      <c r="Z349" s="16"/>
      <c r="AA349" s="15"/>
      <c r="AB349" s="30"/>
      <c r="AC349" s="14"/>
      <c r="AD349" s="13"/>
    </row>
    <row r="350" spans="1:30">
      <c r="A350" s="20"/>
      <c r="B350" s="11"/>
      <c r="C350" s="28"/>
      <c r="D350" s="26"/>
      <c r="E350" s="29"/>
      <c r="G350" s="19"/>
      <c r="H350" s="19"/>
      <c r="I350" s="19"/>
      <c r="J350" s="19"/>
      <c r="K350" s="19"/>
      <c r="L350" s="18"/>
      <c r="M350" s="18"/>
      <c r="N350" s="18"/>
      <c r="O350" s="18"/>
      <c r="P350" s="18"/>
      <c r="R350" s="17"/>
      <c r="S350" s="17"/>
      <c r="T350" s="17"/>
      <c r="U350" s="17"/>
      <c r="V350" s="17"/>
      <c r="W350" s="17"/>
      <c r="X350" s="17"/>
      <c r="Y350" s="17"/>
      <c r="Z350" s="16"/>
      <c r="AA350" s="31"/>
      <c r="AB350" s="30"/>
      <c r="AC350" s="14"/>
      <c r="AD350" s="13"/>
    </row>
    <row r="351" spans="1:30">
      <c r="A351" s="20"/>
      <c r="B351" s="11"/>
      <c r="C351" s="28"/>
      <c r="D351" s="26"/>
      <c r="E351" s="29"/>
      <c r="G351" s="19"/>
      <c r="H351" s="19"/>
      <c r="I351" s="19"/>
      <c r="J351" s="19"/>
      <c r="K351" s="19"/>
      <c r="L351" s="18"/>
      <c r="M351" s="18"/>
      <c r="N351" s="18"/>
      <c r="O351" s="18"/>
      <c r="P351" s="18"/>
      <c r="R351" s="17"/>
      <c r="S351" s="17"/>
      <c r="T351" s="17"/>
      <c r="U351" s="17"/>
      <c r="V351" s="17"/>
      <c r="W351" s="17"/>
      <c r="X351" s="17"/>
      <c r="Y351" s="17"/>
      <c r="Z351" s="16"/>
      <c r="AA351" s="15"/>
      <c r="AB351" s="26"/>
      <c r="AC351" s="14"/>
      <c r="AD351" s="13"/>
    </row>
    <row r="352" spans="1:30">
      <c r="A352" s="20"/>
      <c r="B352" s="11"/>
      <c r="C352" s="28"/>
      <c r="D352" s="26"/>
      <c r="E352" s="27"/>
      <c r="G352" s="25"/>
      <c r="H352" s="25"/>
      <c r="I352" s="25"/>
      <c r="J352" s="25"/>
      <c r="K352" s="25"/>
      <c r="L352" s="24"/>
      <c r="M352" s="24"/>
      <c r="N352" s="24"/>
      <c r="O352" s="24"/>
      <c r="P352" s="24"/>
      <c r="R352" s="23"/>
      <c r="S352" s="23"/>
      <c r="T352" s="23"/>
      <c r="U352" s="23"/>
      <c r="V352" s="23"/>
      <c r="W352" s="23"/>
      <c r="X352" s="23"/>
      <c r="Y352" s="23"/>
      <c r="Z352" s="22"/>
      <c r="AA352" s="21"/>
      <c r="AB352" s="26"/>
      <c r="AC352" s="14"/>
      <c r="AD352" s="13"/>
    </row>
    <row r="353" spans="1:30">
      <c r="A353" s="20"/>
      <c r="B353" s="11"/>
      <c r="C353" s="10"/>
      <c r="D353" s="10"/>
      <c r="E353" s="10"/>
      <c r="G353" s="25"/>
      <c r="H353" s="25"/>
      <c r="I353" s="25"/>
      <c r="J353" s="25"/>
      <c r="K353" s="25"/>
      <c r="L353" s="24"/>
      <c r="M353" s="24"/>
      <c r="N353" s="24"/>
      <c r="O353" s="24"/>
      <c r="P353" s="24"/>
      <c r="R353" s="23"/>
      <c r="S353" s="23"/>
      <c r="T353" s="23"/>
      <c r="U353" s="23"/>
      <c r="V353" s="23"/>
      <c r="W353" s="23"/>
      <c r="X353" s="23"/>
      <c r="Y353" s="23"/>
      <c r="Z353" s="22"/>
      <c r="AA353" s="21"/>
      <c r="AB353" s="4"/>
      <c r="AC353" s="14"/>
      <c r="AD353" s="13"/>
    </row>
    <row r="354" spans="1:30">
      <c r="A354" s="20"/>
      <c r="B354" s="11"/>
      <c r="C354" s="10"/>
      <c r="D354" s="10"/>
      <c r="E354" s="10"/>
      <c r="G354" s="19"/>
      <c r="H354" s="19"/>
      <c r="I354" s="19"/>
      <c r="J354" s="19"/>
      <c r="K354" s="19"/>
      <c r="L354" s="18"/>
      <c r="M354" s="18"/>
      <c r="N354" s="18"/>
      <c r="O354" s="18"/>
      <c r="P354" s="18"/>
      <c r="R354" s="17"/>
      <c r="S354" s="17"/>
      <c r="T354" s="17"/>
      <c r="U354" s="17"/>
      <c r="V354" s="17"/>
      <c r="W354" s="17"/>
      <c r="X354" s="17"/>
      <c r="Y354" s="17"/>
      <c r="Z354" s="16"/>
      <c r="AA354" s="15"/>
      <c r="AB354" s="4"/>
      <c r="AC354" s="14"/>
      <c r="AD354" s="13"/>
    </row>
    <row r="355" spans="1:30">
      <c r="A355" s="20"/>
      <c r="B355" s="11"/>
      <c r="C355" s="10"/>
      <c r="D355" s="10"/>
      <c r="E355" s="10"/>
      <c r="G355" s="19"/>
      <c r="H355" s="19"/>
      <c r="I355" s="19"/>
      <c r="J355" s="19"/>
      <c r="K355" s="19"/>
      <c r="L355" s="18"/>
      <c r="M355" s="18"/>
      <c r="N355" s="18"/>
      <c r="O355" s="18"/>
      <c r="P355" s="18"/>
      <c r="R355" s="17"/>
      <c r="S355" s="17"/>
      <c r="T355" s="17"/>
      <c r="U355" s="17"/>
      <c r="V355" s="17"/>
      <c r="W355" s="17"/>
      <c r="X355" s="17"/>
      <c r="Y355" s="17"/>
      <c r="Z355" s="16"/>
      <c r="AA355" s="15"/>
      <c r="AB355" s="4"/>
      <c r="AC355" s="14"/>
      <c r="AD355" s="13"/>
    </row>
    <row r="356" spans="1:30">
      <c r="A356" s="20"/>
      <c r="B356" s="11"/>
      <c r="C356" s="10"/>
      <c r="D356" s="10"/>
      <c r="E356" s="10"/>
      <c r="G356" s="25"/>
      <c r="H356" s="25"/>
      <c r="I356" s="25"/>
      <c r="J356" s="25"/>
      <c r="K356" s="25"/>
      <c r="L356" s="24"/>
      <c r="M356" s="24"/>
      <c r="N356" s="24"/>
      <c r="O356" s="24"/>
      <c r="P356" s="24"/>
      <c r="R356" s="23"/>
      <c r="S356" s="23"/>
      <c r="T356" s="23"/>
      <c r="U356" s="23"/>
      <c r="V356" s="23"/>
      <c r="W356" s="23"/>
      <c r="X356" s="23"/>
      <c r="Y356" s="23"/>
      <c r="Z356" s="22"/>
      <c r="AA356" s="21"/>
      <c r="AB356" s="4"/>
      <c r="AC356" s="14"/>
      <c r="AD356" s="13"/>
    </row>
    <row r="357" spans="1:30">
      <c r="A357" s="20"/>
      <c r="B357" s="11"/>
      <c r="C357" s="10"/>
      <c r="D357" s="10"/>
      <c r="E357" s="10"/>
      <c r="G357" s="19"/>
      <c r="H357" s="19"/>
      <c r="I357" s="19"/>
      <c r="J357" s="19"/>
      <c r="K357" s="19"/>
      <c r="L357" s="18"/>
      <c r="M357" s="18"/>
      <c r="N357" s="18"/>
      <c r="O357" s="18"/>
      <c r="P357" s="18"/>
      <c r="R357" s="17"/>
      <c r="S357" s="17"/>
      <c r="T357" s="17"/>
      <c r="U357" s="17"/>
      <c r="V357" s="17"/>
      <c r="W357" s="17"/>
      <c r="X357" s="17"/>
      <c r="Y357" s="17"/>
      <c r="Z357" s="16"/>
      <c r="AA357" s="15"/>
      <c r="AB357" s="4"/>
      <c r="AC357" s="14"/>
      <c r="AD357" s="13"/>
    </row>
    <row r="358" spans="1:30">
      <c r="A358" s="20"/>
      <c r="B358" s="11"/>
      <c r="C358" s="10"/>
      <c r="D358" s="10"/>
      <c r="E358" s="10"/>
      <c r="G358" s="19"/>
      <c r="H358" s="19"/>
      <c r="I358" s="19"/>
      <c r="J358" s="19"/>
      <c r="K358" s="19"/>
      <c r="L358" s="18"/>
      <c r="M358" s="18"/>
      <c r="N358" s="18"/>
      <c r="O358" s="18"/>
      <c r="P358" s="18"/>
      <c r="R358" s="17"/>
      <c r="S358" s="17"/>
      <c r="T358" s="17"/>
      <c r="U358" s="17"/>
      <c r="V358" s="17"/>
      <c r="W358" s="17"/>
      <c r="X358" s="17"/>
      <c r="Y358" s="17"/>
      <c r="Z358" s="16"/>
      <c r="AA358" s="15"/>
      <c r="AB358" s="4"/>
      <c r="AC358" s="14"/>
      <c r="AD358" s="13"/>
    </row>
    <row r="359" spans="1:30">
      <c r="A359" s="20"/>
      <c r="B359" s="11"/>
      <c r="C359" s="10"/>
      <c r="D359" s="10"/>
      <c r="E359" s="10"/>
      <c r="G359" s="19"/>
      <c r="H359" s="19"/>
      <c r="I359" s="19"/>
      <c r="J359" s="19"/>
      <c r="K359" s="19"/>
      <c r="L359" s="18"/>
      <c r="M359" s="18"/>
      <c r="N359" s="18"/>
      <c r="O359" s="18"/>
      <c r="P359" s="18"/>
      <c r="R359" s="17"/>
      <c r="S359" s="17"/>
      <c r="T359" s="17"/>
      <c r="U359" s="17"/>
      <c r="V359" s="17"/>
      <c r="W359" s="17"/>
      <c r="X359" s="17"/>
      <c r="Y359" s="17"/>
      <c r="Z359" s="16"/>
      <c r="AA359" s="15"/>
      <c r="AB359" s="4"/>
      <c r="AC359" s="14"/>
      <c r="AD359" s="13"/>
    </row>
    <row r="360" spans="1:30">
      <c r="A360" s="20"/>
      <c r="B360" s="11"/>
      <c r="C360" s="10"/>
      <c r="D360" s="10"/>
      <c r="E360" s="10"/>
      <c r="G360" s="19"/>
      <c r="H360" s="19"/>
      <c r="I360" s="19"/>
      <c r="J360" s="19"/>
      <c r="K360" s="19"/>
      <c r="L360" s="18"/>
      <c r="M360" s="18"/>
      <c r="N360" s="18"/>
      <c r="O360" s="18"/>
      <c r="P360" s="18"/>
      <c r="R360" s="17"/>
      <c r="S360" s="17"/>
      <c r="T360" s="17"/>
      <c r="U360" s="17"/>
      <c r="V360" s="17"/>
      <c r="W360" s="17"/>
      <c r="X360" s="17"/>
      <c r="Y360" s="17"/>
      <c r="Z360" s="16"/>
      <c r="AA360" s="15"/>
      <c r="AB360" s="4"/>
      <c r="AC360" s="14"/>
      <c r="AD360" s="13"/>
    </row>
    <row r="361" spans="1:30">
      <c r="A361" s="20"/>
      <c r="B361" s="11"/>
      <c r="C361" s="10"/>
      <c r="D361" s="10"/>
      <c r="E361" s="10"/>
      <c r="G361" s="19"/>
      <c r="H361" s="19"/>
      <c r="I361" s="19"/>
      <c r="J361" s="19"/>
      <c r="K361" s="19"/>
      <c r="L361" s="18"/>
      <c r="M361" s="18"/>
      <c r="N361" s="18"/>
      <c r="O361" s="18"/>
      <c r="P361" s="18"/>
      <c r="R361" s="17"/>
      <c r="S361" s="17"/>
      <c r="T361" s="17"/>
      <c r="U361" s="17"/>
      <c r="V361" s="17"/>
      <c r="W361" s="17"/>
      <c r="X361" s="17"/>
      <c r="Y361" s="17"/>
      <c r="Z361" s="16"/>
      <c r="AA361" s="15"/>
      <c r="AB361" s="4"/>
      <c r="AC361" s="14"/>
      <c r="AD361" s="13"/>
    </row>
    <row r="362" spans="1:30">
      <c r="A362" s="20"/>
      <c r="B362" s="11"/>
      <c r="C362" s="10"/>
      <c r="D362" s="10"/>
      <c r="E362" s="10"/>
      <c r="G362" s="19"/>
      <c r="H362" s="19"/>
      <c r="I362" s="19"/>
      <c r="J362" s="19"/>
      <c r="K362" s="19"/>
      <c r="L362" s="18"/>
      <c r="M362" s="18"/>
      <c r="N362" s="18"/>
      <c r="O362" s="18"/>
      <c r="P362" s="18"/>
      <c r="R362" s="17"/>
      <c r="S362" s="17"/>
      <c r="T362" s="17"/>
      <c r="U362" s="17"/>
      <c r="V362" s="17"/>
      <c r="W362" s="17"/>
      <c r="X362" s="17"/>
      <c r="Y362" s="17"/>
      <c r="Z362" s="16"/>
      <c r="AA362" s="15"/>
      <c r="AB362" s="4"/>
      <c r="AC362" s="14"/>
      <c r="AD362" s="13"/>
    </row>
    <row r="363" spans="1:30">
      <c r="A363" s="20"/>
      <c r="B363" s="11"/>
      <c r="C363" s="10"/>
      <c r="D363" s="10"/>
      <c r="E363" s="10"/>
      <c r="G363" s="19"/>
      <c r="H363" s="19"/>
      <c r="I363" s="19"/>
      <c r="J363" s="19"/>
      <c r="K363" s="19"/>
      <c r="L363" s="18"/>
      <c r="M363" s="18"/>
      <c r="N363" s="18"/>
      <c r="O363" s="18"/>
      <c r="P363" s="18"/>
      <c r="R363" s="17"/>
      <c r="S363" s="17"/>
      <c r="T363" s="17"/>
      <c r="U363" s="17"/>
      <c r="V363" s="17"/>
      <c r="W363" s="17"/>
      <c r="X363" s="17"/>
      <c r="Y363" s="17"/>
      <c r="Z363" s="16"/>
      <c r="AA363" s="15"/>
      <c r="AB363" s="4"/>
      <c r="AC363" s="14"/>
      <c r="AD363" s="13"/>
    </row>
    <row r="364" spans="1:30">
      <c r="A364" s="20"/>
      <c r="B364" s="11"/>
      <c r="C364" s="10"/>
      <c r="D364" s="10"/>
      <c r="E364" s="10"/>
      <c r="G364" s="19"/>
      <c r="H364" s="19"/>
      <c r="I364" s="19"/>
      <c r="J364" s="19"/>
      <c r="K364" s="19"/>
      <c r="L364" s="18"/>
      <c r="M364" s="18"/>
      <c r="N364" s="18"/>
      <c r="O364" s="18"/>
      <c r="P364" s="18"/>
      <c r="R364" s="17"/>
      <c r="S364" s="17"/>
      <c r="T364" s="17"/>
      <c r="U364" s="17"/>
      <c r="V364" s="17"/>
      <c r="W364" s="17"/>
      <c r="X364" s="17"/>
      <c r="Y364" s="17"/>
      <c r="Z364" s="16"/>
      <c r="AA364" s="15"/>
      <c r="AB364" s="4"/>
      <c r="AC364" s="14"/>
      <c r="AD364" s="13"/>
    </row>
    <row r="365" spans="1:30">
      <c r="A365" s="20"/>
      <c r="B365" s="11"/>
      <c r="C365" s="10"/>
      <c r="D365" s="10"/>
      <c r="E365" s="10"/>
      <c r="G365" s="19"/>
      <c r="H365" s="19"/>
      <c r="I365" s="19"/>
      <c r="J365" s="19"/>
      <c r="K365" s="19"/>
      <c r="L365" s="18"/>
      <c r="M365" s="18"/>
      <c r="N365" s="18"/>
      <c r="O365" s="18"/>
      <c r="P365" s="18"/>
      <c r="R365" s="17"/>
      <c r="S365" s="17"/>
      <c r="T365" s="17"/>
      <c r="U365" s="17"/>
      <c r="V365" s="17"/>
      <c r="W365" s="17"/>
      <c r="X365" s="17"/>
      <c r="Y365" s="17"/>
      <c r="Z365" s="16"/>
      <c r="AA365" s="15"/>
      <c r="AB365" s="4"/>
      <c r="AC365" s="14"/>
      <c r="AD365" s="13"/>
    </row>
    <row r="366" spans="1:30">
      <c r="A366" s="20"/>
      <c r="B366" s="11"/>
      <c r="C366" s="10"/>
      <c r="D366" s="10"/>
      <c r="E366" s="10"/>
      <c r="G366" s="19"/>
      <c r="H366" s="19"/>
      <c r="I366" s="19"/>
      <c r="J366" s="19"/>
      <c r="K366" s="19"/>
      <c r="L366" s="18"/>
      <c r="M366" s="18"/>
      <c r="N366" s="18"/>
      <c r="O366" s="18"/>
      <c r="P366" s="18"/>
      <c r="R366" s="17"/>
      <c r="S366" s="17"/>
      <c r="T366" s="17"/>
      <c r="U366" s="17"/>
      <c r="V366" s="17"/>
      <c r="W366" s="17"/>
      <c r="X366" s="17"/>
      <c r="Y366" s="17"/>
      <c r="Z366" s="16"/>
      <c r="AA366" s="15"/>
      <c r="AB366" s="4"/>
      <c r="AC366" s="14"/>
      <c r="AD366" s="13"/>
    </row>
    <row r="367" spans="1:30">
      <c r="A367" s="20"/>
      <c r="B367" s="11"/>
      <c r="C367" s="10"/>
      <c r="D367" s="10"/>
      <c r="E367" s="10"/>
      <c r="G367" s="19"/>
      <c r="H367" s="19"/>
      <c r="I367" s="19"/>
      <c r="J367" s="19"/>
      <c r="K367" s="19"/>
      <c r="L367" s="18"/>
      <c r="M367" s="18"/>
      <c r="N367" s="18"/>
      <c r="O367" s="18"/>
      <c r="P367" s="18"/>
      <c r="R367" s="17"/>
      <c r="S367" s="17"/>
      <c r="T367" s="17"/>
      <c r="U367" s="17"/>
      <c r="V367" s="17"/>
      <c r="W367" s="17"/>
      <c r="X367" s="17"/>
      <c r="Y367" s="17"/>
      <c r="Z367" s="16"/>
      <c r="AA367" s="15"/>
      <c r="AB367" s="4"/>
      <c r="AC367" s="14"/>
      <c r="AD367" s="13"/>
    </row>
    <row r="368" spans="1:30">
      <c r="A368" s="20"/>
      <c r="B368" s="11"/>
      <c r="C368" s="10"/>
      <c r="D368" s="10"/>
      <c r="E368" s="10"/>
      <c r="G368" s="19"/>
      <c r="H368" s="19"/>
      <c r="I368" s="19"/>
      <c r="J368" s="19"/>
      <c r="K368" s="19"/>
      <c r="L368" s="18"/>
      <c r="M368" s="18"/>
      <c r="N368" s="18"/>
      <c r="O368" s="18"/>
      <c r="P368" s="18"/>
      <c r="R368" s="17"/>
      <c r="S368" s="17"/>
      <c r="T368" s="17"/>
      <c r="U368" s="17"/>
      <c r="V368" s="17"/>
      <c r="W368" s="17"/>
      <c r="X368" s="17"/>
      <c r="Y368" s="17"/>
      <c r="Z368" s="16"/>
      <c r="AA368" s="15"/>
      <c r="AB368" s="4"/>
      <c r="AC368" s="14"/>
      <c r="AD368" s="13"/>
    </row>
    <row r="369" spans="1:30">
      <c r="A369" s="20"/>
      <c r="B369" s="11"/>
      <c r="C369" s="10"/>
      <c r="D369" s="10"/>
      <c r="E369" s="10"/>
      <c r="G369" s="19"/>
      <c r="H369" s="19"/>
      <c r="I369" s="19"/>
      <c r="J369" s="19"/>
      <c r="K369" s="19"/>
      <c r="L369" s="18"/>
      <c r="M369" s="18"/>
      <c r="N369" s="18"/>
      <c r="O369" s="18"/>
      <c r="P369" s="18"/>
      <c r="R369" s="17"/>
      <c r="S369" s="17"/>
      <c r="T369" s="17"/>
      <c r="U369" s="17"/>
      <c r="V369" s="17"/>
      <c r="W369" s="17"/>
      <c r="X369" s="17"/>
      <c r="Y369" s="17"/>
      <c r="Z369" s="16"/>
      <c r="AA369" s="15"/>
      <c r="AB369" s="4"/>
      <c r="AC369" s="14"/>
      <c r="AD369" s="13"/>
    </row>
    <row r="370" spans="1:30">
      <c r="A370" s="20"/>
      <c r="B370" s="11"/>
      <c r="C370" s="10"/>
      <c r="D370" s="10"/>
      <c r="E370" s="10"/>
      <c r="G370" s="19"/>
      <c r="H370" s="19"/>
      <c r="I370" s="19"/>
      <c r="J370" s="19"/>
      <c r="K370" s="19"/>
      <c r="L370" s="18"/>
      <c r="M370" s="18"/>
      <c r="N370" s="18"/>
      <c r="O370" s="18"/>
      <c r="P370" s="18"/>
      <c r="R370" s="17"/>
      <c r="S370" s="17"/>
      <c r="T370" s="17"/>
      <c r="U370" s="17"/>
      <c r="V370" s="17"/>
      <c r="W370" s="17"/>
      <c r="X370" s="17"/>
      <c r="Y370" s="17"/>
      <c r="Z370" s="16"/>
      <c r="AA370" s="15"/>
      <c r="AB370" s="4"/>
      <c r="AC370" s="14"/>
      <c r="AD370" s="13"/>
    </row>
    <row r="371" spans="1:30">
      <c r="A371" s="20"/>
      <c r="B371" s="11"/>
      <c r="C371" s="10"/>
      <c r="D371" s="10"/>
      <c r="E371" s="10"/>
      <c r="G371" s="19"/>
      <c r="H371" s="19"/>
      <c r="I371" s="19"/>
      <c r="J371" s="19"/>
      <c r="K371" s="19"/>
      <c r="L371" s="18"/>
      <c r="M371" s="18"/>
      <c r="N371" s="18"/>
      <c r="O371" s="18"/>
      <c r="P371" s="18"/>
      <c r="R371" s="17"/>
      <c r="S371" s="17"/>
      <c r="T371" s="17"/>
      <c r="U371" s="17"/>
      <c r="V371" s="17"/>
      <c r="W371" s="17"/>
      <c r="X371" s="17"/>
      <c r="Y371" s="17"/>
      <c r="Z371" s="16"/>
      <c r="AA371" s="15"/>
      <c r="AB371" s="4"/>
      <c r="AC371" s="14"/>
      <c r="AD371" s="13"/>
    </row>
    <row r="372" spans="1:30">
      <c r="A372" s="20"/>
      <c r="B372" s="11"/>
      <c r="C372" s="10"/>
      <c r="D372" s="10"/>
      <c r="E372" s="10"/>
      <c r="G372" s="19"/>
      <c r="H372" s="19"/>
      <c r="I372" s="19"/>
      <c r="J372" s="19"/>
      <c r="K372" s="19"/>
      <c r="L372" s="18"/>
      <c r="M372" s="18"/>
      <c r="N372" s="18"/>
      <c r="O372" s="18"/>
      <c r="P372" s="18"/>
      <c r="R372" s="17"/>
      <c r="S372" s="17"/>
      <c r="T372" s="17"/>
      <c r="U372" s="17"/>
      <c r="V372" s="17"/>
      <c r="W372" s="17"/>
      <c r="X372" s="17"/>
      <c r="Y372" s="17"/>
      <c r="Z372" s="16"/>
      <c r="AA372" s="15"/>
      <c r="AB372" s="4"/>
      <c r="AC372" s="14"/>
      <c r="AD372" s="13"/>
    </row>
    <row r="373" spans="1:30">
      <c r="A373" s="20"/>
      <c r="B373" s="11"/>
      <c r="C373" s="10"/>
      <c r="D373" s="10"/>
      <c r="E373" s="10"/>
      <c r="G373" s="19"/>
      <c r="H373" s="19"/>
      <c r="I373" s="19"/>
      <c r="J373" s="19"/>
      <c r="K373" s="19"/>
      <c r="L373" s="18"/>
      <c r="M373" s="18"/>
      <c r="N373" s="18"/>
      <c r="O373" s="18"/>
      <c r="P373" s="18"/>
      <c r="R373" s="17"/>
      <c r="S373" s="17"/>
      <c r="T373" s="17"/>
      <c r="U373" s="17"/>
      <c r="V373" s="17"/>
      <c r="W373" s="17"/>
      <c r="X373" s="17"/>
      <c r="Y373" s="17"/>
      <c r="Z373" s="16"/>
      <c r="AA373" s="15"/>
      <c r="AB373" s="4"/>
      <c r="AC373" s="14"/>
      <c r="AD373" s="13"/>
    </row>
    <row r="374" spans="1:30">
      <c r="A374" s="20"/>
      <c r="B374" s="11"/>
      <c r="C374" s="10"/>
      <c r="D374" s="10"/>
      <c r="E374" s="10"/>
      <c r="G374" s="19"/>
      <c r="H374" s="19"/>
      <c r="I374" s="19"/>
      <c r="J374" s="19"/>
      <c r="K374" s="19"/>
      <c r="L374" s="18"/>
      <c r="M374" s="18"/>
      <c r="N374" s="18"/>
      <c r="O374" s="18"/>
      <c r="P374" s="18"/>
      <c r="R374" s="17"/>
      <c r="S374" s="17"/>
      <c r="T374" s="17"/>
      <c r="U374" s="17"/>
      <c r="V374" s="17"/>
      <c r="W374" s="17"/>
      <c r="X374" s="17"/>
      <c r="Y374" s="17"/>
      <c r="Z374" s="16"/>
      <c r="AA374" s="15"/>
      <c r="AB374" s="4"/>
      <c r="AC374" s="14"/>
      <c r="AD374" s="13"/>
    </row>
    <row r="375" spans="1:30">
      <c r="A375" s="20"/>
      <c r="B375" s="11"/>
      <c r="C375" s="10"/>
      <c r="D375" s="10"/>
      <c r="E375" s="10"/>
      <c r="G375" s="19"/>
      <c r="H375" s="19"/>
      <c r="I375" s="19"/>
      <c r="J375" s="19"/>
      <c r="K375" s="19"/>
      <c r="L375" s="18"/>
      <c r="M375" s="18"/>
      <c r="N375" s="18"/>
      <c r="O375" s="18"/>
      <c r="P375" s="18"/>
      <c r="R375" s="17"/>
      <c r="S375" s="17"/>
      <c r="T375" s="17"/>
      <c r="U375" s="17"/>
      <c r="V375" s="17"/>
      <c r="W375" s="17"/>
      <c r="X375" s="17"/>
      <c r="Y375" s="17"/>
      <c r="Z375" s="16"/>
      <c r="AA375" s="15"/>
      <c r="AB375" s="4"/>
      <c r="AC375" s="14"/>
      <c r="AD375" s="13"/>
    </row>
    <row r="376" spans="1:30">
      <c r="A376" s="20"/>
      <c r="B376" s="11"/>
      <c r="C376" s="10"/>
      <c r="D376" s="10"/>
      <c r="E376" s="10"/>
      <c r="G376" s="19"/>
      <c r="H376" s="19"/>
      <c r="I376" s="19"/>
      <c r="J376" s="19"/>
      <c r="K376" s="19"/>
      <c r="L376" s="18"/>
      <c r="M376" s="18"/>
      <c r="N376" s="18"/>
      <c r="O376" s="18"/>
      <c r="P376" s="18"/>
      <c r="R376" s="17"/>
      <c r="S376" s="17"/>
      <c r="T376" s="17"/>
      <c r="U376" s="17"/>
      <c r="V376" s="17"/>
      <c r="W376" s="17"/>
      <c r="X376" s="17"/>
      <c r="Y376" s="17"/>
      <c r="Z376" s="16"/>
      <c r="AA376" s="15"/>
      <c r="AB376" s="4"/>
      <c r="AC376" s="14"/>
      <c r="AD376" s="13"/>
    </row>
    <row r="377" spans="1:30">
      <c r="A377" s="20"/>
      <c r="B377" s="11"/>
      <c r="C377" s="10"/>
      <c r="D377" s="10"/>
      <c r="E377" s="10"/>
      <c r="G377" s="19"/>
      <c r="H377" s="19"/>
      <c r="I377" s="19"/>
      <c r="J377" s="19"/>
      <c r="K377" s="19"/>
      <c r="L377" s="18"/>
      <c r="M377" s="18"/>
      <c r="N377" s="18"/>
      <c r="O377" s="18"/>
      <c r="P377" s="18"/>
      <c r="R377" s="17"/>
      <c r="S377" s="17"/>
      <c r="T377" s="17"/>
      <c r="U377" s="17"/>
      <c r="V377" s="17"/>
      <c r="W377" s="17"/>
      <c r="X377" s="17"/>
      <c r="Y377" s="17"/>
      <c r="Z377" s="16"/>
      <c r="AA377" s="15"/>
      <c r="AB377" s="4"/>
      <c r="AC377" s="14"/>
      <c r="AD377" s="13"/>
    </row>
    <row r="378" spans="1:30">
      <c r="A378" s="20"/>
      <c r="B378" s="11"/>
      <c r="C378" s="10"/>
      <c r="D378" s="10"/>
      <c r="E378" s="10"/>
      <c r="G378" s="19"/>
      <c r="H378" s="19"/>
      <c r="I378" s="19"/>
      <c r="J378" s="19"/>
      <c r="K378" s="19"/>
      <c r="L378" s="18"/>
      <c r="M378" s="18"/>
      <c r="N378" s="18"/>
      <c r="O378" s="18"/>
      <c r="P378" s="18"/>
      <c r="R378" s="17"/>
      <c r="S378" s="17"/>
      <c r="T378" s="17"/>
      <c r="U378" s="17"/>
      <c r="V378" s="17"/>
      <c r="W378" s="17"/>
      <c r="X378" s="17"/>
      <c r="Y378" s="17"/>
      <c r="Z378" s="16"/>
      <c r="AA378" s="15"/>
      <c r="AB378" s="4"/>
      <c r="AC378" s="14"/>
      <c r="AD378" s="13"/>
    </row>
    <row r="379" spans="1:30">
      <c r="A379" s="20"/>
      <c r="B379" s="11"/>
      <c r="C379" s="10"/>
      <c r="D379" s="10"/>
      <c r="E379" s="10"/>
      <c r="G379" s="19"/>
      <c r="H379" s="19"/>
      <c r="I379" s="19"/>
      <c r="J379" s="19"/>
      <c r="K379" s="19"/>
      <c r="L379" s="18"/>
      <c r="M379" s="18"/>
      <c r="N379" s="18"/>
      <c r="O379" s="18"/>
      <c r="P379" s="18"/>
      <c r="R379" s="17"/>
      <c r="S379" s="17"/>
      <c r="T379" s="17"/>
      <c r="U379" s="17"/>
      <c r="V379" s="17"/>
      <c r="W379" s="17"/>
      <c r="X379" s="17"/>
      <c r="Y379" s="17"/>
      <c r="Z379" s="16"/>
      <c r="AA379" s="15"/>
      <c r="AB379" s="4"/>
      <c r="AC379" s="14"/>
      <c r="AD379" s="13"/>
    </row>
    <row r="380" spans="1:30">
      <c r="A380" s="20"/>
      <c r="B380" s="11"/>
      <c r="C380" s="10"/>
      <c r="D380" s="10"/>
      <c r="E380" s="10"/>
      <c r="G380" s="19"/>
      <c r="H380" s="19"/>
      <c r="I380" s="19"/>
      <c r="J380" s="19"/>
      <c r="K380" s="19"/>
      <c r="L380" s="18"/>
      <c r="M380" s="18"/>
      <c r="N380" s="18"/>
      <c r="O380" s="18"/>
      <c r="P380" s="18"/>
      <c r="R380" s="17"/>
      <c r="S380" s="17"/>
      <c r="T380" s="17"/>
      <c r="U380" s="17"/>
      <c r="V380" s="17"/>
      <c r="W380" s="17"/>
      <c r="X380" s="17"/>
      <c r="Y380" s="17"/>
      <c r="Z380" s="16"/>
      <c r="AA380" s="15"/>
      <c r="AB380" s="4"/>
      <c r="AC380" s="14"/>
      <c r="AD380" s="13"/>
    </row>
    <row r="381" spans="1:30">
      <c r="A381" s="20"/>
      <c r="B381" s="11"/>
      <c r="C381" s="10"/>
      <c r="D381" s="10"/>
      <c r="E381" s="10"/>
      <c r="G381" s="19"/>
      <c r="H381" s="19"/>
      <c r="I381" s="19"/>
      <c r="J381" s="19"/>
      <c r="K381" s="19"/>
      <c r="L381" s="18"/>
      <c r="M381" s="18"/>
      <c r="N381" s="18"/>
      <c r="O381" s="18"/>
      <c r="P381" s="18"/>
      <c r="R381" s="17"/>
      <c r="S381" s="17"/>
      <c r="T381" s="17"/>
      <c r="U381" s="17"/>
      <c r="V381" s="17"/>
      <c r="W381" s="17"/>
      <c r="X381" s="17"/>
      <c r="Y381" s="17"/>
      <c r="Z381" s="16"/>
      <c r="AA381" s="15"/>
      <c r="AB381" s="4"/>
      <c r="AC381" s="14"/>
      <c r="AD381" s="13"/>
    </row>
    <row r="382" spans="1:30">
      <c r="A382" s="20"/>
      <c r="B382" s="11"/>
      <c r="C382" s="10"/>
      <c r="D382" s="10"/>
      <c r="E382" s="10"/>
      <c r="G382" s="19"/>
      <c r="H382" s="19"/>
      <c r="I382" s="19"/>
      <c r="J382" s="19"/>
      <c r="K382" s="19"/>
      <c r="L382" s="18"/>
      <c r="M382" s="18"/>
      <c r="N382" s="18"/>
      <c r="O382" s="18"/>
      <c r="P382" s="18"/>
      <c r="R382" s="17"/>
      <c r="S382" s="17"/>
      <c r="T382" s="17"/>
      <c r="U382" s="17"/>
      <c r="V382" s="17"/>
      <c r="W382" s="17"/>
      <c r="X382" s="17"/>
      <c r="Y382" s="17"/>
      <c r="Z382" s="16"/>
      <c r="AA382" s="15"/>
      <c r="AB382" s="4"/>
      <c r="AC382" s="14"/>
      <c r="AD382" s="13"/>
    </row>
    <row r="383" spans="1:30">
      <c r="A383" s="20"/>
      <c r="B383" s="11"/>
      <c r="C383" s="10"/>
      <c r="D383" s="10"/>
      <c r="E383" s="10"/>
      <c r="G383" s="19"/>
      <c r="H383" s="19"/>
      <c r="I383" s="19"/>
      <c r="J383" s="19"/>
      <c r="K383" s="19"/>
      <c r="L383" s="18"/>
      <c r="M383" s="18"/>
      <c r="N383" s="18"/>
      <c r="O383" s="18"/>
      <c r="P383" s="18"/>
      <c r="R383" s="17"/>
      <c r="S383" s="17"/>
      <c r="T383" s="17"/>
      <c r="U383" s="17"/>
      <c r="V383" s="17"/>
      <c r="W383" s="17"/>
      <c r="X383" s="17"/>
      <c r="Y383" s="17"/>
      <c r="Z383" s="16"/>
      <c r="AA383" s="15"/>
      <c r="AB383" s="4"/>
      <c r="AC383" s="14"/>
      <c r="AD383" s="13"/>
    </row>
    <row r="384" spans="1:30">
      <c r="A384" s="20"/>
      <c r="B384" s="11"/>
      <c r="C384" s="10"/>
      <c r="D384" s="10"/>
      <c r="E384" s="10"/>
      <c r="G384" s="19"/>
      <c r="H384" s="19"/>
      <c r="I384" s="19"/>
      <c r="J384" s="19"/>
      <c r="K384" s="19"/>
      <c r="L384" s="18"/>
      <c r="M384" s="18"/>
      <c r="N384" s="18"/>
      <c r="O384" s="18"/>
      <c r="P384" s="18"/>
      <c r="R384" s="17"/>
      <c r="S384" s="17"/>
      <c r="T384" s="17"/>
      <c r="U384" s="17"/>
      <c r="V384" s="17"/>
      <c r="W384" s="17"/>
      <c r="X384" s="17"/>
      <c r="Y384" s="17"/>
      <c r="Z384" s="16"/>
      <c r="AA384" s="15"/>
      <c r="AB384" s="4"/>
      <c r="AC384" s="14"/>
      <c r="AD384" s="13"/>
    </row>
    <row r="385" spans="1:30">
      <c r="A385" s="20"/>
      <c r="B385" s="11"/>
      <c r="C385" s="10"/>
      <c r="D385" s="10"/>
      <c r="E385" s="10"/>
      <c r="G385" s="19"/>
      <c r="H385" s="19"/>
      <c r="I385" s="19"/>
      <c r="J385" s="19"/>
      <c r="K385" s="19"/>
      <c r="L385" s="18"/>
      <c r="M385" s="18"/>
      <c r="N385" s="18"/>
      <c r="O385" s="18"/>
      <c r="P385" s="18"/>
      <c r="R385" s="17"/>
      <c r="S385" s="17"/>
      <c r="T385" s="17"/>
      <c r="U385" s="17"/>
      <c r="V385" s="17"/>
      <c r="W385" s="17"/>
      <c r="X385" s="17"/>
      <c r="Y385" s="17"/>
      <c r="Z385" s="16"/>
      <c r="AA385" s="15"/>
      <c r="AB385" s="4"/>
      <c r="AC385" s="14"/>
      <c r="AD385" s="13"/>
    </row>
    <row r="386" spans="1:30">
      <c r="A386" s="20"/>
      <c r="B386" s="11"/>
      <c r="C386" s="10"/>
      <c r="D386" s="10"/>
      <c r="E386" s="10"/>
      <c r="G386" s="19"/>
      <c r="H386" s="19"/>
      <c r="I386" s="19"/>
      <c r="J386" s="19"/>
      <c r="K386" s="19"/>
      <c r="L386" s="18"/>
      <c r="M386" s="18"/>
      <c r="N386" s="18"/>
      <c r="O386" s="18"/>
      <c r="P386" s="18"/>
      <c r="R386" s="17"/>
      <c r="S386" s="17"/>
      <c r="T386" s="17"/>
      <c r="U386" s="17"/>
      <c r="V386" s="17"/>
      <c r="W386" s="17"/>
      <c r="X386" s="17"/>
      <c r="Y386" s="17"/>
      <c r="Z386" s="16"/>
      <c r="AA386" s="15"/>
      <c r="AB386" s="4"/>
      <c r="AC386" s="14"/>
      <c r="AD386" s="13"/>
    </row>
    <row r="387" spans="1:30">
      <c r="A387" s="20"/>
      <c r="B387" s="11"/>
      <c r="C387" s="10"/>
      <c r="D387" s="10"/>
      <c r="E387" s="10"/>
      <c r="G387" s="19"/>
      <c r="H387" s="19"/>
      <c r="I387" s="19"/>
      <c r="J387" s="19"/>
      <c r="K387" s="19"/>
      <c r="L387" s="18"/>
      <c r="M387" s="18"/>
      <c r="N387" s="18"/>
      <c r="O387" s="18"/>
      <c r="P387" s="18"/>
      <c r="R387" s="17"/>
      <c r="S387" s="17"/>
      <c r="T387" s="17"/>
      <c r="U387" s="17"/>
      <c r="V387" s="17"/>
      <c r="W387" s="17"/>
      <c r="X387" s="17"/>
      <c r="Y387" s="17"/>
      <c r="Z387" s="16"/>
      <c r="AA387" s="15"/>
      <c r="AB387" s="4"/>
      <c r="AC387" s="14"/>
      <c r="AD387" s="13"/>
    </row>
    <row r="388" spans="1:30">
      <c r="A388" s="20"/>
      <c r="B388" s="11"/>
      <c r="C388" s="10"/>
      <c r="D388" s="10"/>
      <c r="E388" s="10"/>
      <c r="G388" s="19"/>
      <c r="H388" s="19"/>
      <c r="I388" s="19"/>
      <c r="J388" s="19"/>
      <c r="K388" s="19"/>
      <c r="L388" s="18"/>
      <c r="M388" s="18"/>
      <c r="N388" s="18"/>
      <c r="O388" s="18"/>
      <c r="P388" s="18"/>
      <c r="R388" s="17"/>
      <c r="S388" s="17"/>
      <c r="T388" s="17"/>
      <c r="U388" s="17"/>
      <c r="V388" s="17"/>
      <c r="W388" s="17"/>
      <c r="X388" s="17"/>
      <c r="Y388" s="17"/>
      <c r="Z388" s="16"/>
      <c r="AA388" s="15"/>
      <c r="AB388" s="4"/>
      <c r="AC388" s="14"/>
      <c r="AD388" s="13"/>
    </row>
    <row r="389" spans="1:30">
      <c r="A389" s="20"/>
      <c r="B389" s="11"/>
      <c r="C389" s="10"/>
      <c r="D389" s="10"/>
      <c r="E389" s="10"/>
      <c r="G389" s="19"/>
      <c r="H389" s="19"/>
      <c r="I389" s="19"/>
      <c r="J389" s="19"/>
      <c r="K389" s="19"/>
      <c r="L389" s="18"/>
      <c r="M389" s="18"/>
      <c r="N389" s="18"/>
      <c r="O389" s="18"/>
      <c r="P389" s="18"/>
      <c r="R389" s="17"/>
      <c r="S389" s="17"/>
      <c r="T389" s="17"/>
      <c r="U389" s="17"/>
      <c r="V389" s="17"/>
      <c r="W389" s="17"/>
      <c r="X389" s="17"/>
      <c r="Y389" s="17"/>
      <c r="Z389" s="16"/>
      <c r="AA389" s="15"/>
      <c r="AB389" s="4"/>
      <c r="AC389" s="14"/>
      <c r="AD389" s="13"/>
    </row>
    <row r="390" spans="1:30">
      <c r="A390" s="20"/>
      <c r="B390" s="11"/>
      <c r="C390" s="10"/>
      <c r="D390" s="10"/>
      <c r="E390" s="10"/>
      <c r="G390" s="19"/>
      <c r="H390" s="19"/>
      <c r="I390" s="19"/>
      <c r="J390" s="19"/>
      <c r="K390" s="19"/>
      <c r="L390" s="18"/>
      <c r="M390" s="18"/>
      <c r="N390" s="18"/>
      <c r="O390" s="18"/>
      <c r="P390" s="18"/>
      <c r="R390" s="17"/>
      <c r="S390" s="17"/>
      <c r="T390" s="17"/>
      <c r="U390" s="17"/>
      <c r="V390" s="17"/>
      <c r="W390" s="17"/>
      <c r="X390" s="17"/>
      <c r="Y390" s="17"/>
      <c r="Z390" s="16"/>
      <c r="AA390" s="15"/>
      <c r="AB390" s="4"/>
      <c r="AC390" s="14"/>
      <c r="AD390" s="13"/>
    </row>
    <row r="391" spans="1:30">
      <c r="A391" s="20"/>
      <c r="B391" s="11"/>
      <c r="C391" s="10"/>
      <c r="D391" s="10"/>
      <c r="E391" s="10"/>
      <c r="G391" s="19"/>
      <c r="H391" s="19"/>
      <c r="I391" s="19"/>
      <c r="J391" s="19"/>
      <c r="K391" s="19"/>
      <c r="L391" s="18"/>
      <c r="M391" s="18"/>
      <c r="N391" s="18"/>
      <c r="O391" s="18"/>
      <c r="P391" s="18"/>
      <c r="R391" s="17"/>
      <c r="S391" s="17"/>
      <c r="T391" s="17"/>
      <c r="U391" s="17"/>
      <c r="V391" s="17"/>
      <c r="W391" s="17"/>
      <c r="X391" s="17"/>
      <c r="Y391" s="17"/>
      <c r="Z391" s="16"/>
      <c r="AA391" s="15"/>
      <c r="AB391" s="4"/>
      <c r="AC391" s="14"/>
      <c r="AD391" s="13"/>
    </row>
    <row r="392" spans="1:30">
      <c r="A392" s="20"/>
      <c r="B392" s="11"/>
      <c r="C392" s="10"/>
      <c r="D392" s="10"/>
      <c r="E392" s="10"/>
      <c r="G392" s="19"/>
      <c r="H392" s="19"/>
      <c r="I392" s="19"/>
      <c r="J392" s="19"/>
      <c r="K392" s="19"/>
      <c r="L392" s="18"/>
      <c r="M392" s="18"/>
      <c r="N392" s="18"/>
      <c r="O392" s="18"/>
      <c r="P392" s="18"/>
      <c r="R392" s="17"/>
      <c r="S392" s="17"/>
      <c r="T392" s="17"/>
      <c r="U392" s="17"/>
      <c r="V392" s="17"/>
      <c r="W392" s="17"/>
      <c r="X392" s="17"/>
      <c r="Y392" s="17"/>
      <c r="Z392" s="16"/>
      <c r="AA392" s="15"/>
      <c r="AB392" s="4"/>
      <c r="AC392" s="14"/>
      <c r="AD392" s="13"/>
    </row>
    <row r="393" spans="1:30">
      <c r="A393" s="20"/>
      <c r="B393" s="11"/>
      <c r="C393" s="10"/>
      <c r="D393" s="10"/>
      <c r="E393" s="10"/>
      <c r="G393" s="19"/>
      <c r="H393" s="19"/>
      <c r="I393" s="19"/>
      <c r="J393" s="19"/>
      <c r="K393" s="19"/>
      <c r="L393" s="18"/>
      <c r="M393" s="18"/>
      <c r="N393" s="18"/>
      <c r="O393" s="18"/>
      <c r="P393" s="18"/>
      <c r="R393" s="17"/>
      <c r="S393" s="17"/>
      <c r="T393" s="17"/>
      <c r="U393" s="17"/>
      <c r="V393" s="17"/>
      <c r="W393" s="17"/>
      <c r="X393" s="17"/>
      <c r="Y393" s="17"/>
      <c r="Z393" s="16"/>
      <c r="AA393" s="15"/>
      <c r="AB393" s="4"/>
      <c r="AC393" s="14"/>
      <c r="AD393" s="13"/>
    </row>
    <row r="394" spans="1:30">
      <c r="A394" s="20"/>
      <c r="B394" s="11"/>
      <c r="C394" s="10"/>
      <c r="D394" s="10"/>
      <c r="E394" s="10"/>
      <c r="G394" s="19"/>
      <c r="H394" s="19"/>
      <c r="I394" s="19"/>
      <c r="J394" s="19"/>
      <c r="K394" s="19"/>
      <c r="L394" s="18"/>
      <c r="M394" s="18"/>
      <c r="N394" s="18"/>
      <c r="O394" s="18"/>
      <c r="P394" s="18"/>
      <c r="R394" s="17"/>
      <c r="S394" s="17"/>
      <c r="T394" s="17"/>
      <c r="U394" s="17"/>
      <c r="V394" s="17"/>
      <c r="W394" s="17"/>
      <c r="X394" s="17"/>
      <c r="Y394" s="17"/>
      <c r="Z394" s="16"/>
      <c r="AA394" s="15"/>
      <c r="AB394" s="4"/>
      <c r="AC394" s="14"/>
      <c r="AD394" s="13"/>
    </row>
    <row r="395" spans="1:30">
      <c r="A395" s="20"/>
      <c r="B395" s="11"/>
      <c r="C395" s="10"/>
      <c r="D395" s="10"/>
      <c r="E395" s="10"/>
      <c r="G395" s="19"/>
      <c r="H395" s="19"/>
      <c r="I395" s="19"/>
      <c r="J395" s="19"/>
      <c r="K395" s="19"/>
      <c r="L395" s="18"/>
      <c r="M395" s="18"/>
      <c r="N395" s="18"/>
      <c r="O395" s="18"/>
      <c r="P395" s="18"/>
      <c r="R395" s="17"/>
      <c r="S395" s="17"/>
      <c r="T395" s="17"/>
      <c r="U395" s="17"/>
      <c r="V395" s="17"/>
      <c r="W395" s="17"/>
      <c r="X395" s="17"/>
      <c r="Y395" s="17"/>
      <c r="Z395" s="16"/>
      <c r="AA395" s="15"/>
      <c r="AB395" s="4"/>
      <c r="AC395" s="14"/>
      <c r="AD395" s="13"/>
    </row>
    <row r="396" spans="1:30">
      <c r="A396" s="20"/>
      <c r="B396" s="11"/>
      <c r="C396" s="10"/>
      <c r="D396" s="10"/>
      <c r="E396" s="10"/>
      <c r="G396" s="19"/>
      <c r="H396" s="19"/>
      <c r="I396" s="19"/>
      <c r="J396" s="19"/>
      <c r="K396" s="19"/>
      <c r="L396" s="18"/>
      <c r="M396" s="18"/>
      <c r="N396" s="18"/>
      <c r="O396" s="18"/>
      <c r="P396" s="18"/>
      <c r="R396" s="17"/>
      <c r="S396" s="17"/>
      <c r="T396" s="17"/>
      <c r="U396" s="17"/>
      <c r="V396" s="17"/>
      <c r="W396" s="17"/>
      <c r="X396" s="17"/>
      <c r="Y396" s="17"/>
      <c r="Z396" s="16"/>
      <c r="AA396" s="15"/>
      <c r="AB396" s="4"/>
      <c r="AC396" s="14"/>
      <c r="AD396" s="13"/>
    </row>
    <row r="397" spans="1:30">
      <c r="A397" s="20"/>
      <c r="B397" s="11"/>
      <c r="C397" s="10"/>
      <c r="D397" s="10"/>
      <c r="E397" s="10"/>
      <c r="G397" s="19"/>
      <c r="H397" s="19"/>
      <c r="I397" s="19"/>
      <c r="J397" s="19"/>
      <c r="K397" s="19"/>
      <c r="L397" s="18"/>
      <c r="M397" s="18"/>
      <c r="N397" s="18"/>
      <c r="O397" s="18"/>
      <c r="P397" s="18"/>
      <c r="R397" s="17"/>
      <c r="S397" s="17"/>
      <c r="T397" s="17"/>
      <c r="U397" s="17"/>
      <c r="V397" s="17"/>
      <c r="W397" s="17"/>
      <c r="X397" s="17"/>
      <c r="Y397" s="17"/>
      <c r="Z397" s="16"/>
      <c r="AA397" s="15"/>
      <c r="AB397" s="4"/>
      <c r="AC397" s="14"/>
      <c r="AD397" s="13"/>
    </row>
    <row r="398" spans="1:30">
      <c r="A398" s="20"/>
      <c r="B398" s="11"/>
      <c r="C398" s="10"/>
      <c r="D398" s="10"/>
      <c r="E398" s="10"/>
      <c r="G398" s="19"/>
      <c r="H398" s="19"/>
      <c r="I398" s="19"/>
      <c r="J398" s="19"/>
      <c r="K398" s="19"/>
      <c r="L398" s="18"/>
      <c r="M398" s="18"/>
      <c r="N398" s="18"/>
      <c r="O398" s="18"/>
      <c r="P398" s="18"/>
      <c r="R398" s="17"/>
      <c r="S398" s="17"/>
      <c r="T398" s="17"/>
      <c r="U398" s="17"/>
      <c r="V398" s="17"/>
      <c r="W398" s="17"/>
      <c r="X398" s="17"/>
      <c r="Y398" s="17"/>
      <c r="Z398" s="16"/>
      <c r="AA398" s="15"/>
      <c r="AB398" s="4"/>
      <c r="AC398" s="14"/>
      <c r="AD398" s="13"/>
    </row>
    <row r="399" spans="1:30">
      <c r="A399" s="20"/>
      <c r="B399" s="11"/>
      <c r="C399" s="10"/>
      <c r="D399" s="10"/>
      <c r="E399" s="10"/>
      <c r="G399" s="19"/>
      <c r="H399" s="19"/>
      <c r="I399" s="19"/>
      <c r="J399" s="19"/>
      <c r="K399" s="19"/>
      <c r="L399" s="18"/>
      <c r="M399" s="18"/>
      <c r="N399" s="18"/>
      <c r="O399" s="18"/>
      <c r="P399" s="18"/>
      <c r="R399" s="17"/>
      <c r="S399" s="17"/>
      <c r="T399" s="17"/>
      <c r="U399" s="17"/>
      <c r="V399" s="17"/>
      <c r="W399" s="17"/>
      <c r="X399" s="17"/>
      <c r="Y399" s="17"/>
      <c r="Z399" s="16"/>
      <c r="AA399" s="15"/>
      <c r="AB399" s="4"/>
      <c r="AC399" s="14"/>
      <c r="AD399" s="13"/>
    </row>
    <row r="400" spans="1:30">
      <c r="A400" s="20"/>
      <c r="B400" s="11"/>
      <c r="C400" s="10"/>
      <c r="D400" s="10"/>
      <c r="E400" s="10"/>
      <c r="G400" s="19"/>
      <c r="H400" s="19"/>
      <c r="I400" s="19"/>
      <c r="J400" s="19"/>
      <c r="K400" s="19"/>
      <c r="L400" s="18"/>
      <c r="M400" s="18"/>
      <c r="N400" s="18"/>
      <c r="O400" s="18"/>
      <c r="P400" s="18"/>
      <c r="R400" s="17"/>
      <c r="S400" s="17"/>
      <c r="T400" s="17"/>
      <c r="U400" s="17"/>
      <c r="V400" s="17"/>
      <c r="W400" s="17"/>
      <c r="X400" s="17"/>
      <c r="Y400" s="17"/>
      <c r="Z400" s="16"/>
      <c r="AA400" s="15"/>
      <c r="AB400" s="4"/>
      <c r="AC400" s="14"/>
      <c r="AD400" s="13"/>
    </row>
    <row r="401" spans="1:30">
      <c r="A401" s="20"/>
      <c r="B401" s="11"/>
      <c r="C401" s="10"/>
      <c r="D401" s="10"/>
      <c r="E401" s="10"/>
      <c r="G401" s="19"/>
      <c r="H401" s="19"/>
      <c r="I401" s="19"/>
      <c r="J401" s="19"/>
      <c r="K401" s="19"/>
      <c r="L401" s="18"/>
      <c r="M401" s="18"/>
      <c r="N401" s="18"/>
      <c r="O401" s="18"/>
      <c r="P401" s="18"/>
      <c r="R401" s="17"/>
      <c r="S401" s="17"/>
      <c r="T401" s="17"/>
      <c r="U401" s="17"/>
      <c r="V401" s="17"/>
      <c r="W401" s="17"/>
      <c r="X401" s="17"/>
      <c r="Y401" s="17"/>
      <c r="Z401" s="16"/>
      <c r="AA401" s="15"/>
      <c r="AB401" s="4"/>
      <c r="AC401" s="14"/>
      <c r="AD401" s="13"/>
    </row>
    <row r="402" spans="1:30">
      <c r="A402" s="20"/>
      <c r="B402" s="11"/>
      <c r="C402" s="10"/>
      <c r="D402" s="10"/>
      <c r="E402" s="10"/>
      <c r="G402" s="19"/>
      <c r="H402" s="19"/>
      <c r="I402" s="19"/>
      <c r="J402" s="19"/>
      <c r="K402" s="19"/>
      <c r="L402" s="18"/>
      <c r="M402" s="18"/>
      <c r="N402" s="18"/>
      <c r="O402" s="18"/>
      <c r="P402" s="18"/>
      <c r="R402" s="17"/>
      <c r="S402" s="17"/>
      <c r="T402" s="17"/>
      <c r="U402" s="17"/>
      <c r="V402" s="17"/>
      <c r="W402" s="17"/>
      <c r="X402" s="17"/>
      <c r="Y402" s="17"/>
      <c r="Z402" s="16"/>
      <c r="AA402" s="15"/>
      <c r="AB402" s="4"/>
      <c r="AC402" s="14"/>
      <c r="AD402" s="13"/>
    </row>
    <row r="403" spans="1:30">
      <c r="A403" s="20"/>
      <c r="B403" s="11"/>
      <c r="C403" s="10"/>
      <c r="D403" s="10"/>
      <c r="E403" s="10"/>
      <c r="G403" s="19"/>
      <c r="H403" s="19"/>
      <c r="I403" s="19"/>
      <c r="J403" s="19"/>
      <c r="K403" s="19"/>
      <c r="L403" s="18"/>
      <c r="M403" s="18"/>
      <c r="N403" s="18"/>
      <c r="O403" s="18"/>
      <c r="P403" s="18"/>
      <c r="R403" s="17"/>
      <c r="S403" s="17"/>
      <c r="T403" s="17"/>
      <c r="U403" s="17"/>
      <c r="V403" s="17"/>
      <c r="W403" s="17"/>
      <c r="X403" s="17"/>
      <c r="Y403" s="17"/>
      <c r="Z403" s="16"/>
      <c r="AA403" s="15"/>
      <c r="AB403" s="4"/>
      <c r="AC403" s="14"/>
      <c r="AD403" s="13"/>
    </row>
    <row r="404" spans="1:30">
      <c r="A404" s="20"/>
      <c r="B404" s="11"/>
      <c r="C404" s="10"/>
      <c r="D404" s="10"/>
      <c r="E404" s="10"/>
      <c r="G404" s="19"/>
      <c r="H404" s="19"/>
      <c r="I404" s="19"/>
      <c r="J404" s="19"/>
      <c r="K404" s="19"/>
      <c r="L404" s="18"/>
      <c r="M404" s="18"/>
      <c r="N404" s="18"/>
      <c r="O404" s="18"/>
      <c r="P404" s="18"/>
      <c r="R404" s="17"/>
      <c r="S404" s="17"/>
      <c r="T404" s="17"/>
      <c r="U404" s="17"/>
      <c r="V404" s="17"/>
      <c r="W404" s="17"/>
      <c r="X404" s="17"/>
      <c r="Y404" s="17"/>
      <c r="Z404" s="16"/>
      <c r="AA404" s="15"/>
      <c r="AB404" s="4"/>
      <c r="AC404" s="14"/>
      <c r="AD404" s="13"/>
    </row>
    <row r="405" spans="1:30">
      <c r="A405" s="20"/>
      <c r="B405" s="11"/>
      <c r="C405" s="10"/>
      <c r="D405" s="10"/>
      <c r="E405" s="10"/>
      <c r="G405" s="19"/>
      <c r="H405" s="19"/>
      <c r="I405" s="19"/>
      <c r="J405" s="19"/>
      <c r="K405" s="19"/>
      <c r="L405" s="18"/>
      <c r="M405" s="18"/>
      <c r="N405" s="18"/>
      <c r="O405" s="18"/>
      <c r="P405" s="18"/>
      <c r="R405" s="17"/>
      <c r="S405" s="17"/>
      <c r="T405" s="17"/>
      <c r="U405" s="17"/>
      <c r="V405" s="17"/>
      <c r="W405" s="17"/>
      <c r="X405" s="17"/>
      <c r="Y405" s="17"/>
      <c r="Z405" s="16"/>
      <c r="AA405" s="15"/>
      <c r="AB405" s="4"/>
      <c r="AC405" s="14"/>
      <c r="AD405" s="13"/>
    </row>
    <row r="406" spans="1:30">
      <c r="A406" s="20"/>
      <c r="B406" s="11"/>
      <c r="C406" s="10"/>
      <c r="D406" s="10"/>
      <c r="E406" s="10"/>
      <c r="G406" s="19"/>
      <c r="H406" s="19"/>
      <c r="I406" s="19"/>
      <c r="J406" s="19"/>
      <c r="K406" s="19"/>
      <c r="L406" s="18"/>
      <c r="M406" s="18"/>
      <c r="N406" s="18"/>
      <c r="O406" s="18"/>
      <c r="P406" s="18"/>
      <c r="R406" s="17"/>
      <c r="S406" s="17"/>
      <c r="T406" s="17"/>
      <c r="U406" s="17"/>
      <c r="V406" s="17"/>
      <c r="W406" s="17"/>
      <c r="X406" s="17"/>
      <c r="Y406" s="17"/>
      <c r="Z406" s="16"/>
      <c r="AA406" s="15"/>
      <c r="AB406" s="4"/>
      <c r="AC406" s="14"/>
      <c r="AD406" s="13"/>
    </row>
    <row r="407" spans="1:30">
      <c r="A407" s="20"/>
      <c r="B407" s="11"/>
      <c r="C407" s="10"/>
      <c r="D407" s="10"/>
      <c r="E407" s="10"/>
      <c r="G407" s="19"/>
      <c r="H407" s="19"/>
      <c r="I407" s="19"/>
      <c r="J407" s="19"/>
      <c r="K407" s="19"/>
      <c r="L407" s="18"/>
      <c r="M407" s="18"/>
      <c r="N407" s="18"/>
      <c r="O407" s="18"/>
      <c r="P407" s="18"/>
      <c r="R407" s="17"/>
      <c r="S407" s="17"/>
      <c r="T407" s="17"/>
      <c r="U407" s="17"/>
      <c r="V407" s="17"/>
      <c r="W407" s="17"/>
      <c r="X407" s="17"/>
      <c r="Y407" s="17"/>
      <c r="Z407" s="16"/>
      <c r="AA407" s="15"/>
      <c r="AB407" s="4"/>
      <c r="AC407" s="14"/>
      <c r="AD407" s="13"/>
    </row>
    <row r="408" spans="1:30">
      <c r="A408" s="20"/>
      <c r="B408" s="11"/>
      <c r="C408" s="10"/>
      <c r="D408" s="10"/>
      <c r="E408" s="10"/>
      <c r="G408" s="19"/>
      <c r="H408" s="19"/>
      <c r="I408" s="19"/>
      <c r="J408" s="19"/>
      <c r="K408" s="19"/>
      <c r="L408" s="18"/>
      <c r="M408" s="18"/>
      <c r="N408" s="18"/>
      <c r="O408" s="18"/>
      <c r="P408" s="18"/>
      <c r="R408" s="17"/>
      <c r="S408" s="17"/>
      <c r="T408" s="17"/>
      <c r="U408" s="17"/>
      <c r="V408" s="17"/>
      <c r="W408" s="17"/>
      <c r="X408" s="17"/>
      <c r="Y408" s="17"/>
      <c r="Z408" s="16"/>
      <c r="AA408" s="15"/>
      <c r="AB408" s="4"/>
      <c r="AC408" s="14"/>
      <c r="AD408" s="13"/>
    </row>
    <row r="409" spans="1:30">
      <c r="A409" s="20"/>
      <c r="B409" s="11"/>
      <c r="C409" s="10"/>
      <c r="D409" s="10"/>
      <c r="E409" s="10"/>
      <c r="G409" s="19"/>
      <c r="H409" s="19"/>
      <c r="I409" s="19"/>
      <c r="J409" s="19"/>
      <c r="K409" s="19"/>
      <c r="L409" s="18"/>
      <c r="M409" s="18"/>
      <c r="N409" s="18"/>
      <c r="O409" s="18"/>
      <c r="P409" s="18"/>
      <c r="R409" s="17"/>
      <c r="S409" s="17"/>
      <c r="T409" s="17"/>
      <c r="U409" s="17"/>
      <c r="V409" s="17"/>
      <c r="W409" s="17"/>
      <c r="X409" s="17"/>
      <c r="Y409" s="17"/>
      <c r="Z409" s="16"/>
      <c r="AA409" s="15"/>
      <c r="AB409" s="4"/>
      <c r="AC409" s="14"/>
      <c r="AD409" s="13"/>
    </row>
    <row r="410" spans="1:30">
      <c r="A410" s="20"/>
      <c r="B410" s="11"/>
      <c r="C410" s="10"/>
      <c r="D410" s="10"/>
      <c r="E410" s="10"/>
      <c r="G410" s="19"/>
      <c r="H410" s="19"/>
      <c r="I410" s="19"/>
      <c r="J410" s="19"/>
      <c r="K410" s="19"/>
      <c r="L410" s="18"/>
      <c r="M410" s="18"/>
      <c r="N410" s="18"/>
      <c r="O410" s="18"/>
      <c r="P410" s="18"/>
      <c r="R410" s="17"/>
      <c r="S410" s="17"/>
      <c r="T410" s="17"/>
      <c r="U410" s="17"/>
      <c r="V410" s="17"/>
      <c r="W410" s="17"/>
      <c r="X410" s="17"/>
      <c r="Y410" s="17"/>
      <c r="Z410" s="16"/>
      <c r="AA410" s="15"/>
      <c r="AB410" s="4"/>
      <c r="AC410" s="14"/>
      <c r="AD410" s="13"/>
    </row>
    <row r="411" spans="1:30">
      <c r="A411" s="20"/>
      <c r="B411" s="11"/>
      <c r="C411" s="10"/>
      <c r="D411" s="10"/>
      <c r="E411" s="10"/>
      <c r="G411" s="19"/>
      <c r="H411" s="19"/>
      <c r="I411" s="19"/>
      <c r="J411" s="19"/>
      <c r="K411" s="19"/>
      <c r="L411" s="18"/>
      <c r="M411" s="18"/>
      <c r="N411" s="18"/>
      <c r="O411" s="18"/>
      <c r="P411" s="18"/>
      <c r="R411" s="17"/>
      <c r="S411" s="17"/>
      <c r="T411" s="17"/>
      <c r="U411" s="17"/>
      <c r="V411" s="17"/>
      <c r="W411" s="17"/>
      <c r="X411" s="17"/>
      <c r="Y411" s="17"/>
      <c r="Z411" s="16"/>
      <c r="AA411" s="15"/>
      <c r="AB411" s="4"/>
      <c r="AC411" s="14"/>
      <c r="AD411" s="13"/>
    </row>
    <row r="412" spans="1:30">
      <c r="A412" s="20"/>
      <c r="B412" s="11"/>
      <c r="C412" s="10"/>
      <c r="D412" s="10"/>
      <c r="E412" s="10"/>
      <c r="G412" s="19"/>
      <c r="H412" s="19"/>
      <c r="I412" s="19"/>
      <c r="J412" s="19"/>
      <c r="K412" s="19"/>
      <c r="L412" s="18"/>
      <c r="M412" s="18"/>
      <c r="N412" s="18"/>
      <c r="O412" s="18"/>
      <c r="P412" s="18"/>
      <c r="R412" s="17"/>
      <c r="S412" s="17"/>
      <c r="T412" s="17"/>
      <c r="U412" s="17"/>
      <c r="V412" s="17"/>
      <c r="W412" s="17"/>
      <c r="X412" s="17"/>
      <c r="Y412" s="17"/>
      <c r="Z412" s="16"/>
      <c r="AA412" s="15"/>
      <c r="AB412" s="4"/>
      <c r="AC412" s="14"/>
      <c r="AD412" s="13"/>
    </row>
    <row r="413" spans="1:30">
      <c r="A413" s="20"/>
      <c r="B413" s="11"/>
      <c r="C413" s="10"/>
      <c r="D413" s="10"/>
      <c r="E413" s="10"/>
      <c r="G413" s="19"/>
      <c r="H413" s="19"/>
      <c r="I413" s="19"/>
      <c r="J413" s="19"/>
      <c r="K413" s="19"/>
      <c r="L413" s="18"/>
      <c r="M413" s="18"/>
      <c r="N413" s="18"/>
      <c r="O413" s="18"/>
      <c r="P413" s="18"/>
      <c r="R413" s="17"/>
      <c r="S413" s="17"/>
      <c r="T413" s="17"/>
      <c r="U413" s="17"/>
      <c r="V413" s="17"/>
      <c r="W413" s="17"/>
      <c r="X413" s="17"/>
      <c r="Y413" s="17"/>
      <c r="Z413" s="16"/>
      <c r="AA413" s="15"/>
      <c r="AB413" s="4"/>
      <c r="AC413" s="14"/>
      <c r="AD413" s="13"/>
    </row>
    <row r="414" spans="1:30">
      <c r="A414" s="20"/>
      <c r="B414" s="11"/>
      <c r="C414" s="10"/>
      <c r="D414" s="10"/>
      <c r="E414" s="10"/>
      <c r="G414" s="19"/>
      <c r="H414" s="19"/>
      <c r="I414" s="19"/>
      <c r="J414" s="19"/>
      <c r="K414" s="19"/>
      <c r="L414" s="18"/>
      <c r="M414" s="18"/>
      <c r="N414" s="18"/>
      <c r="O414" s="18"/>
      <c r="P414" s="18"/>
      <c r="R414" s="17"/>
      <c r="S414" s="17"/>
      <c r="T414" s="17"/>
      <c r="U414" s="17"/>
      <c r="V414" s="17"/>
      <c r="W414" s="17"/>
      <c r="X414" s="17"/>
      <c r="Y414" s="17"/>
      <c r="Z414" s="16"/>
      <c r="AA414" s="15"/>
      <c r="AB414" s="4"/>
      <c r="AC414" s="14"/>
      <c r="AD414" s="13"/>
    </row>
    <row r="415" spans="1:30">
      <c r="A415" s="20"/>
      <c r="B415" s="11"/>
      <c r="C415" s="10"/>
      <c r="D415" s="10"/>
      <c r="E415" s="10"/>
      <c r="G415" s="19"/>
      <c r="H415" s="19"/>
      <c r="I415" s="19"/>
      <c r="J415" s="19"/>
      <c r="K415" s="19"/>
      <c r="L415" s="18"/>
      <c r="M415" s="18"/>
      <c r="N415" s="18"/>
      <c r="O415" s="18"/>
      <c r="P415" s="18"/>
      <c r="R415" s="17"/>
      <c r="S415" s="17"/>
      <c r="T415" s="17"/>
      <c r="U415" s="17"/>
      <c r="V415" s="17"/>
      <c r="W415" s="17"/>
      <c r="X415" s="17"/>
      <c r="Y415" s="17"/>
      <c r="Z415" s="16"/>
      <c r="AA415" s="15"/>
      <c r="AB415" s="4"/>
      <c r="AC415" s="14"/>
      <c r="AD415" s="13"/>
    </row>
    <row r="416" spans="1:30">
      <c r="A416" s="20"/>
      <c r="B416" s="11"/>
      <c r="C416" s="10"/>
      <c r="D416" s="10"/>
      <c r="E416" s="10"/>
      <c r="G416" s="19"/>
      <c r="H416" s="19"/>
      <c r="I416" s="19"/>
      <c r="J416" s="19"/>
      <c r="K416" s="19"/>
      <c r="L416" s="18"/>
      <c r="M416" s="18"/>
      <c r="N416" s="18"/>
      <c r="O416" s="18"/>
      <c r="P416" s="18"/>
      <c r="R416" s="17"/>
      <c r="S416" s="17"/>
      <c r="T416" s="17"/>
      <c r="U416" s="17"/>
      <c r="V416" s="17"/>
      <c r="W416" s="17"/>
      <c r="X416" s="17"/>
      <c r="Y416" s="17"/>
      <c r="Z416" s="16"/>
      <c r="AA416" s="15"/>
      <c r="AB416" s="4"/>
      <c r="AC416" s="14"/>
      <c r="AD416" s="13"/>
    </row>
    <row r="417" spans="1:30">
      <c r="A417" s="20"/>
      <c r="B417" s="11"/>
      <c r="C417" s="10"/>
      <c r="D417" s="10"/>
      <c r="E417" s="10"/>
      <c r="G417" s="19"/>
      <c r="H417" s="19"/>
      <c r="I417" s="19"/>
      <c r="J417" s="19"/>
      <c r="K417" s="19"/>
      <c r="L417" s="18"/>
      <c r="M417" s="18"/>
      <c r="N417" s="18"/>
      <c r="O417" s="18"/>
      <c r="P417" s="18"/>
      <c r="R417" s="17"/>
      <c r="S417" s="17"/>
      <c r="T417" s="17"/>
      <c r="U417" s="17"/>
      <c r="V417" s="17"/>
      <c r="W417" s="17"/>
      <c r="X417" s="17"/>
      <c r="Y417" s="17"/>
      <c r="Z417" s="16"/>
      <c r="AA417" s="15"/>
      <c r="AB417" s="4"/>
      <c r="AC417" s="14"/>
      <c r="AD417" s="13"/>
    </row>
    <row r="418" spans="1:30">
      <c r="A418" s="20"/>
      <c r="B418" s="11"/>
      <c r="C418" s="10"/>
      <c r="D418" s="10"/>
      <c r="E418" s="10"/>
      <c r="G418" s="19"/>
      <c r="H418" s="19"/>
      <c r="I418" s="19"/>
      <c r="J418" s="19"/>
      <c r="K418" s="19"/>
      <c r="L418" s="18"/>
      <c r="M418" s="18"/>
      <c r="N418" s="18"/>
      <c r="O418" s="18"/>
      <c r="P418" s="18"/>
      <c r="R418" s="17"/>
      <c r="S418" s="17"/>
      <c r="T418" s="17"/>
      <c r="U418" s="17"/>
      <c r="V418" s="17"/>
      <c r="W418" s="17"/>
      <c r="X418" s="17"/>
      <c r="Y418" s="17"/>
      <c r="Z418" s="16"/>
      <c r="AA418" s="15"/>
      <c r="AB418" s="4"/>
      <c r="AC418" s="14"/>
      <c r="AD418" s="13"/>
    </row>
    <row r="419" spans="1:30">
      <c r="A419" s="20"/>
      <c r="B419" s="11"/>
      <c r="C419" s="10"/>
      <c r="D419" s="10"/>
      <c r="E419" s="10"/>
      <c r="G419" s="19"/>
      <c r="H419" s="19"/>
      <c r="I419" s="19"/>
      <c r="J419" s="19"/>
      <c r="K419" s="19"/>
      <c r="L419" s="18"/>
      <c r="M419" s="18"/>
      <c r="N419" s="18"/>
      <c r="O419" s="18"/>
      <c r="P419" s="18"/>
      <c r="R419" s="17"/>
      <c r="S419" s="17"/>
      <c r="T419" s="17"/>
      <c r="U419" s="17"/>
      <c r="V419" s="17"/>
      <c r="W419" s="17"/>
      <c r="X419" s="17"/>
      <c r="Y419" s="17"/>
      <c r="Z419" s="16"/>
      <c r="AA419" s="15"/>
      <c r="AB419" s="4"/>
      <c r="AC419" s="14"/>
      <c r="AD419" s="13"/>
    </row>
    <row r="420" spans="1:30">
      <c r="A420" s="20"/>
      <c r="B420" s="11"/>
      <c r="C420" s="10"/>
      <c r="D420" s="10"/>
      <c r="E420" s="10"/>
      <c r="G420" s="19"/>
      <c r="H420" s="19"/>
      <c r="I420" s="19"/>
      <c r="J420" s="19"/>
      <c r="K420" s="19"/>
      <c r="L420" s="18"/>
      <c r="M420" s="18"/>
      <c r="N420" s="18"/>
      <c r="O420" s="18"/>
      <c r="P420" s="18"/>
      <c r="R420" s="17"/>
      <c r="S420" s="17"/>
      <c r="T420" s="17"/>
      <c r="U420" s="17"/>
      <c r="V420" s="17"/>
      <c r="W420" s="17"/>
      <c r="X420" s="17"/>
      <c r="Y420" s="17"/>
      <c r="Z420" s="16"/>
      <c r="AA420" s="15"/>
      <c r="AB420" s="4"/>
      <c r="AC420" s="14"/>
      <c r="AD420" s="13"/>
    </row>
    <row r="421" spans="1:30">
      <c r="A421" s="20"/>
      <c r="B421" s="11"/>
      <c r="C421" s="10"/>
      <c r="D421" s="10"/>
      <c r="E421" s="10"/>
      <c r="G421" s="19"/>
      <c r="H421" s="19"/>
      <c r="I421" s="19"/>
      <c r="J421" s="19"/>
      <c r="K421" s="19"/>
      <c r="L421" s="18"/>
      <c r="M421" s="18"/>
      <c r="N421" s="18"/>
      <c r="O421" s="18"/>
      <c r="P421" s="18"/>
      <c r="R421" s="17"/>
      <c r="S421" s="17"/>
      <c r="T421" s="17"/>
      <c r="U421" s="17"/>
      <c r="V421" s="17"/>
      <c r="W421" s="17"/>
      <c r="X421" s="17"/>
      <c r="Y421" s="17"/>
      <c r="Z421" s="16"/>
      <c r="AA421" s="15"/>
      <c r="AB421" s="4"/>
      <c r="AC421" s="14"/>
      <c r="AD421" s="13"/>
    </row>
    <row r="422" spans="1:30">
      <c r="A422" s="20"/>
      <c r="B422" s="11"/>
      <c r="C422" s="10"/>
      <c r="D422" s="10"/>
      <c r="E422" s="10"/>
      <c r="G422" s="19"/>
      <c r="H422" s="19"/>
      <c r="I422" s="19"/>
      <c r="J422" s="19"/>
      <c r="K422" s="19"/>
      <c r="L422" s="18"/>
      <c r="M422" s="18"/>
      <c r="N422" s="18"/>
      <c r="O422" s="18"/>
      <c r="P422" s="18"/>
      <c r="R422" s="17"/>
      <c r="S422" s="17"/>
      <c r="T422" s="17"/>
      <c r="U422" s="17"/>
      <c r="V422" s="17"/>
      <c r="W422" s="17"/>
      <c r="X422" s="17"/>
      <c r="Y422" s="17"/>
      <c r="Z422" s="16"/>
      <c r="AA422" s="15"/>
      <c r="AB422" s="4"/>
      <c r="AC422" s="14"/>
      <c r="AD422" s="13"/>
    </row>
    <row r="423" spans="1:30">
      <c r="A423" s="20"/>
      <c r="B423" s="11"/>
      <c r="C423" s="10"/>
      <c r="D423" s="10"/>
      <c r="E423" s="10"/>
      <c r="G423" s="19"/>
      <c r="H423" s="19"/>
      <c r="I423" s="19"/>
      <c r="J423" s="19"/>
      <c r="K423" s="19"/>
      <c r="L423" s="18"/>
      <c r="M423" s="18"/>
      <c r="N423" s="18"/>
      <c r="O423" s="18"/>
      <c r="P423" s="18"/>
      <c r="R423" s="17"/>
      <c r="S423" s="17"/>
      <c r="T423" s="17"/>
      <c r="U423" s="17"/>
      <c r="V423" s="17"/>
      <c r="W423" s="17"/>
      <c r="X423" s="17"/>
      <c r="Y423" s="17"/>
      <c r="Z423" s="16"/>
      <c r="AA423" s="15"/>
      <c r="AB423" s="4"/>
      <c r="AC423" s="14"/>
      <c r="AD423" s="13"/>
    </row>
    <row r="424" spans="1:30">
      <c r="A424" s="20"/>
      <c r="B424" s="11"/>
      <c r="C424" s="10"/>
      <c r="D424" s="10"/>
      <c r="E424" s="10"/>
      <c r="G424" s="19"/>
      <c r="H424" s="19"/>
      <c r="I424" s="19"/>
      <c r="J424" s="19"/>
      <c r="K424" s="19"/>
      <c r="L424" s="18"/>
      <c r="M424" s="18"/>
      <c r="N424" s="18"/>
      <c r="O424" s="18"/>
      <c r="P424" s="18"/>
      <c r="R424" s="17"/>
      <c r="S424" s="17"/>
      <c r="T424" s="17"/>
      <c r="U424" s="17"/>
      <c r="V424" s="17"/>
      <c r="W424" s="17"/>
      <c r="X424" s="17"/>
      <c r="Y424" s="17"/>
      <c r="Z424" s="16"/>
      <c r="AA424" s="15"/>
      <c r="AB424" s="4"/>
      <c r="AC424" s="14"/>
      <c r="AD424" s="13"/>
    </row>
    <row r="425" spans="1:30">
      <c r="A425" s="20"/>
      <c r="B425" s="11"/>
      <c r="C425" s="10"/>
      <c r="D425" s="10"/>
      <c r="E425" s="10"/>
      <c r="G425" s="19"/>
      <c r="H425" s="19"/>
      <c r="I425" s="19"/>
      <c r="J425" s="19"/>
      <c r="K425" s="19"/>
      <c r="L425" s="18"/>
      <c r="M425" s="18"/>
      <c r="N425" s="18"/>
      <c r="O425" s="18"/>
      <c r="P425" s="18"/>
      <c r="R425" s="17"/>
      <c r="S425" s="17"/>
      <c r="T425" s="17"/>
      <c r="U425" s="17"/>
      <c r="V425" s="17"/>
      <c r="W425" s="17"/>
      <c r="X425" s="17"/>
      <c r="Y425" s="17"/>
      <c r="Z425" s="16"/>
      <c r="AA425" s="15"/>
      <c r="AB425" s="4"/>
      <c r="AC425" s="14"/>
      <c r="AD425" s="13"/>
    </row>
    <row r="426" spans="1:30">
      <c r="A426" s="20"/>
      <c r="B426" s="11"/>
      <c r="C426" s="10"/>
      <c r="D426" s="10"/>
      <c r="E426" s="10"/>
      <c r="G426" s="19"/>
      <c r="H426" s="19"/>
      <c r="I426" s="19"/>
      <c r="J426" s="19"/>
      <c r="K426" s="19"/>
      <c r="L426" s="18"/>
      <c r="M426" s="18"/>
      <c r="N426" s="18"/>
      <c r="O426" s="18"/>
      <c r="P426" s="18"/>
      <c r="R426" s="17"/>
      <c r="S426" s="17"/>
      <c r="T426" s="17"/>
      <c r="U426" s="17"/>
      <c r="V426" s="17"/>
      <c r="W426" s="17"/>
      <c r="X426" s="17"/>
      <c r="Y426" s="17"/>
      <c r="Z426" s="16"/>
      <c r="AA426" s="15"/>
      <c r="AB426" s="4"/>
      <c r="AC426" s="14"/>
      <c r="AD426" s="13"/>
    </row>
    <row r="427" spans="1:30">
      <c r="A427" s="20"/>
      <c r="B427" s="11"/>
      <c r="C427" s="10"/>
      <c r="D427" s="10"/>
      <c r="E427" s="10"/>
      <c r="G427" s="19"/>
      <c r="H427" s="19"/>
      <c r="I427" s="19"/>
      <c r="J427" s="19"/>
      <c r="K427" s="19"/>
      <c r="L427" s="18"/>
      <c r="M427" s="18"/>
      <c r="N427" s="18"/>
      <c r="O427" s="18"/>
      <c r="P427" s="18"/>
      <c r="R427" s="17"/>
      <c r="S427" s="17"/>
      <c r="T427" s="17"/>
      <c r="U427" s="17"/>
      <c r="V427" s="17"/>
      <c r="W427" s="17"/>
      <c r="X427" s="17"/>
      <c r="Y427" s="17"/>
      <c r="Z427" s="16"/>
      <c r="AA427" s="15"/>
      <c r="AB427" s="4"/>
      <c r="AC427" s="14"/>
      <c r="AD427" s="13"/>
    </row>
    <row r="428" spans="1:30">
      <c r="A428" s="20"/>
      <c r="B428" s="11"/>
      <c r="C428" s="10"/>
      <c r="D428" s="10"/>
      <c r="E428" s="10"/>
      <c r="G428" s="19"/>
      <c r="H428" s="19"/>
      <c r="I428" s="19"/>
      <c r="J428" s="19"/>
      <c r="K428" s="19"/>
      <c r="L428" s="18"/>
      <c r="M428" s="18"/>
      <c r="N428" s="18"/>
      <c r="O428" s="18"/>
      <c r="P428" s="18"/>
      <c r="R428" s="17"/>
      <c r="S428" s="17"/>
      <c r="T428" s="17"/>
      <c r="U428" s="17"/>
      <c r="V428" s="17"/>
      <c r="W428" s="17"/>
      <c r="X428" s="17"/>
      <c r="Y428" s="17"/>
      <c r="Z428" s="16"/>
      <c r="AA428" s="15"/>
      <c r="AB428" s="4"/>
      <c r="AC428" s="14"/>
      <c r="AD428" s="13"/>
    </row>
    <row r="429" spans="1:30">
      <c r="A429" s="20"/>
      <c r="B429" s="11"/>
      <c r="C429" s="10"/>
      <c r="D429" s="10"/>
      <c r="E429" s="10"/>
      <c r="G429" s="19"/>
      <c r="H429" s="19"/>
      <c r="I429" s="19"/>
      <c r="J429" s="19"/>
      <c r="K429" s="19"/>
      <c r="L429" s="18"/>
      <c r="M429" s="18"/>
      <c r="N429" s="18"/>
      <c r="O429" s="18"/>
      <c r="P429" s="18"/>
      <c r="R429" s="17"/>
      <c r="S429" s="17"/>
      <c r="T429" s="17"/>
      <c r="U429" s="17"/>
      <c r="V429" s="17"/>
      <c r="W429" s="17"/>
      <c r="X429" s="17"/>
      <c r="Y429" s="17"/>
      <c r="Z429" s="16"/>
      <c r="AA429" s="15"/>
      <c r="AB429" s="4"/>
      <c r="AC429" s="14"/>
      <c r="AD429" s="13"/>
    </row>
    <row r="430" spans="1:30">
      <c r="A430" s="20"/>
      <c r="B430" s="11"/>
      <c r="C430" s="10"/>
      <c r="D430" s="10"/>
      <c r="E430" s="10"/>
      <c r="G430" s="19"/>
      <c r="H430" s="19"/>
      <c r="I430" s="19"/>
      <c r="J430" s="19"/>
      <c r="K430" s="19"/>
      <c r="L430" s="18"/>
      <c r="M430" s="18"/>
      <c r="N430" s="18"/>
      <c r="O430" s="18"/>
      <c r="P430" s="18"/>
      <c r="R430" s="17"/>
      <c r="S430" s="17"/>
      <c r="T430" s="17"/>
      <c r="U430" s="17"/>
      <c r="V430" s="17"/>
      <c r="W430" s="17"/>
      <c r="X430" s="17"/>
      <c r="Y430" s="17"/>
      <c r="Z430" s="16"/>
      <c r="AA430" s="15"/>
      <c r="AB430" s="4"/>
      <c r="AC430" s="14"/>
      <c r="AD430" s="13"/>
    </row>
    <row r="431" spans="1:30">
      <c r="A431" s="20"/>
      <c r="B431" s="11"/>
      <c r="C431" s="10"/>
      <c r="D431" s="10"/>
      <c r="E431" s="10"/>
      <c r="G431" s="19"/>
      <c r="H431" s="19"/>
      <c r="I431" s="19"/>
      <c r="J431" s="19"/>
      <c r="K431" s="19"/>
      <c r="L431" s="18"/>
      <c r="M431" s="18"/>
      <c r="N431" s="18"/>
      <c r="O431" s="18"/>
      <c r="P431" s="18"/>
      <c r="R431" s="17"/>
      <c r="S431" s="17"/>
      <c r="T431" s="17"/>
      <c r="U431" s="17"/>
      <c r="V431" s="17"/>
      <c r="W431" s="17"/>
      <c r="X431" s="17"/>
      <c r="Y431" s="17"/>
      <c r="Z431" s="16"/>
      <c r="AA431" s="15"/>
      <c r="AB431" s="4"/>
      <c r="AC431" s="14"/>
      <c r="AD431" s="13"/>
    </row>
    <row r="432" spans="1:30">
      <c r="A432" s="20"/>
      <c r="B432" s="11"/>
      <c r="C432" s="10"/>
      <c r="D432" s="10"/>
      <c r="E432" s="10"/>
      <c r="G432" s="19"/>
      <c r="H432" s="19"/>
      <c r="I432" s="19"/>
      <c r="J432" s="19"/>
      <c r="K432" s="19"/>
      <c r="L432" s="18"/>
      <c r="M432" s="18"/>
      <c r="N432" s="18"/>
      <c r="O432" s="18"/>
      <c r="P432" s="18"/>
      <c r="R432" s="17"/>
      <c r="S432" s="17"/>
      <c r="T432" s="17"/>
      <c r="U432" s="17"/>
      <c r="V432" s="17"/>
      <c r="W432" s="17"/>
      <c r="X432" s="17"/>
      <c r="Y432" s="17"/>
      <c r="Z432" s="16"/>
      <c r="AA432" s="15"/>
      <c r="AB432" s="4"/>
      <c r="AC432" s="14"/>
      <c r="AD432" s="13"/>
    </row>
    <row r="433" spans="1:30">
      <c r="A433" s="20"/>
      <c r="B433" s="11"/>
      <c r="C433" s="10"/>
      <c r="D433" s="10"/>
      <c r="E433" s="10"/>
      <c r="G433" s="19"/>
      <c r="H433" s="19"/>
      <c r="I433" s="19"/>
      <c r="J433" s="19"/>
      <c r="K433" s="19"/>
      <c r="L433" s="18"/>
      <c r="M433" s="18"/>
      <c r="N433" s="18"/>
      <c r="O433" s="18"/>
      <c r="P433" s="18"/>
      <c r="R433" s="17"/>
      <c r="S433" s="17"/>
      <c r="T433" s="17"/>
      <c r="U433" s="17"/>
      <c r="V433" s="17"/>
      <c r="W433" s="17"/>
      <c r="X433" s="17"/>
      <c r="Y433" s="17"/>
      <c r="Z433" s="16"/>
      <c r="AA433" s="15"/>
      <c r="AB433" s="4"/>
      <c r="AC433" s="14"/>
      <c r="AD433" s="13"/>
    </row>
    <row r="434" spans="1:30">
      <c r="A434" s="20"/>
      <c r="B434" s="11"/>
      <c r="C434" s="10"/>
      <c r="D434" s="10"/>
      <c r="E434" s="10"/>
      <c r="G434" s="19"/>
      <c r="H434" s="19"/>
      <c r="I434" s="19"/>
      <c r="J434" s="19"/>
      <c r="K434" s="19"/>
      <c r="L434" s="18"/>
      <c r="M434" s="18"/>
      <c r="N434" s="18"/>
      <c r="O434" s="18"/>
      <c r="P434" s="18"/>
      <c r="R434" s="17"/>
      <c r="S434" s="17"/>
      <c r="T434" s="17"/>
      <c r="U434" s="17"/>
      <c r="V434" s="17"/>
      <c r="W434" s="17"/>
      <c r="X434" s="17"/>
      <c r="Y434" s="17"/>
      <c r="Z434" s="16"/>
      <c r="AA434" s="15"/>
      <c r="AB434" s="4"/>
      <c r="AC434" s="14"/>
      <c r="AD434" s="13"/>
    </row>
    <row r="435" spans="1:30">
      <c r="A435" s="20"/>
      <c r="B435" s="11"/>
      <c r="C435" s="10"/>
      <c r="D435" s="10"/>
      <c r="E435" s="10"/>
      <c r="G435" s="19"/>
      <c r="H435" s="19"/>
      <c r="I435" s="19"/>
      <c r="J435" s="19"/>
      <c r="K435" s="19"/>
      <c r="L435" s="18"/>
      <c r="M435" s="18"/>
      <c r="N435" s="18"/>
      <c r="O435" s="18"/>
      <c r="P435" s="18"/>
      <c r="R435" s="17"/>
      <c r="S435" s="17"/>
      <c r="T435" s="17"/>
      <c r="U435" s="17"/>
      <c r="V435" s="17"/>
      <c r="W435" s="17"/>
      <c r="X435" s="17"/>
      <c r="Y435" s="17"/>
      <c r="Z435" s="16"/>
      <c r="AA435" s="15"/>
      <c r="AB435" s="4"/>
      <c r="AC435" s="14"/>
      <c r="AD435" s="13"/>
    </row>
    <row r="436" spans="1:30">
      <c r="A436" s="20"/>
      <c r="B436" s="11"/>
      <c r="C436" s="10"/>
      <c r="D436" s="10"/>
      <c r="E436" s="10"/>
      <c r="G436" s="19"/>
      <c r="H436" s="19"/>
      <c r="I436" s="19"/>
      <c r="J436" s="19"/>
      <c r="K436" s="19"/>
      <c r="L436" s="18"/>
      <c r="M436" s="18"/>
      <c r="N436" s="18"/>
      <c r="O436" s="18"/>
      <c r="P436" s="18"/>
      <c r="R436" s="17"/>
      <c r="S436" s="17"/>
      <c r="T436" s="17"/>
      <c r="U436" s="17"/>
      <c r="V436" s="17"/>
      <c r="W436" s="17"/>
      <c r="X436" s="17"/>
      <c r="Y436" s="17"/>
      <c r="Z436" s="16"/>
      <c r="AA436" s="15"/>
      <c r="AB436" s="4"/>
      <c r="AC436" s="14"/>
      <c r="AD436" s="13"/>
    </row>
    <row r="437" spans="1:30">
      <c r="A437" s="20"/>
      <c r="B437" s="11"/>
      <c r="C437" s="10"/>
      <c r="D437" s="10"/>
      <c r="E437" s="10"/>
      <c r="G437" s="19"/>
      <c r="H437" s="19"/>
      <c r="I437" s="19"/>
      <c r="J437" s="19"/>
      <c r="K437" s="19"/>
      <c r="L437" s="18"/>
      <c r="M437" s="18"/>
      <c r="N437" s="18"/>
      <c r="O437" s="18"/>
      <c r="P437" s="18"/>
      <c r="R437" s="17"/>
      <c r="S437" s="17"/>
      <c r="T437" s="17"/>
      <c r="U437" s="17"/>
      <c r="V437" s="17"/>
      <c r="W437" s="17"/>
      <c r="X437" s="17"/>
      <c r="Y437" s="17"/>
      <c r="Z437" s="16"/>
      <c r="AA437" s="15"/>
      <c r="AB437" s="4"/>
      <c r="AC437" s="14"/>
      <c r="AD437" s="13"/>
    </row>
    <row r="438" spans="1:30">
      <c r="A438" s="20"/>
      <c r="B438" s="11"/>
      <c r="C438" s="10"/>
      <c r="D438" s="10"/>
      <c r="E438" s="10"/>
      <c r="G438" s="19"/>
      <c r="H438" s="19"/>
      <c r="I438" s="19"/>
      <c r="J438" s="19"/>
      <c r="K438" s="19"/>
      <c r="L438" s="18"/>
      <c r="M438" s="18"/>
      <c r="N438" s="18"/>
      <c r="O438" s="18"/>
      <c r="P438" s="18"/>
      <c r="R438" s="17"/>
      <c r="S438" s="17"/>
      <c r="T438" s="17"/>
      <c r="U438" s="17"/>
      <c r="V438" s="17"/>
      <c r="W438" s="17"/>
      <c r="X438" s="17"/>
      <c r="Y438" s="17"/>
      <c r="Z438" s="16"/>
      <c r="AA438" s="15"/>
      <c r="AB438" s="4"/>
      <c r="AC438" s="14"/>
      <c r="AD438" s="13"/>
    </row>
    <row r="439" spans="1:30">
      <c r="A439" s="20"/>
      <c r="B439" s="11"/>
      <c r="C439" s="10"/>
      <c r="D439" s="10"/>
      <c r="E439" s="10"/>
      <c r="G439" s="19"/>
      <c r="H439" s="19"/>
      <c r="I439" s="19"/>
      <c r="J439" s="19"/>
      <c r="K439" s="19"/>
      <c r="L439" s="18"/>
      <c r="M439" s="18"/>
      <c r="N439" s="18"/>
      <c r="O439" s="18"/>
      <c r="P439" s="18"/>
      <c r="R439" s="17"/>
      <c r="S439" s="17"/>
      <c r="T439" s="17"/>
      <c r="U439" s="17"/>
      <c r="V439" s="17"/>
      <c r="W439" s="17"/>
      <c r="X439" s="17"/>
      <c r="Y439" s="17"/>
      <c r="Z439" s="16"/>
      <c r="AA439" s="15"/>
      <c r="AB439" s="4"/>
      <c r="AC439" s="14"/>
      <c r="AD439" s="13"/>
    </row>
    <row r="440" spans="1:30">
      <c r="A440" s="20"/>
      <c r="B440" s="11"/>
      <c r="C440" s="10"/>
      <c r="D440" s="10"/>
      <c r="E440" s="10"/>
      <c r="G440" s="19"/>
      <c r="H440" s="19"/>
      <c r="I440" s="19"/>
      <c r="J440" s="19"/>
      <c r="K440" s="19"/>
      <c r="L440" s="18"/>
      <c r="M440" s="18"/>
      <c r="N440" s="18"/>
      <c r="O440" s="18"/>
      <c r="P440" s="18"/>
      <c r="R440" s="17"/>
      <c r="S440" s="17"/>
      <c r="T440" s="17"/>
      <c r="U440" s="17"/>
      <c r="V440" s="17"/>
      <c r="W440" s="17"/>
      <c r="X440" s="17"/>
      <c r="Y440" s="17"/>
      <c r="Z440" s="16"/>
      <c r="AA440" s="15"/>
      <c r="AB440" s="4"/>
      <c r="AC440" s="14"/>
      <c r="AD440" s="13"/>
    </row>
    <row r="441" spans="1:30">
      <c r="A441" s="20"/>
      <c r="B441" s="11"/>
      <c r="C441" s="10"/>
      <c r="D441" s="10"/>
      <c r="E441" s="10"/>
      <c r="G441" s="19"/>
      <c r="H441" s="19"/>
      <c r="I441" s="19"/>
      <c r="J441" s="19"/>
      <c r="K441" s="19"/>
      <c r="L441" s="18"/>
      <c r="M441" s="18"/>
      <c r="N441" s="18"/>
      <c r="O441" s="18"/>
      <c r="P441" s="18"/>
      <c r="R441" s="17"/>
      <c r="S441" s="17"/>
      <c r="T441" s="17"/>
      <c r="U441" s="17"/>
      <c r="V441" s="17"/>
      <c r="W441" s="17"/>
      <c r="X441" s="17"/>
      <c r="Y441" s="17"/>
      <c r="Z441" s="16"/>
      <c r="AA441" s="15"/>
      <c r="AB441" s="4"/>
      <c r="AC441" s="14"/>
      <c r="AD441" s="13"/>
    </row>
    <row r="442" spans="1:30">
      <c r="A442" s="20"/>
      <c r="B442" s="11"/>
      <c r="C442" s="10"/>
      <c r="D442" s="10"/>
      <c r="E442" s="10"/>
      <c r="G442" s="19"/>
      <c r="H442" s="19"/>
      <c r="I442" s="19"/>
      <c r="J442" s="19"/>
      <c r="K442" s="19"/>
      <c r="L442" s="18"/>
      <c r="M442" s="18"/>
      <c r="N442" s="18"/>
      <c r="O442" s="18"/>
      <c r="P442" s="18"/>
      <c r="R442" s="17"/>
      <c r="S442" s="17"/>
      <c r="T442" s="17"/>
      <c r="U442" s="17"/>
      <c r="V442" s="17"/>
      <c r="W442" s="17"/>
      <c r="X442" s="17"/>
      <c r="Y442" s="17"/>
      <c r="Z442" s="16"/>
      <c r="AA442" s="15"/>
      <c r="AB442" s="4"/>
      <c r="AC442" s="14"/>
      <c r="AD442" s="13"/>
    </row>
    <row r="443" spans="1:30">
      <c r="A443" s="20"/>
      <c r="B443" s="11"/>
      <c r="C443" s="10"/>
      <c r="D443" s="10"/>
      <c r="E443" s="10"/>
      <c r="G443" s="19"/>
      <c r="H443" s="19"/>
      <c r="I443" s="19"/>
      <c r="J443" s="19"/>
      <c r="K443" s="19"/>
      <c r="L443" s="18"/>
      <c r="M443" s="18"/>
      <c r="N443" s="18"/>
      <c r="O443" s="18"/>
      <c r="P443" s="18"/>
      <c r="R443" s="17"/>
      <c r="S443" s="17"/>
      <c r="T443" s="17"/>
      <c r="U443" s="17"/>
      <c r="V443" s="17"/>
      <c r="W443" s="17"/>
      <c r="X443" s="17"/>
      <c r="Y443" s="17"/>
      <c r="Z443" s="16"/>
      <c r="AA443" s="15"/>
      <c r="AB443" s="4"/>
      <c r="AC443" s="14"/>
      <c r="AD443" s="13"/>
    </row>
    <row r="444" spans="1:30">
      <c r="A444" s="20"/>
      <c r="B444" s="11"/>
      <c r="C444" s="10"/>
      <c r="D444" s="10"/>
      <c r="E444" s="10"/>
      <c r="G444" s="19"/>
      <c r="H444" s="19"/>
      <c r="I444" s="19"/>
      <c r="J444" s="19"/>
      <c r="K444" s="19"/>
      <c r="L444" s="18"/>
      <c r="M444" s="18"/>
      <c r="N444" s="18"/>
      <c r="O444" s="18"/>
      <c r="P444" s="18"/>
      <c r="R444" s="17"/>
      <c r="S444" s="17"/>
      <c r="T444" s="17"/>
      <c r="U444" s="17"/>
      <c r="V444" s="17"/>
      <c r="W444" s="17"/>
      <c r="X444" s="17"/>
      <c r="Y444" s="17"/>
      <c r="Z444" s="16"/>
      <c r="AA444" s="15"/>
      <c r="AB444" s="4"/>
      <c r="AC444" s="14"/>
      <c r="AD444" s="13"/>
    </row>
    <row r="445" spans="1:30">
      <c r="A445" s="20"/>
      <c r="B445" s="11"/>
      <c r="C445" s="10"/>
      <c r="D445" s="10"/>
      <c r="E445" s="10"/>
      <c r="G445" s="19"/>
      <c r="H445" s="19"/>
      <c r="I445" s="19"/>
      <c r="J445" s="19"/>
      <c r="K445" s="19"/>
      <c r="L445" s="18"/>
      <c r="M445" s="18"/>
      <c r="N445" s="18"/>
      <c r="O445" s="18"/>
      <c r="P445" s="18"/>
      <c r="R445" s="17"/>
      <c r="S445" s="17"/>
      <c r="T445" s="17"/>
      <c r="U445" s="17"/>
      <c r="V445" s="17"/>
      <c r="W445" s="17"/>
      <c r="X445" s="17"/>
      <c r="Y445" s="17"/>
      <c r="Z445" s="16"/>
      <c r="AA445" s="15"/>
      <c r="AB445" s="4"/>
      <c r="AC445" s="14"/>
      <c r="AD445" s="13"/>
    </row>
    <row r="446" spans="1:30">
      <c r="A446" s="20"/>
      <c r="B446" s="11"/>
      <c r="C446" s="10"/>
      <c r="D446" s="10"/>
      <c r="E446" s="10"/>
      <c r="G446" s="19"/>
      <c r="H446" s="19"/>
      <c r="I446" s="19"/>
      <c r="J446" s="19"/>
      <c r="K446" s="19"/>
      <c r="L446" s="18"/>
      <c r="M446" s="18"/>
      <c r="N446" s="18"/>
      <c r="O446" s="18"/>
      <c r="P446" s="18"/>
      <c r="R446" s="17"/>
      <c r="S446" s="17"/>
      <c r="T446" s="17"/>
      <c r="U446" s="17"/>
      <c r="V446" s="17"/>
      <c r="W446" s="17"/>
      <c r="X446" s="17"/>
      <c r="Y446" s="17"/>
      <c r="Z446" s="16"/>
      <c r="AA446" s="15"/>
      <c r="AB446" s="4"/>
      <c r="AC446" s="14"/>
      <c r="AD446" s="13"/>
    </row>
    <row r="447" spans="1:30">
      <c r="A447" s="20"/>
      <c r="B447" s="11"/>
      <c r="C447" s="10"/>
      <c r="D447" s="10"/>
      <c r="E447" s="10"/>
      <c r="G447" s="19"/>
      <c r="H447" s="19"/>
      <c r="I447" s="19"/>
      <c r="J447" s="19"/>
      <c r="K447" s="19"/>
      <c r="L447" s="18"/>
      <c r="M447" s="18"/>
      <c r="N447" s="18"/>
      <c r="O447" s="18"/>
      <c r="P447" s="18"/>
      <c r="R447" s="17"/>
      <c r="S447" s="17"/>
      <c r="T447" s="17"/>
      <c r="U447" s="17"/>
      <c r="V447" s="17"/>
      <c r="W447" s="17"/>
      <c r="X447" s="17"/>
      <c r="Y447" s="17"/>
      <c r="Z447" s="16"/>
      <c r="AA447" s="15"/>
      <c r="AB447" s="4"/>
      <c r="AC447" s="14"/>
      <c r="AD447" s="13"/>
    </row>
    <row r="448" spans="1:30">
      <c r="A448" s="20"/>
      <c r="B448" s="11"/>
      <c r="C448" s="10"/>
      <c r="D448" s="10"/>
      <c r="E448" s="10"/>
      <c r="G448" s="19"/>
      <c r="H448" s="19"/>
      <c r="I448" s="19"/>
      <c r="J448" s="19"/>
      <c r="K448" s="19"/>
      <c r="L448" s="18"/>
      <c r="M448" s="18"/>
      <c r="N448" s="18"/>
      <c r="O448" s="18"/>
      <c r="P448" s="18"/>
      <c r="R448" s="17"/>
      <c r="S448" s="17"/>
      <c r="T448" s="17"/>
      <c r="U448" s="17"/>
      <c r="V448" s="17"/>
      <c r="W448" s="17"/>
      <c r="X448" s="17"/>
      <c r="Y448" s="17"/>
      <c r="Z448" s="16"/>
      <c r="AA448" s="15"/>
      <c r="AB448" s="4"/>
      <c r="AC448" s="14"/>
      <c r="AD448" s="13"/>
    </row>
    <row r="449" spans="1:30">
      <c r="A449" s="20"/>
      <c r="B449" s="11"/>
      <c r="C449" s="10"/>
      <c r="D449" s="10"/>
      <c r="E449" s="10"/>
      <c r="G449" s="19"/>
      <c r="H449" s="19"/>
      <c r="I449" s="19"/>
      <c r="J449" s="19"/>
      <c r="K449" s="19"/>
      <c r="L449" s="18"/>
      <c r="M449" s="18"/>
      <c r="N449" s="18"/>
      <c r="O449" s="18"/>
      <c r="P449" s="18"/>
      <c r="R449" s="17"/>
      <c r="S449" s="17"/>
      <c r="T449" s="17"/>
      <c r="U449" s="17"/>
      <c r="V449" s="17"/>
      <c r="W449" s="17"/>
      <c r="X449" s="17"/>
      <c r="Y449" s="17"/>
      <c r="Z449" s="16"/>
      <c r="AA449" s="15"/>
      <c r="AB449" s="4"/>
      <c r="AC449" s="14"/>
      <c r="AD449" s="13"/>
    </row>
    <row r="450" spans="1:30">
      <c r="A450" s="20"/>
      <c r="B450" s="11"/>
      <c r="C450" s="10"/>
      <c r="D450" s="10"/>
      <c r="E450" s="10"/>
      <c r="G450" s="19"/>
      <c r="H450" s="19"/>
      <c r="I450" s="19"/>
      <c r="J450" s="19"/>
      <c r="K450" s="19"/>
      <c r="L450" s="18"/>
      <c r="M450" s="18"/>
      <c r="N450" s="18"/>
      <c r="O450" s="18"/>
      <c r="P450" s="18"/>
      <c r="R450" s="17"/>
      <c r="S450" s="17"/>
      <c r="T450" s="17"/>
      <c r="U450" s="17"/>
      <c r="V450" s="17"/>
      <c r="W450" s="17"/>
      <c r="X450" s="17"/>
      <c r="Y450" s="17"/>
      <c r="Z450" s="16"/>
      <c r="AA450" s="15"/>
      <c r="AB450" s="4"/>
      <c r="AC450" s="14"/>
      <c r="AD450" s="13"/>
    </row>
    <row r="451" spans="1:30">
      <c r="A451" s="20"/>
      <c r="B451" s="11"/>
      <c r="C451" s="10"/>
      <c r="D451" s="10"/>
      <c r="E451" s="10"/>
      <c r="G451" s="19"/>
      <c r="H451" s="19"/>
      <c r="I451" s="19"/>
      <c r="J451" s="19"/>
      <c r="K451" s="19"/>
      <c r="L451" s="18"/>
      <c r="M451" s="18"/>
      <c r="N451" s="18"/>
      <c r="O451" s="18"/>
      <c r="P451" s="18"/>
      <c r="R451" s="17"/>
      <c r="S451" s="17"/>
      <c r="T451" s="17"/>
      <c r="U451" s="17"/>
      <c r="V451" s="17"/>
      <c r="W451" s="17"/>
      <c r="X451" s="17"/>
      <c r="Y451" s="17"/>
      <c r="Z451" s="16"/>
      <c r="AA451" s="15"/>
      <c r="AB451" s="4"/>
      <c r="AC451" s="14"/>
      <c r="AD451" s="13"/>
    </row>
    <row r="452" spans="1:30">
      <c r="A452" s="20"/>
      <c r="B452" s="11"/>
      <c r="C452" s="10"/>
      <c r="D452" s="10"/>
      <c r="E452" s="10"/>
      <c r="G452" s="19"/>
      <c r="H452" s="19"/>
      <c r="I452" s="19"/>
      <c r="J452" s="19"/>
      <c r="K452" s="19"/>
      <c r="L452" s="18"/>
      <c r="M452" s="18"/>
      <c r="N452" s="18"/>
      <c r="O452" s="18"/>
      <c r="P452" s="18"/>
      <c r="R452" s="17"/>
      <c r="S452" s="17"/>
      <c r="T452" s="17"/>
      <c r="U452" s="17"/>
      <c r="V452" s="17"/>
      <c r="W452" s="17"/>
      <c r="X452" s="17"/>
      <c r="Y452" s="17"/>
      <c r="Z452" s="16"/>
      <c r="AA452" s="15"/>
      <c r="AB452" s="4"/>
      <c r="AC452" s="14"/>
      <c r="AD452" s="13"/>
    </row>
    <row r="453" spans="1:30">
      <c r="A453" s="20"/>
      <c r="B453" s="11"/>
      <c r="C453" s="10"/>
      <c r="D453" s="10"/>
      <c r="E453" s="10"/>
      <c r="G453" s="19"/>
      <c r="H453" s="19"/>
      <c r="I453" s="19"/>
      <c r="J453" s="19"/>
      <c r="K453" s="19"/>
      <c r="L453" s="18"/>
      <c r="M453" s="18"/>
      <c r="N453" s="18"/>
      <c r="O453" s="18"/>
      <c r="P453" s="18"/>
      <c r="R453" s="17"/>
      <c r="S453" s="17"/>
      <c r="T453" s="17"/>
      <c r="U453" s="17"/>
      <c r="V453" s="17"/>
      <c r="W453" s="17"/>
      <c r="X453" s="17"/>
      <c r="Y453" s="17"/>
      <c r="Z453" s="16"/>
      <c r="AA453" s="15"/>
      <c r="AB453" s="4"/>
      <c r="AC453" s="14"/>
      <c r="AD453" s="13"/>
    </row>
    <row r="454" spans="1:30">
      <c r="A454" s="20"/>
      <c r="B454" s="11"/>
      <c r="C454" s="10"/>
      <c r="D454" s="10"/>
      <c r="E454" s="10"/>
      <c r="G454" s="19"/>
      <c r="H454" s="19"/>
      <c r="I454" s="19"/>
      <c r="J454" s="19"/>
      <c r="K454" s="19"/>
      <c r="L454" s="18"/>
      <c r="M454" s="18"/>
      <c r="N454" s="18"/>
      <c r="O454" s="18"/>
      <c r="P454" s="18"/>
      <c r="R454" s="17"/>
      <c r="S454" s="17"/>
      <c r="T454" s="17"/>
      <c r="U454" s="17"/>
      <c r="V454" s="17"/>
      <c r="W454" s="17"/>
      <c r="X454" s="17"/>
      <c r="Y454" s="17"/>
      <c r="Z454" s="16"/>
      <c r="AA454" s="15"/>
      <c r="AB454" s="4"/>
      <c r="AC454" s="14"/>
      <c r="AD454" s="13"/>
    </row>
    <row r="455" spans="1:30">
      <c r="A455" s="20"/>
      <c r="B455" s="11"/>
      <c r="C455" s="10"/>
      <c r="D455" s="10"/>
      <c r="E455" s="10"/>
      <c r="G455" s="19"/>
      <c r="H455" s="19"/>
      <c r="I455" s="19"/>
      <c r="J455" s="19"/>
      <c r="K455" s="19"/>
      <c r="L455" s="18"/>
      <c r="M455" s="18"/>
      <c r="N455" s="18"/>
      <c r="O455" s="18"/>
      <c r="P455" s="18"/>
      <c r="R455" s="17"/>
      <c r="S455" s="17"/>
      <c r="T455" s="17"/>
      <c r="U455" s="17"/>
      <c r="V455" s="17"/>
      <c r="W455" s="17"/>
      <c r="X455" s="17"/>
      <c r="Y455" s="17"/>
      <c r="Z455" s="16"/>
      <c r="AA455" s="15"/>
      <c r="AB455" s="4"/>
      <c r="AC455" s="14"/>
      <c r="AD455" s="13"/>
    </row>
    <row r="456" spans="1:30">
      <c r="A456" s="20"/>
      <c r="B456" s="11"/>
      <c r="C456" s="10"/>
      <c r="D456" s="10"/>
      <c r="E456" s="10"/>
      <c r="G456" s="19"/>
      <c r="H456" s="19"/>
      <c r="I456" s="19"/>
      <c r="J456" s="19"/>
      <c r="K456" s="19"/>
      <c r="L456" s="18"/>
      <c r="M456" s="18"/>
      <c r="N456" s="18"/>
      <c r="O456" s="18"/>
      <c r="P456" s="18"/>
      <c r="R456" s="17"/>
      <c r="S456" s="17"/>
      <c r="T456" s="17"/>
      <c r="U456" s="17"/>
      <c r="V456" s="17"/>
      <c r="W456" s="17"/>
      <c r="X456" s="17"/>
      <c r="Y456" s="17"/>
      <c r="Z456" s="16"/>
      <c r="AA456" s="15"/>
      <c r="AB456" s="4"/>
      <c r="AC456" s="14"/>
      <c r="AD456" s="13"/>
    </row>
    <row r="457" spans="1:30">
      <c r="A457" s="20"/>
      <c r="B457" s="11"/>
      <c r="C457" s="10"/>
      <c r="D457" s="10"/>
      <c r="E457" s="10"/>
      <c r="G457" s="19"/>
      <c r="H457" s="19"/>
      <c r="I457" s="19"/>
      <c r="J457" s="19"/>
      <c r="K457" s="19"/>
      <c r="L457" s="18"/>
      <c r="M457" s="18"/>
      <c r="N457" s="18"/>
      <c r="O457" s="18"/>
      <c r="P457" s="18"/>
      <c r="R457" s="17"/>
      <c r="S457" s="17"/>
      <c r="T457" s="17"/>
      <c r="U457" s="17"/>
      <c r="V457" s="17"/>
      <c r="W457" s="17"/>
      <c r="X457" s="17"/>
      <c r="Y457" s="17"/>
      <c r="Z457" s="16"/>
      <c r="AA457" s="15"/>
      <c r="AB457" s="4"/>
      <c r="AC457" s="14"/>
      <c r="AD457" s="13"/>
    </row>
    <row r="458" spans="1:30">
      <c r="A458" s="20"/>
      <c r="B458" s="11"/>
      <c r="C458" s="10"/>
      <c r="D458" s="10"/>
      <c r="E458" s="10"/>
      <c r="G458" s="19"/>
      <c r="H458" s="19"/>
      <c r="I458" s="19"/>
      <c r="J458" s="19"/>
      <c r="K458" s="19"/>
      <c r="L458" s="18"/>
      <c r="M458" s="18"/>
      <c r="N458" s="18"/>
      <c r="O458" s="18"/>
      <c r="P458" s="18"/>
      <c r="R458" s="17"/>
      <c r="S458" s="17"/>
      <c r="T458" s="17"/>
      <c r="U458" s="17"/>
      <c r="V458" s="17"/>
      <c r="W458" s="17"/>
      <c r="X458" s="17"/>
      <c r="Y458" s="17"/>
      <c r="Z458" s="16"/>
      <c r="AA458" s="15"/>
      <c r="AB458" s="4"/>
      <c r="AC458" s="14"/>
      <c r="AD458" s="13"/>
    </row>
    <row r="459" spans="1:30">
      <c r="A459" s="20"/>
      <c r="B459" s="11"/>
      <c r="C459" s="10"/>
      <c r="D459" s="10"/>
      <c r="E459" s="10"/>
      <c r="G459" s="19"/>
      <c r="H459" s="19"/>
      <c r="I459" s="19"/>
      <c r="J459" s="19"/>
      <c r="K459" s="19"/>
      <c r="L459" s="18"/>
      <c r="M459" s="18"/>
      <c r="N459" s="18"/>
      <c r="O459" s="18"/>
      <c r="P459" s="18"/>
      <c r="R459" s="17"/>
      <c r="S459" s="17"/>
      <c r="T459" s="17"/>
      <c r="U459" s="17"/>
      <c r="V459" s="17"/>
      <c r="W459" s="17"/>
      <c r="X459" s="17"/>
      <c r="Y459" s="17"/>
      <c r="Z459" s="16"/>
      <c r="AA459" s="15"/>
      <c r="AB459" s="4"/>
      <c r="AC459" s="14"/>
      <c r="AD459" s="13"/>
    </row>
    <row r="460" spans="1:30">
      <c r="A460" s="20"/>
      <c r="B460" s="11"/>
      <c r="C460" s="10"/>
      <c r="D460" s="10"/>
      <c r="E460" s="10"/>
      <c r="G460" s="19"/>
      <c r="H460" s="19"/>
      <c r="I460" s="19"/>
      <c r="J460" s="19"/>
      <c r="K460" s="19"/>
      <c r="L460" s="18"/>
      <c r="M460" s="18"/>
      <c r="N460" s="18"/>
      <c r="O460" s="18"/>
      <c r="P460" s="18"/>
      <c r="R460" s="17"/>
      <c r="S460" s="17"/>
      <c r="T460" s="17"/>
      <c r="U460" s="17"/>
      <c r="V460" s="17"/>
      <c r="W460" s="17"/>
      <c r="X460" s="17"/>
      <c r="Y460" s="17"/>
      <c r="Z460" s="16"/>
      <c r="AA460" s="15"/>
      <c r="AB460" s="4"/>
      <c r="AC460" s="14"/>
      <c r="AD460" s="13"/>
    </row>
    <row r="461" spans="1:30">
      <c r="A461" s="20"/>
      <c r="B461" s="11"/>
      <c r="C461" s="10"/>
      <c r="D461" s="10"/>
      <c r="E461" s="10"/>
      <c r="G461" s="19"/>
      <c r="H461" s="19"/>
      <c r="I461" s="19"/>
      <c r="J461" s="19"/>
      <c r="K461" s="19"/>
      <c r="L461" s="18"/>
      <c r="M461" s="18"/>
      <c r="N461" s="18"/>
      <c r="O461" s="18"/>
      <c r="P461" s="18"/>
      <c r="R461" s="17"/>
      <c r="S461" s="17"/>
      <c r="T461" s="17"/>
      <c r="U461" s="17"/>
      <c r="V461" s="17"/>
      <c r="W461" s="17"/>
      <c r="X461" s="17"/>
      <c r="Y461" s="17"/>
      <c r="Z461" s="16"/>
      <c r="AA461" s="15"/>
      <c r="AB461" s="4"/>
      <c r="AC461" s="14"/>
      <c r="AD461" s="13"/>
    </row>
    <row r="462" spans="1:30">
      <c r="A462" s="20"/>
      <c r="B462" s="11"/>
      <c r="C462" s="10"/>
      <c r="D462" s="10"/>
      <c r="E462" s="10"/>
      <c r="G462" s="19"/>
      <c r="H462" s="19"/>
      <c r="I462" s="19"/>
      <c r="J462" s="19"/>
      <c r="K462" s="19"/>
      <c r="L462" s="18"/>
      <c r="M462" s="18"/>
      <c r="N462" s="18"/>
      <c r="O462" s="18"/>
      <c r="P462" s="18"/>
      <c r="R462" s="17"/>
      <c r="S462" s="17"/>
      <c r="T462" s="17"/>
      <c r="U462" s="17"/>
      <c r="V462" s="17"/>
      <c r="W462" s="17"/>
      <c r="X462" s="17"/>
      <c r="Y462" s="17"/>
      <c r="Z462" s="16"/>
      <c r="AA462" s="15"/>
      <c r="AB462" s="4"/>
      <c r="AC462" s="14"/>
      <c r="AD462" s="13"/>
    </row>
    <row r="463" spans="1:30">
      <c r="A463" s="20"/>
      <c r="B463" s="11"/>
      <c r="C463" s="10"/>
      <c r="D463" s="10"/>
      <c r="E463" s="10"/>
      <c r="G463" s="19"/>
      <c r="H463" s="19"/>
      <c r="I463" s="19"/>
      <c r="J463" s="19"/>
      <c r="K463" s="19"/>
      <c r="L463" s="18"/>
      <c r="M463" s="18"/>
      <c r="N463" s="18"/>
      <c r="O463" s="18"/>
      <c r="P463" s="18"/>
      <c r="R463" s="17"/>
      <c r="S463" s="17"/>
      <c r="T463" s="17"/>
      <c r="U463" s="17"/>
      <c r="V463" s="17"/>
      <c r="W463" s="17"/>
      <c r="X463" s="17"/>
      <c r="Y463" s="17"/>
      <c r="Z463" s="16"/>
      <c r="AA463" s="15"/>
      <c r="AB463" s="4"/>
      <c r="AC463" s="14"/>
      <c r="AD463" s="13"/>
    </row>
    <row r="464" spans="1:30">
      <c r="A464" s="20"/>
      <c r="B464" s="11"/>
      <c r="C464" s="10"/>
      <c r="D464" s="10"/>
      <c r="E464" s="10"/>
      <c r="G464" s="19"/>
      <c r="H464" s="19"/>
      <c r="I464" s="19"/>
      <c r="J464" s="19"/>
      <c r="K464" s="19"/>
      <c r="L464" s="18"/>
      <c r="M464" s="18"/>
      <c r="N464" s="18"/>
      <c r="O464" s="18"/>
      <c r="P464" s="18"/>
      <c r="R464" s="17"/>
      <c r="S464" s="17"/>
      <c r="T464" s="17"/>
      <c r="U464" s="17"/>
      <c r="V464" s="17"/>
      <c r="W464" s="17"/>
      <c r="X464" s="17"/>
      <c r="Y464" s="17"/>
      <c r="Z464" s="16"/>
      <c r="AA464" s="15"/>
      <c r="AB464" s="4"/>
      <c r="AC464" s="14"/>
      <c r="AD464" s="13"/>
    </row>
    <row r="465" spans="1:30">
      <c r="A465" s="20"/>
      <c r="B465" s="11"/>
      <c r="C465" s="10"/>
      <c r="D465" s="10"/>
      <c r="E465" s="10"/>
      <c r="G465" s="19"/>
      <c r="H465" s="19"/>
      <c r="I465" s="19"/>
      <c r="J465" s="19"/>
      <c r="K465" s="19"/>
      <c r="L465" s="18"/>
      <c r="M465" s="18"/>
      <c r="N465" s="18"/>
      <c r="O465" s="18"/>
      <c r="P465" s="18"/>
      <c r="R465" s="17"/>
      <c r="S465" s="17"/>
      <c r="T465" s="17"/>
      <c r="U465" s="17"/>
      <c r="V465" s="17"/>
      <c r="W465" s="17"/>
      <c r="X465" s="17"/>
      <c r="Y465" s="17"/>
      <c r="Z465" s="16"/>
      <c r="AA465" s="15"/>
      <c r="AB465" s="4"/>
      <c r="AC465" s="14"/>
      <c r="AD465" s="13"/>
    </row>
    <row r="466" spans="1:30">
      <c r="A466" s="20"/>
      <c r="B466" s="11"/>
      <c r="C466" s="10"/>
      <c r="D466" s="10"/>
      <c r="E466" s="10"/>
      <c r="G466" s="19"/>
      <c r="H466" s="19"/>
      <c r="I466" s="19"/>
      <c r="J466" s="19"/>
      <c r="K466" s="19"/>
      <c r="L466" s="18"/>
      <c r="M466" s="18"/>
      <c r="N466" s="18"/>
      <c r="O466" s="18"/>
      <c r="P466" s="18"/>
      <c r="R466" s="17"/>
      <c r="S466" s="17"/>
      <c r="T466" s="17"/>
      <c r="U466" s="17"/>
      <c r="V466" s="17"/>
      <c r="W466" s="17"/>
      <c r="X466" s="17"/>
      <c r="Y466" s="17"/>
      <c r="Z466" s="16"/>
      <c r="AA466" s="15"/>
      <c r="AB466" s="4"/>
      <c r="AC466" s="14"/>
      <c r="AD466" s="13"/>
    </row>
    <row r="467" spans="1:30">
      <c r="A467" s="20"/>
      <c r="B467" s="11"/>
      <c r="C467" s="10"/>
      <c r="D467" s="10"/>
      <c r="E467" s="10"/>
      <c r="G467" s="19"/>
      <c r="H467" s="19"/>
      <c r="I467" s="19"/>
      <c r="J467" s="19"/>
      <c r="K467" s="19"/>
      <c r="L467" s="18"/>
      <c r="M467" s="18"/>
      <c r="N467" s="18"/>
      <c r="O467" s="18"/>
      <c r="P467" s="18"/>
      <c r="R467" s="17"/>
      <c r="S467" s="17"/>
      <c r="T467" s="17"/>
      <c r="U467" s="17"/>
      <c r="V467" s="17"/>
      <c r="W467" s="17"/>
      <c r="X467" s="17"/>
      <c r="Y467" s="17"/>
      <c r="Z467" s="16"/>
      <c r="AA467" s="15"/>
      <c r="AB467" s="4"/>
      <c r="AC467" s="14"/>
      <c r="AD467" s="13"/>
    </row>
    <row r="468" spans="1:30">
      <c r="A468" s="20"/>
      <c r="B468" s="11"/>
      <c r="C468" s="10"/>
      <c r="D468" s="10"/>
      <c r="E468" s="10"/>
      <c r="G468" s="19"/>
      <c r="H468" s="19"/>
      <c r="I468" s="19"/>
      <c r="J468" s="19"/>
      <c r="K468" s="19"/>
      <c r="L468" s="18"/>
      <c r="M468" s="18"/>
      <c r="N468" s="18"/>
      <c r="O468" s="18"/>
      <c r="P468" s="18"/>
      <c r="R468" s="17"/>
      <c r="S468" s="17"/>
      <c r="T468" s="17"/>
      <c r="U468" s="17"/>
      <c r="V468" s="17"/>
      <c r="W468" s="17"/>
      <c r="X468" s="17"/>
      <c r="Y468" s="17"/>
      <c r="Z468" s="16"/>
      <c r="AA468" s="15"/>
      <c r="AB468" s="4"/>
      <c r="AC468" s="14"/>
      <c r="AD468" s="13"/>
    </row>
    <row r="469" spans="1:30">
      <c r="A469" s="20"/>
      <c r="B469" s="11"/>
      <c r="C469" s="10"/>
      <c r="D469" s="10"/>
      <c r="E469" s="10"/>
      <c r="G469" s="19"/>
      <c r="H469" s="19"/>
      <c r="I469" s="19"/>
      <c r="J469" s="19"/>
      <c r="K469" s="19"/>
      <c r="L469" s="18"/>
      <c r="M469" s="18"/>
      <c r="N469" s="18"/>
      <c r="O469" s="18"/>
      <c r="P469" s="18"/>
      <c r="R469" s="17"/>
      <c r="S469" s="17"/>
      <c r="T469" s="17"/>
      <c r="U469" s="17"/>
      <c r="V469" s="17"/>
      <c r="W469" s="17"/>
      <c r="X469" s="17"/>
      <c r="Y469" s="17"/>
      <c r="Z469" s="16"/>
      <c r="AA469" s="15"/>
      <c r="AB469" s="4"/>
      <c r="AC469" s="14"/>
      <c r="AD469" s="13"/>
    </row>
    <row r="470" spans="1:30">
      <c r="A470" s="20"/>
      <c r="B470" s="11"/>
      <c r="C470" s="10"/>
      <c r="D470" s="10"/>
      <c r="E470" s="10"/>
      <c r="G470" s="19"/>
      <c r="H470" s="19"/>
      <c r="I470" s="19"/>
      <c r="J470" s="19"/>
      <c r="K470" s="19"/>
      <c r="L470" s="18"/>
      <c r="M470" s="18"/>
      <c r="N470" s="18"/>
      <c r="O470" s="18"/>
      <c r="P470" s="18"/>
      <c r="R470" s="17"/>
      <c r="S470" s="17"/>
      <c r="T470" s="17"/>
      <c r="U470" s="17"/>
      <c r="V470" s="17"/>
      <c r="W470" s="17"/>
      <c r="X470" s="17"/>
      <c r="Y470" s="17"/>
      <c r="Z470" s="16"/>
      <c r="AA470" s="15"/>
      <c r="AB470" s="4"/>
      <c r="AC470" s="14"/>
      <c r="AD470" s="13"/>
    </row>
    <row r="471" spans="1:30">
      <c r="A471" s="20"/>
      <c r="B471" s="11"/>
      <c r="C471" s="10"/>
      <c r="D471" s="10"/>
      <c r="E471" s="10"/>
      <c r="G471" s="19"/>
      <c r="H471" s="19"/>
      <c r="I471" s="19"/>
      <c r="J471" s="19"/>
      <c r="K471" s="19"/>
      <c r="L471" s="18"/>
      <c r="M471" s="18"/>
      <c r="N471" s="18"/>
      <c r="O471" s="18"/>
      <c r="P471" s="18"/>
      <c r="R471" s="17"/>
      <c r="S471" s="17"/>
      <c r="T471" s="17"/>
      <c r="U471" s="17"/>
      <c r="V471" s="17"/>
      <c r="W471" s="17"/>
      <c r="X471" s="17"/>
      <c r="Y471" s="17"/>
      <c r="Z471" s="16"/>
      <c r="AA471" s="15"/>
      <c r="AB471" s="4"/>
      <c r="AC471" s="14"/>
      <c r="AD471" s="13"/>
    </row>
    <row r="472" spans="1:30">
      <c r="A472" s="20"/>
      <c r="B472" s="11"/>
      <c r="C472" s="10"/>
      <c r="D472" s="10"/>
      <c r="E472" s="10"/>
      <c r="G472" s="19"/>
      <c r="H472" s="19"/>
      <c r="I472" s="19"/>
      <c r="J472" s="19"/>
      <c r="K472" s="19"/>
      <c r="L472" s="18"/>
      <c r="M472" s="18"/>
      <c r="N472" s="18"/>
      <c r="O472" s="18"/>
      <c r="P472" s="18"/>
      <c r="R472" s="17"/>
      <c r="S472" s="17"/>
      <c r="T472" s="17"/>
      <c r="U472" s="17"/>
      <c r="V472" s="17"/>
      <c r="W472" s="17"/>
      <c r="X472" s="17"/>
      <c r="Y472" s="17"/>
      <c r="Z472" s="16"/>
      <c r="AA472" s="15"/>
      <c r="AB472" s="4"/>
      <c r="AC472" s="14"/>
      <c r="AD472" s="13"/>
    </row>
    <row r="473" spans="1:30">
      <c r="A473" s="20"/>
      <c r="B473" s="11"/>
      <c r="C473" s="10"/>
      <c r="D473" s="10"/>
      <c r="E473" s="10"/>
      <c r="G473" s="19"/>
      <c r="H473" s="19"/>
      <c r="I473" s="19"/>
      <c r="J473" s="19"/>
      <c r="K473" s="19"/>
      <c r="L473" s="18"/>
      <c r="M473" s="18"/>
      <c r="N473" s="18"/>
      <c r="O473" s="18"/>
      <c r="P473" s="18"/>
      <c r="R473" s="17"/>
      <c r="S473" s="17"/>
      <c r="T473" s="17"/>
      <c r="U473" s="17"/>
      <c r="V473" s="17"/>
      <c r="W473" s="17"/>
      <c r="X473" s="17"/>
      <c r="Y473" s="17"/>
      <c r="Z473" s="16"/>
      <c r="AA473" s="15"/>
      <c r="AB473" s="4"/>
      <c r="AC473" s="14"/>
      <c r="AD473" s="13"/>
    </row>
    <row r="474" spans="1:30">
      <c r="A474" s="12"/>
      <c r="B474" s="11"/>
      <c r="C474" s="10"/>
      <c r="D474" s="10"/>
      <c r="E474" s="10"/>
      <c r="G474" s="9"/>
      <c r="H474" s="9"/>
      <c r="I474" s="9"/>
      <c r="J474" s="9"/>
      <c r="K474" s="9"/>
      <c r="L474" s="8"/>
      <c r="M474" s="8"/>
      <c r="N474" s="8"/>
      <c r="O474" s="8"/>
      <c r="P474" s="8"/>
      <c r="R474" s="7"/>
      <c r="S474" s="7"/>
      <c r="T474" s="7"/>
      <c r="U474" s="7"/>
      <c r="V474" s="7"/>
      <c r="W474" s="7"/>
      <c r="X474" s="7"/>
      <c r="Y474" s="7"/>
      <c r="Z474" s="6"/>
      <c r="AA474" s="5"/>
      <c r="AB474" s="4"/>
      <c r="AC474" s="3"/>
      <c r="AD474" s="2"/>
    </row>
    <row r="475" spans="1:30">
      <c r="A475" s="12"/>
      <c r="B475" s="11"/>
      <c r="C475" s="10"/>
      <c r="D475" s="10"/>
      <c r="E475" s="10"/>
      <c r="G475" s="9"/>
      <c r="H475" s="9"/>
      <c r="I475" s="9"/>
      <c r="J475" s="9"/>
      <c r="K475" s="9"/>
      <c r="L475" s="8"/>
      <c r="M475" s="8"/>
      <c r="N475" s="8"/>
      <c r="O475" s="8"/>
      <c r="P475" s="8"/>
      <c r="R475" s="7"/>
      <c r="S475" s="7"/>
      <c r="T475" s="7"/>
      <c r="U475" s="7"/>
      <c r="V475" s="7"/>
      <c r="W475" s="7"/>
      <c r="X475" s="7"/>
      <c r="Y475" s="7"/>
      <c r="Z475" s="6"/>
      <c r="AA475" s="5"/>
      <c r="AB475" s="4"/>
      <c r="AC475" s="3"/>
      <c r="AD475" s="2"/>
    </row>
  </sheetData>
  <mergeCells count="6">
    <mergeCell ref="C3:D3"/>
    <mergeCell ref="G3:K3"/>
    <mergeCell ref="L3:P3"/>
    <mergeCell ref="R3:U3"/>
    <mergeCell ref="V3:Y3"/>
    <mergeCell ref="G179:J179"/>
  </mergeCells>
  <printOptions horizontalCentered="1"/>
  <pageMargins left="0.7" right="0.7" top="0.75" bottom="0.75" header="0.3" footer="0.3"/>
  <pageSetup paperSize="17" scale="71" fitToHeight="6" orientation="landscape" r:id="rId1"/>
  <headerFooter>
    <oddFooter>&amp;RPage &amp;P of &amp;N
21 August 2009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475"/>
  <sheetViews>
    <sheetView view="pageBreakPreview" zoomScale="6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" sqref="B2"/>
    </sheetView>
  </sheetViews>
  <sheetFormatPr defaultRowHeight="12.75"/>
  <cols>
    <col min="1" max="1" width="62.7109375" bestFit="1" customWidth="1"/>
    <col min="3" max="3" width="9.85546875" bestFit="1" customWidth="1"/>
    <col min="4" max="4" width="5.140625" bestFit="1" customWidth="1"/>
    <col min="5" max="5" width="14" bestFit="1" customWidth="1"/>
    <col min="6" max="6" width="15.5703125" bestFit="1" customWidth="1"/>
    <col min="7" max="7" width="9.140625" customWidth="1"/>
    <col min="12" max="12" width="15.42578125" hidden="1" customWidth="1"/>
    <col min="13" max="13" width="12" hidden="1" customWidth="1"/>
    <col min="14" max="14" width="14" hidden="1" customWidth="1"/>
    <col min="15" max="16" width="15.140625" hidden="1" customWidth="1"/>
    <col min="17" max="17" width="18.140625" customWidth="1"/>
    <col min="21" max="21" width="15.42578125" bestFit="1" customWidth="1"/>
    <col min="22" max="22" width="14" hidden="1" customWidth="1"/>
    <col min="23" max="23" width="18.42578125" hidden="1" customWidth="1"/>
    <col min="24" max="24" width="14.85546875" hidden="1" customWidth="1"/>
    <col min="25" max="25" width="12.28515625" hidden="1" customWidth="1"/>
    <col min="26" max="26" width="19.42578125" style="1" bestFit="1" customWidth="1"/>
    <col min="30" max="30" width="75" customWidth="1"/>
  </cols>
  <sheetData>
    <row r="1" spans="1:30" ht="23.25">
      <c r="A1" s="338" t="s">
        <v>192</v>
      </c>
      <c r="B1" s="337"/>
      <c r="C1" s="336"/>
      <c r="D1" s="320"/>
      <c r="E1" s="335"/>
      <c r="F1" s="334"/>
      <c r="G1" s="333"/>
      <c r="H1" s="333"/>
      <c r="I1" s="333"/>
      <c r="J1" s="333"/>
      <c r="K1" s="333"/>
      <c r="L1" s="332"/>
      <c r="M1" s="332"/>
      <c r="N1" s="332"/>
      <c r="O1" s="332"/>
      <c r="P1" s="332"/>
      <c r="Q1" s="331"/>
      <c r="R1" s="323"/>
      <c r="S1" s="323"/>
      <c r="T1" s="323"/>
      <c r="U1" s="323"/>
      <c r="V1" s="323"/>
      <c r="W1" s="323"/>
      <c r="X1" s="323"/>
      <c r="Y1" s="323"/>
      <c r="Z1" s="322"/>
      <c r="AA1" s="321"/>
      <c r="AB1" s="320"/>
      <c r="AC1" s="319"/>
      <c r="AD1" s="318"/>
    </row>
    <row r="2" spans="1:30" ht="24" thickBot="1">
      <c r="A2" s="330" t="s">
        <v>193</v>
      </c>
      <c r="B2" s="329" t="s">
        <v>194</v>
      </c>
      <c r="C2" s="328"/>
      <c r="D2" s="327"/>
      <c r="E2" s="326"/>
      <c r="F2" s="325"/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3"/>
      <c r="S2" s="323"/>
      <c r="T2" s="323"/>
      <c r="U2" s="323"/>
      <c r="V2" s="323"/>
      <c r="W2" s="323"/>
      <c r="X2" s="323"/>
      <c r="Y2" s="323"/>
      <c r="Z2" s="322"/>
      <c r="AA2" s="321"/>
      <c r="AB2" s="320"/>
      <c r="AC2" s="319"/>
      <c r="AD2" s="318"/>
    </row>
    <row r="3" spans="1:30" ht="55.5" customHeight="1">
      <c r="A3" s="317" t="s">
        <v>191</v>
      </c>
      <c r="B3" s="316" t="s">
        <v>190</v>
      </c>
      <c r="C3" s="339" t="s">
        <v>189</v>
      </c>
      <c r="D3" s="339"/>
      <c r="E3" s="315" t="s">
        <v>188</v>
      </c>
      <c r="F3" s="314" t="s">
        <v>187</v>
      </c>
      <c r="G3" s="340" t="s">
        <v>186</v>
      </c>
      <c r="H3" s="340"/>
      <c r="I3" s="340"/>
      <c r="J3" s="340"/>
      <c r="K3" s="340"/>
      <c r="L3" s="341" t="s">
        <v>185</v>
      </c>
      <c r="M3" s="341"/>
      <c r="N3" s="341"/>
      <c r="O3" s="341"/>
      <c r="P3" s="341"/>
      <c r="Q3" s="313" t="s">
        <v>184</v>
      </c>
      <c r="R3" s="342" t="s">
        <v>183</v>
      </c>
      <c r="S3" s="342"/>
      <c r="T3" s="342"/>
      <c r="U3" s="342"/>
      <c r="V3" s="342" t="s">
        <v>182</v>
      </c>
      <c r="W3" s="342"/>
      <c r="X3" s="342"/>
      <c r="Y3" s="342"/>
      <c r="Z3" s="312" t="s">
        <v>181</v>
      </c>
      <c r="AA3" s="311" t="s">
        <v>180</v>
      </c>
      <c r="AB3" s="310" t="s">
        <v>179</v>
      </c>
      <c r="AC3" s="309" t="s">
        <v>178</v>
      </c>
      <c r="AD3" s="309" t="s">
        <v>177</v>
      </c>
    </row>
    <row r="4" spans="1:30" ht="109.5">
      <c r="A4" s="308"/>
      <c r="B4" s="307"/>
      <c r="C4" s="306"/>
      <c r="D4" s="305"/>
      <c r="E4" s="304"/>
      <c r="F4" s="303"/>
      <c r="G4" s="302" t="s">
        <v>176</v>
      </c>
      <c r="H4" s="302" t="s">
        <v>175</v>
      </c>
      <c r="I4" s="302" t="s">
        <v>174</v>
      </c>
      <c r="J4" s="302" t="s">
        <v>173</v>
      </c>
      <c r="K4" s="302" t="s">
        <v>172</v>
      </c>
      <c r="L4" s="301" t="s">
        <v>176</v>
      </c>
      <c r="M4" s="301" t="s">
        <v>175</v>
      </c>
      <c r="N4" s="301" t="s">
        <v>174</v>
      </c>
      <c r="O4" s="301" t="s">
        <v>173</v>
      </c>
      <c r="P4" s="301" t="s">
        <v>172</v>
      </c>
      <c r="Q4" s="300"/>
      <c r="R4" s="299" t="s">
        <v>170</v>
      </c>
      <c r="S4" s="299" t="s">
        <v>169</v>
      </c>
      <c r="T4" s="299" t="s">
        <v>171</v>
      </c>
      <c r="U4" s="299" t="s">
        <v>167</v>
      </c>
      <c r="V4" s="298" t="s">
        <v>170</v>
      </c>
      <c r="W4" s="298" t="s">
        <v>169</v>
      </c>
      <c r="X4" s="298" t="s">
        <v>168</v>
      </c>
      <c r="Y4" s="298" t="s">
        <v>167</v>
      </c>
      <c r="Z4" s="297"/>
      <c r="AA4" s="296"/>
      <c r="AB4" s="295" t="s">
        <v>166</v>
      </c>
      <c r="AC4" s="294"/>
      <c r="AD4" s="257"/>
    </row>
    <row r="5" spans="1:30" ht="20.25">
      <c r="A5" s="293" t="s">
        <v>165</v>
      </c>
      <c r="B5" s="292"/>
      <c r="C5" s="291"/>
      <c r="D5" s="290"/>
      <c r="E5" s="289"/>
      <c r="F5" s="288"/>
      <c r="G5" s="286"/>
      <c r="H5" s="286"/>
      <c r="I5" s="286"/>
      <c r="J5" s="287"/>
      <c r="K5" s="286"/>
      <c r="L5" s="285"/>
      <c r="M5" s="285"/>
      <c r="N5" s="285"/>
      <c r="O5" s="285"/>
      <c r="P5" s="285"/>
      <c r="Q5" s="284"/>
      <c r="R5" s="283"/>
      <c r="S5" s="283"/>
      <c r="T5" s="283"/>
      <c r="U5" s="282"/>
      <c r="V5" s="281"/>
      <c r="W5" s="281"/>
      <c r="X5" s="281"/>
      <c r="Y5" s="281"/>
      <c r="Z5" s="280"/>
      <c r="AA5" s="279"/>
      <c r="AB5" s="278"/>
      <c r="AC5" s="277"/>
      <c r="AD5" s="277"/>
    </row>
    <row r="6" spans="1:30" ht="22.5" customHeight="1">
      <c r="A6" s="276" t="s">
        <v>164</v>
      </c>
      <c r="B6" s="275"/>
      <c r="C6" s="274"/>
      <c r="D6" s="273"/>
      <c r="E6" s="272"/>
      <c r="F6" s="271"/>
      <c r="G6" s="269"/>
      <c r="H6" s="269"/>
      <c r="I6" s="269"/>
      <c r="J6" s="270"/>
      <c r="K6" s="269"/>
      <c r="L6" s="268"/>
      <c r="M6" s="268"/>
      <c r="N6" s="268"/>
      <c r="O6" s="268"/>
      <c r="P6" s="268"/>
      <c r="Q6" s="267"/>
      <c r="R6" s="266"/>
      <c r="S6" s="266"/>
      <c r="T6" s="266"/>
      <c r="U6" s="265"/>
      <c r="V6" s="264"/>
      <c r="W6" s="264"/>
      <c r="X6" s="264"/>
      <c r="Y6" s="264"/>
      <c r="Z6" s="263"/>
      <c r="AA6" s="262"/>
      <c r="AB6" s="261"/>
      <c r="AC6" s="260"/>
      <c r="AD6" s="260"/>
    </row>
    <row r="7" spans="1:30" ht="30">
      <c r="A7" s="220" t="s">
        <v>163</v>
      </c>
      <c r="B7" s="191"/>
      <c r="C7" s="237">
        <v>2150</v>
      </c>
      <c r="D7" s="207" t="s">
        <v>3</v>
      </c>
      <c r="E7" s="230">
        <v>50</v>
      </c>
      <c r="F7" s="259">
        <f>E7*C7</f>
        <v>107500</v>
      </c>
      <c r="G7" s="186">
        <v>0.05</v>
      </c>
      <c r="H7" s="186">
        <v>0.02</v>
      </c>
      <c r="I7" s="186">
        <v>0.05</v>
      </c>
      <c r="J7" s="187">
        <v>0.122</v>
      </c>
      <c r="K7" s="186">
        <v>0.1</v>
      </c>
      <c r="L7" s="171">
        <f>F7*G7</f>
        <v>5375</v>
      </c>
      <c r="M7" s="171">
        <f>(F7+L7)*H7</f>
        <v>2257.5</v>
      </c>
      <c r="N7" s="171">
        <f>(F7+L7+M7)*I7</f>
        <v>5756.625</v>
      </c>
      <c r="O7" s="171">
        <f>(F7+L7+M7+N7)*J7</f>
        <v>14748.473249999999</v>
      </c>
      <c r="P7" s="171">
        <f>(F7+L7+M7+N7+O7)*K7</f>
        <v>13563.759825000001</v>
      </c>
      <c r="Q7" s="170">
        <f>F7+SUM(L7:P7)</f>
        <v>149201.358075</v>
      </c>
      <c r="R7" s="185">
        <v>0.05</v>
      </c>
      <c r="S7" s="185">
        <v>0.05</v>
      </c>
      <c r="T7" s="185">
        <v>0.05</v>
      </c>
      <c r="U7" s="184">
        <v>0.1</v>
      </c>
      <c r="V7" s="167">
        <f>Q7*R7</f>
        <v>7460.0679037500004</v>
      </c>
      <c r="W7" s="167">
        <f>Q7*S7</f>
        <v>7460.0679037500004</v>
      </c>
      <c r="X7" s="167">
        <f>Q7*T7</f>
        <v>7460.0679037500004</v>
      </c>
      <c r="Y7" s="167">
        <f>U7*(V7+W7)</f>
        <v>1492.0135807500001</v>
      </c>
      <c r="Z7" s="183">
        <f>Q7+SUM(V7:Y7)</f>
        <v>173073.57536700001</v>
      </c>
      <c r="AA7" s="182">
        <v>75</v>
      </c>
      <c r="AB7" s="181"/>
      <c r="AC7" s="180">
        <v>75</v>
      </c>
      <c r="AD7" s="248"/>
    </row>
    <row r="8" spans="1:30" ht="45">
      <c r="A8" s="220" t="s">
        <v>162</v>
      </c>
      <c r="B8" s="191"/>
      <c r="C8" s="237">
        <v>0</v>
      </c>
      <c r="D8" s="207" t="s">
        <v>3</v>
      </c>
      <c r="E8" s="230">
        <v>25</v>
      </c>
      <c r="F8" s="259">
        <f>E8*C8</f>
        <v>0</v>
      </c>
      <c r="G8" s="186">
        <v>0.05</v>
      </c>
      <c r="H8" s="186">
        <v>0.02</v>
      </c>
      <c r="I8" s="186">
        <v>0.05</v>
      </c>
      <c r="J8" s="187">
        <v>0.122</v>
      </c>
      <c r="K8" s="186">
        <v>0.1</v>
      </c>
      <c r="L8" s="171">
        <f>F8*G8</f>
        <v>0</v>
      </c>
      <c r="M8" s="171">
        <f>(F8+L8)*H8</f>
        <v>0</v>
      </c>
      <c r="N8" s="171">
        <f>(F8+L8+M8)*I8</f>
        <v>0</v>
      </c>
      <c r="O8" s="171">
        <f>(F8+L8+M8+N8)*J8</f>
        <v>0</v>
      </c>
      <c r="P8" s="171">
        <f>(F8+L8+M8+N8+O8)*K8</f>
        <v>0</v>
      </c>
      <c r="Q8" s="170">
        <f>F8+SUM(L8:P8)</f>
        <v>0</v>
      </c>
      <c r="R8" s="185">
        <v>0.05</v>
      </c>
      <c r="S8" s="185">
        <v>0.05</v>
      </c>
      <c r="T8" s="185">
        <v>0.05</v>
      </c>
      <c r="U8" s="184">
        <v>0.1</v>
      </c>
      <c r="V8" s="167">
        <f>Q8*R8</f>
        <v>0</v>
      </c>
      <c r="W8" s="167">
        <f>Q8*S8</f>
        <v>0</v>
      </c>
      <c r="X8" s="167">
        <f>Q8*T8</f>
        <v>0</v>
      </c>
      <c r="Y8" s="167">
        <f>U8*(V8+W8)</f>
        <v>0</v>
      </c>
      <c r="Z8" s="183">
        <f>Q8+SUM(V8:Y8)</f>
        <v>0</v>
      </c>
      <c r="AA8" s="182">
        <v>75</v>
      </c>
      <c r="AB8" s="181"/>
      <c r="AC8" s="180">
        <v>75</v>
      </c>
      <c r="AD8" s="248"/>
    </row>
    <row r="9" spans="1:30" ht="30">
      <c r="A9" s="220" t="s">
        <v>161</v>
      </c>
      <c r="B9" s="191"/>
      <c r="C9" s="237">
        <v>2150</v>
      </c>
      <c r="D9" s="207" t="s">
        <v>3</v>
      </c>
      <c r="E9" s="230">
        <v>75</v>
      </c>
      <c r="F9" s="259">
        <f>E9*C9</f>
        <v>161250</v>
      </c>
      <c r="G9" s="186">
        <v>0.05</v>
      </c>
      <c r="H9" s="186">
        <v>0.02</v>
      </c>
      <c r="I9" s="186">
        <v>0.05</v>
      </c>
      <c r="J9" s="187">
        <v>0.122</v>
      </c>
      <c r="K9" s="186">
        <v>0.1</v>
      </c>
      <c r="L9" s="171">
        <f>F9*G9</f>
        <v>8062.5</v>
      </c>
      <c r="M9" s="171">
        <f>(F9+L9)*H9</f>
        <v>3386.25</v>
      </c>
      <c r="N9" s="171">
        <f>(F9+L9+M9)*I9</f>
        <v>8634.9375</v>
      </c>
      <c r="O9" s="171">
        <f>(F9+L9+M9+N9)*J9</f>
        <v>22122.709875</v>
      </c>
      <c r="P9" s="171">
        <f>(F9+L9+M9+N9+O9)*K9</f>
        <v>20345.639737500002</v>
      </c>
      <c r="Q9" s="170">
        <f>F9+SUM(L9:P9)</f>
        <v>223802.03711249999</v>
      </c>
      <c r="R9" s="185">
        <v>0.05</v>
      </c>
      <c r="S9" s="185">
        <v>0.05</v>
      </c>
      <c r="T9" s="185">
        <v>0.05</v>
      </c>
      <c r="U9" s="184">
        <v>0.1</v>
      </c>
      <c r="V9" s="167">
        <f>Q9*R9</f>
        <v>11190.101855625</v>
      </c>
      <c r="W9" s="167">
        <f>Q9*S9</f>
        <v>11190.101855625</v>
      </c>
      <c r="X9" s="167">
        <f>Q9*T9</f>
        <v>11190.101855625</v>
      </c>
      <c r="Y9" s="167">
        <f>U9*(V9+W9)</f>
        <v>2238.0203711250001</v>
      </c>
      <c r="Z9" s="183">
        <f>Q9+SUM(V9:Y9)</f>
        <v>259610.36305049999</v>
      </c>
      <c r="AA9" s="182">
        <v>75</v>
      </c>
      <c r="AB9" s="181"/>
      <c r="AC9" s="180">
        <v>75</v>
      </c>
      <c r="AD9" s="248"/>
    </row>
    <row r="10" spans="1:30" ht="18">
      <c r="A10" s="229" t="s">
        <v>160</v>
      </c>
      <c r="B10" s="255"/>
      <c r="C10" s="255"/>
      <c r="D10" s="210"/>
      <c r="E10" s="254"/>
      <c r="F10" s="258"/>
      <c r="G10" s="200"/>
      <c r="H10" s="200"/>
      <c r="I10" s="200"/>
      <c r="J10" s="201"/>
      <c r="K10" s="200"/>
      <c r="L10" s="200"/>
      <c r="M10" s="200"/>
      <c r="N10" s="200"/>
      <c r="O10" s="200"/>
      <c r="P10" s="200"/>
      <c r="Q10" s="200"/>
      <c r="R10" s="199"/>
      <c r="S10" s="199"/>
      <c r="T10" s="199"/>
      <c r="U10" s="197"/>
      <c r="V10" s="197"/>
      <c r="W10" s="197"/>
      <c r="X10" s="197"/>
      <c r="Y10" s="197"/>
      <c r="Z10" s="198"/>
      <c r="AA10" s="197"/>
      <c r="AB10" s="197"/>
      <c r="AC10" s="195"/>
      <c r="AD10" s="257"/>
    </row>
    <row r="11" spans="1:30" ht="30.75">
      <c r="A11" s="236" t="s">
        <v>159</v>
      </c>
      <c r="B11" s="191"/>
      <c r="C11" s="237">
        <v>0</v>
      </c>
      <c r="D11" s="207" t="s">
        <v>3</v>
      </c>
      <c r="E11" s="230">
        <v>175</v>
      </c>
      <c r="F11" s="174">
        <f>E11*C11</f>
        <v>0</v>
      </c>
      <c r="G11" s="186">
        <v>0.05</v>
      </c>
      <c r="H11" s="186">
        <v>0.02</v>
      </c>
      <c r="I11" s="186">
        <v>0.05</v>
      </c>
      <c r="J11" s="187">
        <v>0.122</v>
      </c>
      <c r="K11" s="186">
        <v>0.1</v>
      </c>
      <c r="L11" s="171">
        <f>F11*G11</f>
        <v>0</v>
      </c>
      <c r="M11" s="171">
        <f>(F11+L11)*H11</f>
        <v>0</v>
      </c>
      <c r="N11" s="171">
        <f>(F11+L11+M11)*I11</f>
        <v>0</v>
      </c>
      <c r="O11" s="171">
        <f>(F11+L11+M11+N11)*J11</f>
        <v>0</v>
      </c>
      <c r="P11" s="171">
        <f>(F11+L11+M11+N11+O11)*K11</f>
        <v>0</v>
      </c>
      <c r="Q11" s="170">
        <f>F11+SUM(L11:P11)</f>
        <v>0</v>
      </c>
      <c r="R11" s="185">
        <v>0.05</v>
      </c>
      <c r="S11" s="185">
        <v>0.05</v>
      </c>
      <c r="T11" s="185">
        <v>0.05</v>
      </c>
      <c r="U11" s="184">
        <v>0.1</v>
      </c>
      <c r="V11" s="167">
        <f>Q11*R11</f>
        <v>0</v>
      </c>
      <c r="W11" s="167">
        <f>Q11*S11</f>
        <v>0</v>
      </c>
      <c r="X11" s="167">
        <f>Q11*T11</f>
        <v>0</v>
      </c>
      <c r="Y11" s="167">
        <f>U11*(V11+W11)</f>
        <v>0</v>
      </c>
      <c r="Z11" s="183">
        <f>Q11+SUM(V11:Y11)</f>
        <v>0</v>
      </c>
      <c r="AA11" s="182">
        <v>75</v>
      </c>
      <c r="AB11" s="181"/>
      <c r="AC11" s="180">
        <v>75</v>
      </c>
      <c r="AD11" s="248"/>
    </row>
    <row r="12" spans="1:30" ht="15.75">
      <c r="A12" s="236" t="s">
        <v>158</v>
      </c>
      <c r="B12" s="191"/>
      <c r="C12" s="237">
        <v>0</v>
      </c>
      <c r="D12" s="207" t="s">
        <v>3</v>
      </c>
      <c r="E12" s="230">
        <v>75</v>
      </c>
      <c r="F12" s="174">
        <f>E12*C12</f>
        <v>0</v>
      </c>
      <c r="G12" s="186">
        <v>0.05</v>
      </c>
      <c r="H12" s="186">
        <v>0.02</v>
      </c>
      <c r="I12" s="186">
        <v>0.05</v>
      </c>
      <c r="J12" s="187">
        <v>0.122</v>
      </c>
      <c r="K12" s="186">
        <v>0.1</v>
      </c>
      <c r="L12" s="171">
        <f>F12*G12</f>
        <v>0</v>
      </c>
      <c r="M12" s="171">
        <f>(F12+L12)*H12</f>
        <v>0</v>
      </c>
      <c r="N12" s="171">
        <f>(F12+L12+M12)*I12</f>
        <v>0</v>
      </c>
      <c r="O12" s="171">
        <f>(F12+L12+M12+N12)*J12</f>
        <v>0</v>
      </c>
      <c r="P12" s="171">
        <f>(F12+L12+M12+N12+O12)*K12</f>
        <v>0</v>
      </c>
      <c r="Q12" s="170">
        <f>F12+SUM(L12:P12)</f>
        <v>0</v>
      </c>
      <c r="R12" s="185">
        <v>0.05</v>
      </c>
      <c r="S12" s="185">
        <v>0.05</v>
      </c>
      <c r="T12" s="185">
        <v>0.05</v>
      </c>
      <c r="U12" s="184">
        <v>0.1</v>
      </c>
      <c r="V12" s="167">
        <f>Q12*R12</f>
        <v>0</v>
      </c>
      <c r="W12" s="167">
        <f>Q12*S12</f>
        <v>0</v>
      </c>
      <c r="X12" s="167">
        <f>Q12*T12</f>
        <v>0</v>
      </c>
      <c r="Y12" s="167">
        <f>U12*(V12+W12)</f>
        <v>0</v>
      </c>
      <c r="Z12" s="183">
        <f>Q12+SUM(V12:Y12)</f>
        <v>0</v>
      </c>
      <c r="AA12" s="182">
        <v>75</v>
      </c>
      <c r="AB12" s="181"/>
      <c r="AC12" s="180">
        <v>75</v>
      </c>
      <c r="AD12" s="248"/>
    </row>
    <row r="13" spans="1:30" ht="108">
      <c r="A13" s="229" t="s">
        <v>157</v>
      </c>
      <c r="B13" s="256"/>
      <c r="C13" s="255"/>
      <c r="D13" s="210"/>
      <c r="E13" s="254"/>
      <c r="F13" s="200"/>
      <c r="G13" s="200"/>
      <c r="H13" s="200"/>
      <c r="I13" s="200"/>
      <c r="J13" s="201"/>
      <c r="K13" s="200"/>
      <c r="L13" s="200"/>
      <c r="M13" s="200"/>
      <c r="N13" s="200"/>
      <c r="O13" s="200"/>
      <c r="P13" s="200"/>
      <c r="Q13" s="200"/>
      <c r="R13" s="199"/>
      <c r="S13" s="199"/>
      <c r="T13" s="199"/>
      <c r="U13" s="197"/>
      <c r="V13" s="197"/>
      <c r="W13" s="197"/>
      <c r="X13" s="197"/>
      <c r="Y13" s="197"/>
      <c r="Z13" s="198"/>
      <c r="AA13" s="197"/>
      <c r="AB13" s="196"/>
      <c r="AC13" s="195"/>
      <c r="AD13" s="245"/>
    </row>
    <row r="14" spans="1:30" ht="75">
      <c r="A14" s="217" t="s">
        <v>156</v>
      </c>
      <c r="B14" s="253"/>
      <c r="C14" s="252"/>
      <c r="D14" s="214"/>
      <c r="E14" s="251"/>
      <c r="F14" s="186"/>
      <c r="G14" s="186"/>
      <c r="H14" s="186"/>
      <c r="I14" s="250"/>
      <c r="J14" s="186"/>
      <c r="K14" s="186"/>
      <c r="L14" s="186"/>
      <c r="M14" s="186"/>
      <c r="N14" s="186"/>
      <c r="O14" s="186"/>
      <c r="P14" s="186"/>
      <c r="Q14" s="186"/>
      <c r="R14" s="185"/>
      <c r="S14" s="185"/>
      <c r="T14" s="185"/>
      <c r="U14" s="184"/>
      <c r="V14" s="184"/>
      <c r="W14" s="184"/>
      <c r="X14" s="184"/>
      <c r="Y14" s="184"/>
      <c r="Z14" s="212"/>
      <c r="AA14" s="184"/>
      <c r="AB14" s="181"/>
      <c r="AC14" s="180"/>
      <c r="AD14" s="211"/>
    </row>
    <row r="15" spans="1:30" ht="15.75">
      <c r="A15" s="236" t="s">
        <v>155</v>
      </c>
      <c r="B15" s="191"/>
      <c r="C15" s="237">
        <v>0</v>
      </c>
      <c r="D15" s="207" t="s">
        <v>3</v>
      </c>
      <c r="E15" s="249">
        <v>161</v>
      </c>
      <c r="F15" s="174">
        <f t="shared" ref="F15:F28" si="0">E15*C15</f>
        <v>0</v>
      </c>
      <c r="G15" s="186">
        <v>0.05</v>
      </c>
      <c r="H15" s="186">
        <v>0.02</v>
      </c>
      <c r="I15" s="186">
        <v>0.05</v>
      </c>
      <c r="J15" s="187">
        <v>0.122</v>
      </c>
      <c r="K15" s="186">
        <v>0.1</v>
      </c>
      <c r="L15" s="171">
        <f t="shared" ref="L15:L28" si="1">F15*G15</f>
        <v>0</v>
      </c>
      <c r="M15" s="171">
        <f t="shared" ref="M15:M28" si="2">(F15+L15)*H15</f>
        <v>0</v>
      </c>
      <c r="N15" s="171">
        <f t="shared" ref="N15:N28" si="3">(F15+L15+M15)*I15</f>
        <v>0</v>
      </c>
      <c r="O15" s="171">
        <f t="shared" ref="O15:O28" si="4">(F15+L15+M15+N15)*J15</f>
        <v>0</v>
      </c>
      <c r="P15" s="171">
        <f t="shared" ref="P15:P28" si="5">(F15+L15+M15+N15+O15)*K15</f>
        <v>0</v>
      </c>
      <c r="Q15" s="170">
        <f t="shared" ref="Q15:Q28" si="6">F15+SUM(L15:P15)</f>
        <v>0</v>
      </c>
      <c r="R15" s="185">
        <v>0.05</v>
      </c>
      <c r="S15" s="185">
        <v>0.05</v>
      </c>
      <c r="T15" s="185">
        <v>0.05</v>
      </c>
      <c r="U15" s="184">
        <v>0.1</v>
      </c>
      <c r="V15" s="167">
        <f t="shared" ref="V15:V28" si="7">Q15*R15</f>
        <v>0</v>
      </c>
      <c r="W15" s="167">
        <f t="shared" ref="W15:W28" si="8">Q15*S15</f>
        <v>0</v>
      </c>
      <c r="X15" s="167">
        <f t="shared" ref="X15:X28" si="9">Q15*T15</f>
        <v>0</v>
      </c>
      <c r="Y15" s="167">
        <f t="shared" ref="Y15:Y28" si="10">U15*(V15+W15)</f>
        <v>0</v>
      </c>
      <c r="Z15" s="183">
        <f t="shared" ref="Z15:Z28" si="11">Q15+SUM(V15:Y15)</f>
        <v>0</v>
      </c>
      <c r="AA15" s="182">
        <v>60</v>
      </c>
      <c r="AB15" s="181"/>
      <c r="AC15" s="180">
        <v>60</v>
      </c>
      <c r="AD15" s="248"/>
    </row>
    <row r="16" spans="1:30" ht="15.75">
      <c r="A16" s="236" t="s">
        <v>154</v>
      </c>
      <c r="B16" s="191"/>
      <c r="C16" s="237">
        <v>0</v>
      </c>
      <c r="D16" s="207" t="s">
        <v>3</v>
      </c>
      <c r="E16" s="249">
        <v>175</v>
      </c>
      <c r="F16" s="174">
        <f t="shared" si="0"/>
        <v>0</v>
      </c>
      <c r="G16" s="186">
        <v>0.05</v>
      </c>
      <c r="H16" s="186">
        <v>0.02</v>
      </c>
      <c r="I16" s="186">
        <v>0.05</v>
      </c>
      <c r="J16" s="187">
        <v>0.122</v>
      </c>
      <c r="K16" s="186">
        <v>0.1</v>
      </c>
      <c r="L16" s="171">
        <f t="shared" si="1"/>
        <v>0</v>
      </c>
      <c r="M16" s="171">
        <f t="shared" si="2"/>
        <v>0</v>
      </c>
      <c r="N16" s="171">
        <f t="shared" si="3"/>
        <v>0</v>
      </c>
      <c r="O16" s="171">
        <f t="shared" si="4"/>
        <v>0</v>
      </c>
      <c r="P16" s="171">
        <f t="shared" si="5"/>
        <v>0</v>
      </c>
      <c r="Q16" s="170">
        <f t="shared" si="6"/>
        <v>0</v>
      </c>
      <c r="R16" s="185">
        <v>0.05</v>
      </c>
      <c r="S16" s="185">
        <v>0.05</v>
      </c>
      <c r="T16" s="185">
        <v>0.05</v>
      </c>
      <c r="U16" s="184">
        <v>0.1</v>
      </c>
      <c r="V16" s="167">
        <f t="shared" si="7"/>
        <v>0</v>
      </c>
      <c r="W16" s="167">
        <f t="shared" si="8"/>
        <v>0</v>
      </c>
      <c r="X16" s="167">
        <f t="shared" si="9"/>
        <v>0</v>
      </c>
      <c r="Y16" s="167">
        <f t="shared" si="10"/>
        <v>0</v>
      </c>
      <c r="Z16" s="183">
        <f t="shared" si="11"/>
        <v>0</v>
      </c>
      <c r="AA16" s="182">
        <v>60</v>
      </c>
      <c r="AB16" s="181"/>
      <c r="AC16" s="180">
        <v>60</v>
      </c>
      <c r="AD16" s="248"/>
    </row>
    <row r="17" spans="1:30" ht="15.75">
      <c r="A17" s="236" t="s">
        <v>153</v>
      </c>
      <c r="B17" s="191"/>
      <c r="C17" s="237">
        <v>0</v>
      </c>
      <c r="D17" s="207" t="s">
        <v>3</v>
      </c>
      <c r="E17" s="249">
        <v>191</v>
      </c>
      <c r="F17" s="174">
        <f t="shared" si="0"/>
        <v>0</v>
      </c>
      <c r="G17" s="186">
        <v>0.05</v>
      </c>
      <c r="H17" s="186">
        <v>0.02</v>
      </c>
      <c r="I17" s="186">
        <v>0.05</v>
      </c>
      <c r="J17" s="187">
        <v>0.122</v>
      </c>
      <c r="K17" s="186">
        <v>0.1</v>
      </c>
      <c r="L17" s="171">
        <f t="shared" si="1"/>
        <v>0</v>
      </c>
      <c r="M17" s="171">
        <f t="shared" si="2"/>
        <v>0</v>
      </c>
      <c r="N17" s="171">
        <f t="shared" si="3"/>
        <v>0</v>
      </c>
      <c r="O17" s="171">
        <f t="shared" si="4"/>
        <v>0</v>
      </c>
      <c r="P17" s="171">
        <f t="shared" si="5"/>
        <v>0</v>
      </c>
      <c r="Q17" s="170">
        <f t="shared" si="6"/>
        <v>0</v>
      </c>
      <c r="R17" s="185">
        <v>0.05</v>
      </c>
      <c r="S17" s="185">
        <v>0.05</v>
      </c>
      <c r="T17" s="185">
        <v>0.05</v>
      </c>
      <c r="U17" s="184">
        <v>0.1</v>
      </c>
      <c r="V17" s="167">
        <f t="shared" si="7"/>
        <v>0</v>
      </c>
      <c r="W17" s="167">
        <f t="shared" si="8"/>
        <v>0</v>
      </c>
      <c r="X17" s="167">
        <f t="shared" si="9"/>
        <v>0</v>
      </c>
      <c r="Y17" s="167">
        <f t="shared" si="10"/>
        <v>0</v>
      </c>
      <c r="Z17" s="183">
        <f t="shared" si="11"/>
        <v>0</v>
      </c>
      <c r="AA17" s="182">
        <v>60</v>
      </c>
      <c r="AB17" s="181"/>
      <c r="AC17" s="180">
        <v>60</v>
      </c>
      <c r="AD17" s="248"/>
    </row>
    <row r="18" spans="1:30" ht="15.75">
      <c r="A18" s="236" t="s">
        <v>152</v>
      </c>
      <c r="B18" s="191"/>
      <c r="C18" s="237">
        <v>0</v>
      </c>
      <c r="D18" s="207" t="s">
        <v>3</v>
      </c>
      <c r="E18" s="249">
        <v>233</v>
      </c>
      <c r="F18" s="174">
        <f t="shared" si="0"/>
        <v>0</v>
      </c>
      <c r="G18" s="186">
        <v>0.05</v>
      </c>
      <c r="H18" s="186">
        <v>0.02</v>
      </c>
      <c r="I18" s="186">
        <v>0.05</v>
      </c>
      <c r="J18" s="187">
        <v>0.122</v>
      </c>
      <c r="K18" s="186">
        <v>0.1</v>
      </c>
      <c r="L18" s="171">
        <f t="shared" si="1"/>
        <v>0</v>
      </c>
      <c r="M18" s="171">
        <f t="shared" si="2"/>
        <v>0</v>
      </c>
      <c r="N18" s="171">
        <f t="shared" si="3"/>
        <v>0</v>
      </c>
      <c r="O18" s="171">
        <f t="shared" si="4"/>
        <v>0</v>
      </c>
      <c r="P18" s="171">
        <f t="shared" si="5"/>
        <v>0</v>
      </c>
      <c r="Q18" s="170">
        <f t="shared" si="6"/>
        <v>0</v>
      </c>
      <c r="R18" s="185">
        <v>0.05</v>
      </c>
      <c r="S18" s="185">
        <v>0.05</v>
      </c>
      <c r="T18" s="185">
        <v>0.05</v>
      </c>
      <c r="U18" s="184">
        <v>0.1</v>
      </c>
      <c r="V18" s="167">
        <f t="shared" si="7"/>
        <v>0</v>
      </c>
      <c r="W18" s="167">
        <f t="shared" si="8"/>
        <v>0</v>
      </c>
      <c r="X18" s="167">
        <f t="shared" si="9"/>
        <v>0</v>
      </c>
      <c r="Y18" s="167">
        <f t="shared" si="10"/>
        <v>0</v>
      </c>
      <c r="Z18" s="183">
        <f t="shared" si="11"/>
        <v>0</v>
      </c>
      <c r="AA18" s="182">
        <v>60</v>
      </c>
      <c r="AB18" s="181"/>
      <c r="AC18" s="180">
        <v>60</v>
      </c>
      <c r="AD18" s="248"/>
    </row>
    <row r="19" spans="1:30" ht="15.75">
      <c r="A19" s="236" t="s">
        <v>151</v>
      </c>
      <c r="B19" s="191"/>
      <c r="C19" s="237">
        <v>0</v>
      </c>
      <c r="D19" s="207" t="s">
        <v>3</v>
      </c>
      <c r="E19" s="249">
        <v>292</v>
      </c>
      <c r="F19" s="174">
        <f t="shared" si="0"/>
        <v>0</v>
      </c>
      <c r="G19" s="186">
        <v>0.05</v>
      </c>
      <c r="H19" s="186">
        <v>0.02</v>
      </c>
      <c r="I19" s="186">
        <v>0.05</v>
      </c>
      <c r="J19" s="187">
        <v>0.122</v>
      </c>
      <c r="K19" s="186">
        <v>0.1</v>
      </c>
      <c r="L19" s="171">
        <f t="shared" si="1"/>
        <v>0</v>
      </c>
      <c r="M19" s="171">
        <f t="shared" si="2"/>
        <v>0</v>
      </c>
      <c r="N19" s="171">
        <f t="shared" si="3"/>
        <v>0</v>
      </c>
      <c r="O19" s="171">
        <f t="shared" si="4"/>
        <v>0</v>
      </c>
      <c r="P19" s="171">
        <f t="shared" si="5"/>
        <v>0</v>
      </c>
      <c r="Q19" s="170">
        <f t="shared" si="6"/>
        <v>0</v>
      </c>
      <c r="R19" s="185">
        <v>0.05</v>
      </c>
      <c r="S19" s="185">
        <v>0.05</v>
      </c>
      <c r="T19" s="185">
        <v>0.05</v>
      </c>
      <c r="U19" s="184">
        <v>0.1</v>
      </c>
      <c r="V19" s="167">
        <f t="shared" si="7"/>
        <v>0</v>
      </c>
      <c r="W19" s="167">
        <f t="shared" si="8"/>
        <v>0</v>
      </c>
      <c r="X19" s="167">
        <f t="shared" si="9"/>
        <v>0</v>
      </c>
      <c r="Y19" s="167">
        <f t="shared" si="10"/>
        <v>0</v>
      </c>
      <c r="Z19" s="183">
        <f t="shared" si="11"/>
        <v>0</v>
      </c>
      <c r="AA19" s="182">
        <v>60</v>
      </c>
      <c r="AB19" s="181"/>
      <c r="AC19" s="180">
        <v>60</v>
      </c>
      <c r="AD19" s="248"/>
    </row>
    <row r="20" spans="1:30" ht="15.75">
      <c r="A20" s="236" t="s">
        <v>150</v>
      </c>
      <c r="B20" s="191"/>
      <c r="C20" s="237">
        <v>0</v>
      </c>
      <c r="D20" s="207" t="s">
        <v>3</v>
      </c>
      <c r="E20" s="249">
        <v>320</v>
      </c>
      <c r="F20" s="174">
        <f t="shared" si="0"/>
        <v>0</v>
      </c>
      <c r="G20" s="186">
        <v>0.05</v>
      </c>
      <c r="H20" s="186">
        <v>0.02</v>
      </c>
      <c r="I20" s="186">
        <v>0.05</v>
      </c>
      <c r="J20" s="187">
        <v>0.122</v>
      </c>
      <c r="K20" s="186">
        <v>0.1</v>
      </c>
      <c r="L20" s="171">
        <f t="shared" si="1"/>
        <v>0</v>
      </c>
      <c r="M20" s="171">
        <f t="shared" si="2"/>
        <v>0</v>
      </c>
      <c r="N20" s="171">
        <f t="shared" si="3"/>
        <v>0</v>
      </c>
      <c r="O20" s="171">
        <f t="shared" si="4"/>
        <v>0</v>
      </c>
      <c r="P20" s="171">
        <f t="shared" si="5"/>
        <v>0</v>
      </c>
      <c r="Q20" s="170">
        <f t="shared" si="6"/>
        <v>0</v>
      </c>
      <c r="R20" s="185">
        <v>0.05</v>
      </c>
      <c r="S20" s="185">
        <v>0.05</v>
      </c>
      <c r="T20" s="185">
        <v>0.05</v>
      </c>
      <c r="U20" s="184">
        <v>0.1</v>
      </c>
      <c r="V20" s="167">
        <f t="shared" si="7"/>
        <v>0</v>
      </c>
      <c r="W20" s="167">
        <f t="shared" si="8"/>
        <v>0</v>
      </c>
      <c r="X20" s="167">
        <f t="shared" si="9"/>
        <v>0</v>
      </c>
      <c r="Y20" s="167">
        <f t="shared" si="10"/>
        <v>0</v>
      </c>
      <c r="Z20" s="183">
        <f t="shared" si="11"/>
        <v>0</v>
      </c>
      <c r="AA20" s="182">
        <v>60</v>
      </c>
      <c r="AB20" s="181"/>
      <c r="AC20" s="180">
        <v>60</v>
      </c>
      <c r="AD20" s="248"/>
    </row>
    <row r="21" spans="1:30" ht="15.75">
      <c r="A21" s="236" t="s">
        <v>149</v>
      </c>
      <c r="B21" s="191"/>
      <c r="C21" s="237">
        <v>0</v>
      </c>
      <c r="D21" s="207" t="s">
        <v>3</v>
      </c>
      <c r="E21" s="249">
        <v>374</v>
      </c>
      <c r="F21" s="174">
        <f t="shared" si="0"/>
        <v>0</v>
      </c>
      <c r="G21" s="186">
        <v>0.05</v>
      </c>
      <c r="H21" s="186">
        <v>0.02</v>
      </c>
      <c r="I21" s="186">
        <v>0.05</v>
      </c>
      <c r="J21" s="187">
        <v>0.122</v>
      </c>
      <c r="K21" s="186">
        <v>0.1</v>
      </c>
      <c r="L21" s="171">
        <f t="shared" si="1"/>
        <v>0</v>
      </c>
      <c r="M21" s="171">
        <f t="shared" si="2"/>
        <v>0</v>
      </c>
      <c r="N21" s="171">
        <f t="shared" si="3"/>
        <v>0</v>
      </c>
      <c r="O21" s="171">
        <f t="shared" si="4"/>
        <v>0</v>
      </c>
      <c r="P21" s="171">
        <f t="shared" si="5"/>
        <v>0</v>
      </c>
      <c r="Q21" s="170">
        <f t="shared" si="6"/>
        <v>0</v>
      </c>
      <c r="R21" s="185">
        <v>0.05</v>
      </c>
      <c r="S21" s="185">
        <v>0.05</v>
      </c>
      <c r="T21" s="185">
        <v>0.05</v>
      </c>
      <c r="U21" s="184">
        <v>0.1</v>
      </c>
      <c r="V21" s="167">
        <f t="shared" si="7"/>
        <v>0</v>
      </c>
      <c r="W21" s="167">
        <f t="shared" si="8"/>
        <v>0</v>
      </c>
      <c r="X21" s="167">
        <f t="shared" si="9"/>
        <v>0</v>
      </c>
      <c r="Y21" s="167">
        <f t="shared" si="10"/>
        <v>0</v>
      </c>
      <c r="Z21" s="183">
        <f t="shared" si="11"/>
        <v>0</v>
      </c>
      <c r="AA21" s="182">
        <v>60</v>
      </c>
      <c r="AB21" s="181"/>
      <c r="AC21" s="180">
        <v>60</v>
      </c>
      <c r="AD21" s="248"/>
    </row>
    <row r="22" spans="1:30" ht="15.75">
      <c r="A22" s="236" t="s">
        <v>148</v>
      </c>
      <c r="B22" s="191"/>
      <c r="C22" s="237">
        <v>0</v>
      </c>
      <c r="D22" s="207" t="s">
        <v>3</v>
      </c>
      <c r="E22" s="249">
        <v>447</v>
      </c>
      <c r="F22" s="174">
        <f t="shared" si="0"/>
        <v>0</v>
      </c>
      <c r="G22" s="186">
        <v>0.05</v>
      </c>
      <c r="H22" s="186">
        <v>0.02</v>
      </c>
      <c r="I22" s="186">
        <v>0.05</v>
      </c>
      <c r="J22" s="187">
        <v>0.122</v>
      </c>
      <c r="K22" s="186">
        <v>0.1</v>
      </c>
      <c r="L22" s="171">
        <f t="shared" si="1"/>
        <v>0</v>
      </c>
      <c r="M22" s="171">
        <f t="shared" si="2"/>
        <v>0</v>
      </c>
      <c r="N22" s="171">
        <f t="shared" si="3"/>
        <v>0</v>
      </c>
      <c r="O22" s="171">
        <f t="shared" si="4"/>
        <v>0</v>
      </c>
      <c r="P22" s="171">
        <f t="shared" si="5"/>
        <v>0</v>
      </c>
      <c r="Q22" s="170">
        <f t="shared" si="6"/>
        <v>0</v>
      </c>
      <c r="R22" s="185">
        <v>0.05</v>
      </c>
      <c r="S22" s="185">
        <v>0.05</v>
      </c>
      <c r="T22" s="185">
        <v>0.05</v>
      </c>
      <c r="U22" s="184">
        <v>0.1</v>
      </c>
      <c r="V22" s="167">
        <f t="shared" si="7"/>
        <v>0</v>
      </c>
      <c r="W22" s="167">
        <f t="shared" si="8"/>
        <v>0</v>
      </c>
      <c r="X22" s="167">
        <f t="shared" si="9"/>
        <v>0</v>
      </c>
      <c r="Y22" s="167">
        <f t="shared" si="10"/>
        <v>0</v>
      </c>
      <c r="Z22" s="183">
        <f t="shared" si="11"/>
        <v>0</v>
      </c>
      <c r="AA22" s="182">
        <v>60</v>
      </c>
      <c r="AB22" s="181"/>
      <c r="AC22" s="180">
        <v>60</v>
      </c>
      <c r="AD22" s="248"/>
    </row>
    <row r="23" spans="1:30" ht="15.75">
      <c r="A23" s="236" t="s">
        <v>147</v>
      </c>
      <c r="B23" s="191"/>
      <c r="C23" s="237">
        <v>900</v>
      </c>
      <c r="D23" s="207" t="s">
        <v>3</v>
      </c>
      <c r="E23" s="249">
        <v>505</v>
      </c>
      <c r="F23" s="174">
        <f t="shared" si="0"/>
        <v>454500</v>
      </c>
      <c r="G23" s="186">
        <v>0.05</v>
      </c>
      <c r="H23" s="186">
        <v>0.02</v>
      </c>
      <c r="I23" s="186">
        <v>0.05</v>
      </c>
      <c r="J23" s="187">
        <v>0.122</v>
      </c>
      <c r="K23" s="186">
        <v>0.1</v>
      </c>
      <c r="L23" s="171">
        <f t="shared" si="1"/>
        <v>22725</v>
      </c>
      <c r="M23" s="171">
        <f t="shared" si="2"/>
        <v>9544.5</v>
      </c>
      <c r="N23" s="171">
        <f t="shared" si="3"/>
        <v>24338.475000000002</v>
      </c>
      <c r="O23" s="171">
        <f t="shared" si="4"/>
        <v>62355.172949999993</v>
      </c>
      <c r="P23" s="171">
        <f t="shared" si="5"/>
        <v>57346.314795000006</v>
      </c>
      <c r="Q23" s="170">
        <f t="shared" si="6"/>
        <v>630809.46274500003</v>
      </c>
      <c r="R23" s="185">
        <v>0.05</v>
      </c>
      <c r="S23" s="185">
        <v>0.05</v>
      </c>
      <c r="T23" s="185">
        <v>0.05</v>
      </c>
      <c r="U23" s="184">
        <v>0.1</v>
      </c>
      <c r="V23" s="167">
        <f t="shared" si="7"/>
        <v>31540.473137250003</v>
      </c>
      <c r="W23" s="167">
        <f t="shared" si="8"/>
        <v>31540.473137250003</v>
      </c>
      <c r="X23" s="167">
        <f t="shared" si="9"/>
        <v>31540.473137250003</v>
      </c>
      <c r="Y23" s="167">
        <f t="shared" si="10"/>
        <v>6308.0946274500011</v>
      </c>
      <c r="Z23" s="183">
        <f t="shared" si="11"/>
        <v>731738.97678420006</v>
      </c>
      <c r="AA23" s="182">
        <v>60</v>
      </c>
      <c r="AB23" s="181"/>
      <c r="AC23" s="180">
        <v>60</v>
      </c>
      <c r="AD23" s="248"/>
    </row>
    <row r="24" spans="1:30" ht="15.75">
      <c r="A24" s="236" t="s">
        <v>146</v>
      </c>
      <c r="B24" s="191"/>
      <c r="C24" s="237">
        <v>900</v>
      </c>
      <c r="D24" s="207" t="s">
        <v>3</v>
      </c>
      <c r="E24" s="249">
        <v>547</v>
      </c>
      <c r="F24" s="174">
        <f t="shared" si="0"/>
        <v>492300</v>
      </c>
      <c r="G24" s="186">
        <v>0.05</v>
      </c>
      <c r="H24" s="186">
        <v>0.02</v>
      </c>
      <c r="I24" s="186">
        <v>0.05</v>
      </c>
      <c r="J24" s="187">
        <v>0.122</v>
      </c>
      <c r="K24" s="186">
        <v>0.1</v>
      </c>
      <c r="L24" s="171">
        <f t="shared" si="1"/>
        <v>24615</v>
      </c>
      <c r="M24" s="171">
        <f t="shared" si="2"/>
        <v>10338.300000000001</v>
      </c>
      <c r="N24" s="171">
        <f t="shared" si="3"/>
        <v>26362.665000000005</v>
      </c>
      <c r="O24" s="171">
        <f t="shared" si="4"/>
        <v>67541.147730000012</v>
      </c>
      <c r="P24" s="171">
        <f t="shared" si="5"/>
        <v>62115.711273000008</v>
      </c>
      <c r="Q24" s="170">
        <f t="shared" si="6"/>
        <v>683272.82400300005</v>
      </c>
      <c r="R24" s="185">
        <v>0.05</v>
      </c>
      <c r="S24" s="185">
        <v>0.05</v>
      </c>
      <c r="T24" s="185">
        <v>0.05</v>
      </c>
      <c r="U24" s="184">
        <v>0.1</v>
      </c>
      <c r="V24" s="167">
        <f t="shared" si="7"/>
        <v>34163.641200150007</v>
      </c>
      <c r="W24" s="167">
        <f t="shared" si="8"/>
        <v>34163.641200150007</v>
      </c>
      <c r="X24" s="167">
        <f t="shared" si="9"/>
        <v>34163.641200150007</v>
      </c>
      <c r="Y24" s="167">
        <f t="shared" si="10"/>
        <v>6832.7282400300019</v>
      </c>
      <c r="Z24" s="183">
        <f t="shared" si="11"/>
        <v>792596.47584348009</v>
      </c>
      <c r="AA24" s="182">
        <v>60</v>
      </c>
      <c r="AB24" s="181"/>
      <c r="AC24" s="180">
        <v>60</v>
      </c>
      <c r="AD24" s="248"/>
    </row>
    <row r="25" spans="1:30" ht="15.75">
      <c r="A25" s="236" t="s">
        <v>145</v>
      </c>
      <c r="B25" s="191"/>
      <c r="C25" s="237">
        <v>350</v>
      </c>
      <c r="D25" s="207" t="s">
        <v>3</v>
      </c>
      <c r="E25" s="249">
        <v>588</v>
      </c>
      <c r="F25" s="174">
        <f t="shared" si="0"/>
        <v>205800</v>
      </c>
      <c r="G25" s="186">
        <v>0.05</v>
      </c>
      <c r="H25" s="186">
        <v>0.02</v>
      </c>
      <c r="I25" s="186">
        <v>0.05</v>
      </c>
      <c r="J25" s="187">
        <v>0.122</v>
      </c>
      <c r="K25" s="186">
        <v>0.1</v>
      </c>
      <c r="L25" s="171">
        <f t="shared" si="1"/>
        <v>10290</v>
      </c>
      <c r="M25" s="171">
        <f t="shared" si="2"/>
        <v>4321.8</v>
      </c>
      <c r="N25" s="171">
        <f t="shared" si="3"/>
        <v>11020.59</v>
      </c>
      <c r="O25" s="171">
        <f t="shared" si="4"/>
        <v>28234.751579999996</v>
      </c>
      <c r="P25" s="171">
        <f t="shared" si="5"/>
        <v>25966.714158000002</v>
      </c>
      <c r="Q25" s="170">
        <f t="shared" si="6"/>
        <v>285633.85573800001</v>
      </c>
      <c r="R25" s="185">
        <v>0.05</v>
      </c>
      <c r="S25" s="185">
        <v>0.05</v>
      </c>
      <c r="T25" s="185">
        <v>0.05</v>
      </c>
      <c r="U25" s="184">
        <v>0.1</v>
      </c>
      <c r="V25" s="167">
        <f t="shared" si="7"/>
        <v>14281.692786900001</v>
      </c>
      <c r="W25" s="167">
        <f t="shared" si="8"/>
        <v>14281.692786900001</v>
      </c>
      <c r="X25" s="167">
        <f t="shared" si="9"/>
        <v>14281.692786900001</v>
      </c>
      <c r="Y25" s="167">
        <f t="shared" si="10"/>
        <v>2856.3385573800006</v>
      </c>
      <c r="Z25" s="183">
        <f t="shared" si="11"/>
        <v>331335.27265608002</v>
      </c>
      <c r="AA25" s="182">
        <v>60</v>
      </c>
      <c r="AB25" s="181"/>
      <c r="AC25" s="180">
        <v>60</v>
      </c>
      <c r="AD25" s="248"/>
    </row>
    <row r="26" spans="1:30" ht="15.75">
      <c r="A26" s="236" t="s">
        <v>144</v>
      </c>
      <c r="B26" s="191"/>
      <c r="C26" s="237">
        <v>0</v>
      </c>
      <c r="D26" s="207" t="s">
        <v>3</v>
      </c>
      <c r="E26" s="249">
        <v>691</v>
      </c>
      <c r="F26" s="174">
        <f t="shared" si="0"/>
        <v>0</v>
      </c>
      <c r="G26" s="186">
        <v>0.05</v>
      </c>
      <c r="H26" s="186">
        <v>0.02</v>
      </c>
      <c r="I26" s="186">
        <v>0.05</v>
      </c>
      <c r="J26" s="187">
        <v>0.122</v>
      </c>
      <c r="K26" s="186">
        <v>0.1</v>
      </c>
      <c r="L26" s="171">
        <f t="shared" si="1"/>
        <v>0</v>
      </c>
      <c r="M26" s="171">
        <f t="shared" si="2"/>
        <v>0</v>
      </c>
      <c r="N26" s="171">
        <f t="shared" si="3"/>
        <v>0</v>
      </c>
      <c r="O26" s="171">
        <f t="shared" si="4"/>
        <v>0</v>
      </c>
      <c r="P26" s="171">
        <f t="shared" si="5"/>
        <v>0</v>
      </c>
      <c r="Q26" s="170">
        <f t="shared" si="6"/>
        <v>0</v>
      </c>
      <c r="R26" s="185">
        <v>0.05</v>
      </c>
      <c r="S26" s="185">
        <v>0.05</v>
      </c>
      <c r="T26" s="185">
        <v>0.05</v>
      </c>
      <c r="U26" s="184">
        <v>0.1</v>
      </c>
      <c r="V26" s="167">
        <f t="shared" si="7"/>
        <v>0</v>
      </c>
      <c r="W26" s="167">
        <f t="shared" si="8"/>
        <v>0</v>
      </c>
      <c r="X26" s="167">
        <f t="shared" si="9"/>
        <v>0</v>
      </c>
      <c r="Y26" s="167">
        <f t="shared" si="10"/>
        <v>0</v>
      </c>
      <c r="Z26" s="183">
        <f t="shared" si="11"/>
        <v>0</v>
      </c>
      <c r="AA26" s="182">
        <v>60</v>
      </c>
      <c r="AB26" s="181"/>
      <c r="AC26" s="180">
        <v>60</v>
      </c>
      <c r="AD26" s="248"/>
    </row>
    <row r="27" spans="1:30" ht="15.75">
      <c r="A27" s="236" t="s">
        <v>143</v>
      </c>
      <c r="B27" s="191"/>
      <c r="C27" s="237">
        <v>0</v>
      </c>
      <c r="D27" s="207" t="s">
        <v>3</v>
      </c>
      <c r="E27" s="249">
        <v>785</v>
      </c>
      <c r="F27" s="174">
        <f t="shared" si="0"/>
        <v>0</v>
      </c>
      <c r="G27" s="186">
        <v>0.05</v>
      </c>
      <c r="H27" s="186">
        <v>0.02</v>
      </c>
      <c r="I27" s="186">
        <v>0.05</v>
      </c>
      <c r="J27" s="187">
        <v>0.122</v>
      </c>
      <c r="K27" s="186">
        <v>0.1</v>
      </c>
      <c r="L27" s="171">
        <f t="shared" si="1"/>
        <v>0</v>
      </c>
      <c r="M27" s="171">
        <f t="shared" si="2"/>
        <v>0</v>
      </c>
      <c r="N27" s="171">
        <f t="shared" si="3"/>
        <v>0</v>
      </c>
      <c r="O27" s="171">
        <f t="shared" si="4"/>
        <v>0</v>
      </c>
      <c r="P27" s="171">
        <f t="shared" si="5"/>
        <v>0</v>
      </c>
      <c r="Q27" s="170">
        <f t="shared" si="6"/>
        <v>0</v>
      </c>
      <c r="R27" s="185">
        <v>0.05</v>
      </c>
      <c r="S27" s="185">
        <v>0.05</v>
      </c>
      <c r="T27" s="185">
        <v>0.05</v>
      </c>
      <c r="U27" s="184">
        <v>0.1</v>
      </c>
      <c r="V27" s="167">
        <f t="shared" si="7"/>
        <v>0</v>
      </c>
      <c r="W27" s="167">
        <f t="shared" si="8"/>
        <v>0</v>
      </c>
      <c r="X27" s="167">
        <f t="shared" si="9"/>
        <v>0</v>
      </c>
      <c r="Y27" s="167">
        <f t="shared" si="10"/>
        <v>0</v>
      </c>
      <c r="Z27" s="183">
        <f t="shared" si="11"/>
        <v>0</v>
      </c>
      <c r="AA27" s="182">
        <v>60</v>
      </c>
      <c r="AB27" s="181"/>
      <c r="AC27" s="180">
        <v>60</v>
      </c>
      <c r="AD27" s="248"/>
    </row>
    <row r="28" spans="1:30" ht="15.75">
      <c r="A28" s="236" t="s">
        <v>142</v>
      </c>
      <c r="B28" s="191"/>
      <c r="C28" s="237">
        <v>0</v>
      </c>
      <c r="D28" s="207" t="s">
        <v>3</v>
      </c>
      <c r="E28" s="249">
        <v>891</v>
      </c>
      <c r="F28" s="174">
        <f t="shared" si="0"/>
        <v>0</v>
      </c>
      <c r="G28" s="186">
        <v>0.05</v>
      </c>
      <c r="H28" s="186">
        <v>0.02</v>
      </c>
      <c r="I28" s="186">
        <v>0.05</v>
      </c>
      <c r="J28" s="187">
        <v>0.122</v>
      </c>
      <c r="K28" s="186">
        <v>0.1</v>
      </c>
      <c r="L28" s="171">
        <f t="shared" si="1"/>
        <v>0</v>
      </c>
      <c r="M28" s="171">
        <f t="shared" si="2"/>
        <v>0</v>
      </c>
      <c r="N28" s="171">
        <f t="shared" si="3"/>
        <v>0</v>
      </c>
      <c r="O28" s="171">
        <f t="shared" si="4"/>
        <v>0</v>
      </c>
      <c r="P28" s="171">
        <f t="shared" si="5"/>
        <v>0</v>
      </c>
      <c r="Q28" s="170">
        <f t="shared" si="6"/>
        <v>0</v>
      </c>
      <c r="R28" s="185">
        <v>0.05</v>
      </c>
      <c r="S28" s="185">
        <v>0.05</v>
      </c>
      <c r="T28" s="185">
        <v>0.05</v>
      </c>
      <c r="U28" s="184">
        <v>0.1</v>
      </c>
      <c r="V28" s="167">
        <f t="shared" si="7"/>
        <v>0</v>
      </c>
      <c r="W28" s="167">
        <f t="shared" si="8"/>
        <v>0</v>
      </c>
      <c r="X28" s="167">
        <f t="shared" si="9"/>
        <v>0</v>
      </c>
      <c r="Y28" s="167">
        <f t="shared" si="10"/>
        <v>0</v>
      </c>
      <c r="Z28" s="183">
        <f t="shared" si="11"/>
        <v>0</v>
      </c>
      <c r="AA28" s="182">
        <v>60</v>
      </c>
      <c r="AB28" s="181"/>
      <c r="AC28" s="180">
        <v>60</v>
      </c>
      <c r="AD28" s="248"/>
    </row>
    <row r="29" spans="1:30" ht="108">
      <c r="A29" s="229" t="s">
        <v>141</v>
      </c>
      <c r="B29" s="205"/>
      <c r="C29" s="204"/>
      <c r="D29" s="203"/>
      <c r="E29" s="242"/>
      <c r="F29" s="200"/>
      <c r="G29" s="200"/>
      <c r="H29" s="200"/>
      <c r="I29" s="200"/>
      <c r="J29" s="201"/>
      <c r="K29" s="200"/>
      <c r="L29" s="200"/>
      <c r="M29" s="200"/>
      <c r="N29" s="200"/>
      <c r="O29" s="200"/>
      <c r="P29" s="200"/>
      <c r="Q29" s="200"/>
      <c r="R29" s="199"/>
      <c r="S29" s="199"/>
      <c r="T29" s="199"/>
      <c r="U29" s="197"/>
      <c r="V29" s="197"/>
      <c r="W29" s="197"/>
      <c r="X29" s="197"/>
      <c r="Y29" s="197"/>
      <c r="Z29" s="198"/>
      <c r="AA29" s="197"/>
      <c r="AB29" s="196"/>
      <c r="AC29" s="195"/>
      <c r="AD29" s="245"/>
    </row>
    <row r="30" spans="1:30" ht="75">
      <c r="A30" s="217" t="s">
        <v>140</v>
      </c>
      <c r="B30" s="216"/>
      <c r="C30" s="215"/>
      <c r="D30" s="214"/>
      <c r="E30" s="244"/>
      <c r="F30" s="186"/>
      <c r="G30" s="186"/>
      <c r="H30" s="186"/>
      <c r="I30" s="186"/>
      <c r="J30" s="187"/>
      <c r="K30" s="186"/>
      <c r="L30" s="186"/>
      <c r="M30" s="186"/>
      <c r="N30" s="186"/>
      <c r="O30" s="186"/>
      <c r="P30" s="186"/>
      <c r="Q30" s="186"/>
      <c r="R30" s="185"/>
      <c r="S30" s="185"/>
      <c r="T30" s="185"/>
      <c r="U30" s="184"/>
      <c r="V30" s="184"/>
      <c r="W30" s="184"/>
      <c r="X30" s="184"/>
      <c r="Y30" s="184"/>
      <c r="Z30" s="212"/>
      <c r="AA30" s="184"/>
      <c r="AB30" s="181"/>
      <c r="AC30" s="180"/>
      <c r="AD30" s="247"/>
    </row>
    <row r="31" spans="1:30" ht="15.75">
      <c r="A31" s="236" t="s">
        <v>139</v>
      </c>
      <c r="B31" s="191"/>
      <c r="C31" s="190">
        <v>0</v>
      </c>
      <c r="D31" s="207" t="s">
        <v>3</v>
      </c>
      <c r="E31" s="230">
        <v>190</v>
      </c>
      <c r="F31" s="174">
        <f t="shared" ref="F31:F41" si="12">E31*C31</f>
        <v>0</v>
      </c>
      <c r="G31" s="186">
        <v>0.05</v>
      </c>
      <c r="H31" s="186">
        <v>0.02</v>
      </c>
      <c r="I31" s="186">
        <v>0.05</v>
      </c>
      <c r="J31" s="187">
        <v>0.122</v>
      </c>
      <c r="K31" s="186">
        <v>0.1</v>
      </c>
      <c r="L31" s="171">
        <f t="shared" ref="L31:L41" si="13">F31*G31</f>
        <v>0</v>
      </c>
      <c r="M31" s="171">
        <f t="shared" ref="M31:M41" si="14">(F31+L31)*H31</f>
        <v>0</v>
      </c>
      <c r="N31" s="171">
        <f t="shared" ref="N31:N41" si="15">(F31+L31+M31)*I31</f>
        <v>0</v>
      </c>
      <c r="O31" s="171">
        <f t="shared" ref="O31:O41" si="16">(F31+L31+M31+N31)*J31</f>
        <v>0</v>
      </c>
      <c r="P31" s="171">
        <f t="shared" ref="P31:P41" si="17">(F31+L31+M31+N31+O31)*K31</f>
        <v>0</v>
      </c>
      <c r="Q31" s="170">
        <f t="shared" ref="Q31:Q41" si="18">F31+SUM(L31:P31)</f>
        <v>0</v>
      </c>
      <c r="R31" s="185">
        <v>0.05</v>
      </c>
      <c r="S31" s="185">
        <v>0.05</v>
      </c>
      <c r="T31" s="185">
        <v>0.05</v>
      </c>
      <c r="U31" s="184">
        <v>0.1</v>
      </c>
      <c r="V31" s="167">
        <f t="shared" ref="V31:V41" si="19">Q31*R31</f>
        <v>0</v>
      </c>
      <c r="W31" s="167">
        <f t="shared" ref="W31:W41" si="20">Q31*S31</f>
        <v>0</v>
      </c>
      <c r="X31" s="167">
        <f t="shared" ref="X31:X41" si="21">Q31*T31</f>
        <v>0</v>
      </c>
      <c r="Y31" s="167">
        <f t="shared" ref="Y31:Y41" si="22">U31*(V31+W31)</f>
        <v>0</v>
      </c>
      <c r="Z31" s="183">
        <f t="shared" ref="Z31:Z41" si="23">Q31+SUM(V31:Y31)</f>
        <v>0</v>
      </c>
      <c r="AA31" s="182">
        <v>40</v>
      </c>
      <c r="AB31" s="181"/>
      <c r="AC31" s="180">
        <v>40</v>
      </c>
      <c r="AD31" s="243"/>
    </row>
    <row r="32" spans="1:30" ht="15.75">
      <c r="A32" s="236" t="s">
        <v>138</v>
      </c>
      <c r="B32" s="191"/>
      <c r="C32" s="190">
        <v>0</v>
      </c>
      <c r="D32" s="207" t="s">
        <v>3</v>
      </c>
      <c r="E32" s="230">
        <v>187</v>
      </c>
      <c r="F32" s="174">
        <f t="shared" si="12"/>
        <v>0</v>
      </c>
      <c r="G32" s="186">
        <v>0.05</v>
      </c>
      <c r="H32" s="186">
        <v>0.02</v>
      </c>
      <c r="I32" s="186">
        <v>0.05</v>
      </c>
      <c r="J32" s="187">
        <v>0.122</v>
      </c>
      <c r="K32" s="186">
        <v>0.1</v>
      </c>
      <c r="L32" s="171">
        <f t="shared" si="13"/>
        <v>0</v>
      </c>
      <c r="M32" s="171">
        <f t="shared" si="14"/>
        <v>0</v>
      </c>
      <c r="N32" s="171">
        <f t="shared" si="15"/>
        <v>0</v>
      </c>
      <c r="O32" s="171">
        <f t="shared" si="16"/>
        <v>0</v>
      </c>
      <c r="P32" s="171">
        <f t="shared" si="17"/>
        <v>0</v>
      </c>
      <c r="Q32" s="170">
        <f t="shared" si="18"/>
        <v>0</v>
      </c>
      <c r="R32" s="185">
        <v>0.05</v>
      </c>
      <c r="S32" s="185">
        <v>0.05</v>
      </c>
      <c r="T32" s="185">
        <v>0.05</v>
      </c>
      <c r="U32" s="184">
        <v>0.1</v>
      </c>
      <c r="V32" s="167">
        <f t="shared" si="19"/>
        <v>0</v>
      </c>
      <c r="W32" s="167">
        <f t="shared" si="20"/>
        <v>0</v>
      </c>
      <c r="X32" s="167">
        <f t="shared" si="21"/>
        <v>0</v>
      </c>
      <c r="Y32" s="167">
        <f t="shared" si="22"/>
        <v>0</v>
      </c>
      <c r="Z32" s="183">
        <f t="shared" si="23"/>
        <v>0</v>
      </c>
      <c r="AA32" s="182">
        <v>40</v>
      </c>
      <c r="AB32" s="181"/>
      <c r="AC32" s="180">
        <v>40</v>
      </c>
      <c r="AD32" s="243"/>
    </row>
    <row r="33" spans="1:30" ht="15.75">
      <c r="A33" s="236" t="s">
        <v>137</v>
      </c>
      <c r="B33" s="191"/>
      <c r="C33" s="190">
        <v>0</v>
      </c>
      <c r="D33" s="207" t="s">
        <v>3</v>
      </c>
      <c r="E33" s="230">
        <v>198</v>
      </c>
      <c r="F33" s="174">
        <f t="shared" si="12"/>
        <v>0</v>
      </c>
      <c r="G33" s="186">
        <v>0.05</v>
      </c>
      <c r="H33" s="186">
        <v>0.02</v>
      </c>
      <c r="I33" s="186">
        <v>0.05</v>
      </c>
      <c r="J33" s="187">
        <v>0.122</v>
      </c>
      <c r="K33" s="186">
        <v>0.1</v>
      </c>
      <c r="L33" s="171">
        <f t="shared" si="13"/>
        <v>0</v>
      </c>
      <c r="M33" s="171">
        <f t="shared" si="14"/>
        <v>0</v>
      </c>
      <c r="N33" s="171">
        <f t="shared" si="15"/>
        <v>0</v>
      </c>
      <c r="O33" s="171">
        <f t="shared" si="16"/>
        <v>0</v>
      </c>
      <c r="P33" s="171">
        <f t="shared" si="17"/>
        <v>0</v>
      </c>
      <c r="Q33" s="170">
        <f t="shared" si="18"/>
        <v>0</v>
      </c>
      <c r="R33" s="185">
        <v>0.05</v>
      </c>
      <c r="S33" s="185">
        <v>0.05</v>
      </c>
      <c r="T33" s="185">
        <v>0.05</v>
      </c>
      <c r="U33" s="184">
        <v>0.1</v>
      </c>
      <c r="V33" s="167">
        <f t="shared" si="19"/>
        <v>0</v>
      </c>
      <c r="W33" s="167">
        <f t="shared" si="20"/>
        <v>0</v>
      </c>
      <c r="X33" s="167">
        <f t="shared" si="21"/>
        <v>0</v>
      </c>
      <c r="Y33" s="167">
        <f t="shared" si="22"/>
        <v>0</v>
      </c>
      <c r="Z33" s="183">
        <f t="shared" si="23"/>
        <v>0</v>
      </c>
      <c r="AA33" s="182">
        <v>40</v>
      </c>
      <c r="AB33" s="181"/>
      <c r="AC33" s="180">
        <v>40</v>
      </c>
      <c r="AD33" s="243"/>
    </row>
    <row r="34" spans="1:30" ht="15.75">
      <c r="A34" s="236" t="s">
        <v>136</v>
      </c>
      <c r="B34" s="191"/>
      <c r="C34" s="237">
        <v>0</v>
      </c>
      <c r="D34" s="207" t="s">
        <v>3</v>
      </c>
      <c r="E34" s="230">
        <v>205</v>
      </c>
      <c r="F34" s="174">
        <f t="shared" si="12"/>
        <v>0</v>
      </c>
      <c r="G34" s="186">
        <v>0.05</v>
      </c>
      <c r="H34" s="186">
        <v>0.02</v>
      </c>
      <c r="I34" s="186">
        <v>0.05</v>
      </c>
      <c r="J34" s="187">
        <v>0.122</v>
      </c>
      <c r="K34" s="186">
        <v>0.1</v>
      </c>
      <c r="L34" s="171">
        <f t="shared" si="13"/>
        <v>0</v>
      </c>
      <c r="M34" s="171">
        <f t="shared" si="14"/>
        <v>0</v>
      </c>
      <c r="N34" s="171">
        <f t="shared" si="15"/>
        <v>0</v>
      </c>
      <c r="O34" s="171">
        <f t="shared" si="16"/>
        <v>0</v>
      </c>
      <c r="P34" s="171">
        <f t="shared" si="17"/>
        <v>0</v>
      </c>
      <c r="Q34" s="170">
        <f t="shared" si="18"/>
        <v>0</v>
      </c>
      <c r="R34" s="185">
        <v>0.05</v>
      </c>
      <c r="S34" s="185">
        <v>0.05</v>
      </c>
      <c r="T34" s="185">
        <v>0.05</v>
      </c>
      <c r="U34" s="184">
        <v>0.1</v>
      </c>
      <c r="V34" s="167">
        <f t="shared" si="19"/>
        <v>0</v>
      </c>
      <c r="W34" s="167">
        <f t="shared" si="20"/>
        <v>0</v>
      </c>
      <c r="X34" s="167">
        <f t="shared" si="21"/>
        <v>0</v>
      </c>
      <c r="Y34" s="167">
        <f t="shared" si="22"/>
        <v>0</v>
      </c>
      <c r="Z34" s="183">
        <f t="shared" si="23"/>
        <v>0</v>
      </c>
      <c r="AA34" s="182">
        <v>40</v>
      </c>
      <c r="AB34" s="181"/>
      <c r="AC34" s="180">
        <v>40</v>
      </c>
      <c r="AD34" s="243"/>
    </row>
    <row r="35" spans="1:30" ht="15.75">
      <c r="A35" s="236" t="s">
        <v>135</v>
      </c>
      <c r="B35" s="191"/>
      <c r="C35" s="237">
        <v>0</v>
      </c>
      <c r="D35" s="207" t="s">
        <v>3</v>
      </c>
      <c r="E35" s="230">
        <v>217</v>
      </c>
      <c r="F35" s="174">
        <f t="shared" si="12"/>
        <v>0</v>
      </c>
      <c r="G35" s="186">
        <v>0.05</v>
      </c>
      <c r="H35" s="186">
        <v>0.02</v>
      </c>
      <c r="I35" s="186">
        <v>0.05</v>
      </c>
      <c r="J35" s="187">
        <v>0.122</v>
      </c>
      <c r="K35" s="186">
        <v>0.1</v>
      </c>
      <c r="L35" s="171">
        <f t="shared" si="13"/>
        <v>0</v>
      </c>
      <c r="M35" s="171">
        <f t="shared" si="14"/>
        <v>0</v>
      </c>
      <c r="N35" s="171">
        <f t="shared" si="15"/>
        <v>0</v>
      </c>
      <c r="O35" s="171">
        <f t="shared" si="16"/>
        <v>0</v>
      </c>
      <c r="P35" s="171">
        <f t="shared" si="17"/>
        <v>0</v>
      </c>
      <c r="Q35" s="170">
        <f t="shared" si="18"/>
        <v>0</v>
      </c>
      <c r="R35" s="185">
        <v>0.05</v>
      </c>
      <c r="S35" s="185">
        <v>0.05</v>
      </c>
      <c r="T35" s="185">
        <v>0.05</v>
      </c>
      <c r="U35" s="184">
        <v>0.1</v>
      </c>
      <c r="V35" s="167">
        <f t="shared" si="19"/>
        <v>0</v>
      </c>
      <c r="W35" s="167">
        <f t="shared" si="20"/>
        <v>0</v>
      </c>
      <c r="X35" s="167">
        <f t="shared" si="21"/>
        <v>0</v>
      </c>
      <c r="Y35" s="167">
        <f t="shared" si="22"/>
        <v>0</v>
      </c>
      <c r="Z35" s="183">
        <f t="shared" si="23"/>
        <v>0</v>
      </c>
      <c r="AA35" s="182">
        <v>40</v>
      </c>
      <c r="AB35" s="181"/>
      <c r="AC35" s="180">
        <v>40</v>
      </c>
      <c r="AD35" s="243"/>
    </row>
    <row r="36" spans="1:30" ht="15.75">
      <c r="A36" s="236" t="s">
        <v>134</v>
      </c>
      <c r="B36" s="191"/>
      <c r="C36" s="237">
        <v>0</v>
      </c>
      <c r="D36" s="207" t="s">
        <v>3</v>
      </c>
      <c r="E36" s="230">
        <v>230</v>
      </c>
      <c r="F36" s="174">
        <f t="shared" si="12"/>
        <v>0</v>
      </c>
      <c r="G36" s="186">
        <v>0.05</v>
      </c>
      <c r="H36" s="186">
        <v>0.02</v>
      </c>
      <c r="I36" s="186">
        <v>0.05</v>
      </c>
      <c r="J36" s="187">
        <v>0.122</v>
      </c>
      <c r="K36" s="186">
        <v>0.1</v>
      </c>
      <c r="L36" s="171">
        <f t="shared" si="13"/>
        <v>0</v>
      </c>
      <c r="M36" s="171">
        <f t="shared" si="14"/>
        <v>0</v>
      </c>
      <c r="N36" s="171">
        <f t="shared" si="15"/>
        <v>0</v>
      </c>
      <c r="O36" s="171">
        <f t="shared" si="16"/>
        <v>0</v>
      </c>
      <c r="P36" s="171">
        <f t="shared" si="17"/>
        <v>0</v>
      </c>
      <c r="Q36" s="170">
        <f t="shared" si="18"/>
        <v>0</v>
      </c>
      <c r="R36" s="185">
        <v>0.05</v>
      </c>
      <c r="S36" s="185">
        <v>0.05</v>
      </c>
      <c r="T36" s="185">
        <v>0.05</v>
      </c>
      <c r="U36" s="184">
        <v>0.1</v>
      </c>
      <c r="V36" s="167">
        <f t="shared" si="19"/>
        <v>0</v>
      </c>
      <c r="W36" s="167">
        <f t="shared" si="20"/>
        <v>0</v>
      </c>
      <c r="X36" s="167">
        <f t="shared" si="21"/>
        <v>0</v>
      </c>
      <c r="Y36" s="167">
        <f t="shared" si="22"/>
        <v>0</v>
      </c>
      <c r="Z36" s="183">
        <f t="shared" si="23"/>
        <v>0</v>
      </c>
      <c r="AA36" s="182">
        <v>40</v>
      </c>
      <c r="AB36" s="181"/>
      <c r="AC36" s="180">
        <v>40</v>
      </c>
      <c r="AD36" s="243"/>
    </row>
    <row r="37" spans="1:30" ht="15.75">
      <c r="A37" s="236" t="s">
        <v>133</v>
      </c>
      <c r="B37" s="191"/>
      <c r="C37" s="237">
        <v>0</v>
      </c>
      <c r="D37" s="207" t="s">
        <v>3</v>
      </c>
      <c r="E37" s="230">
        <v>250</v>
      </c>
      <c r="F37" s="174">
        <f t="shared" si="12"/>
        <v>0</v>
      </c>
      <c r="G37" s="186">
        <v>0.05</v>
      </c>
      <c r="H37" s="186">
        <v>0.02</v>
      </c>
      <c r="I37" s="186">
        <v>0.05</v>
      </c>
      <c r="J37" s="187">
        <v>0.122</v>
      </c>
      <c r="K37" s="186">
        <v>0.1</v>
      </c>
      <c r="L37" s="171">
        <f t="shared" si="13"/>
        <v>0</v>
      </c>
      <c r="M37" s="171">
        <f t="shared" si="14"/>
        <v>0</v>
      </c>
      <c r="N37" s="171">
        <f t="shared" si="15"/>
        <v>0</v>
      </c>
      <c r="O37" s="171">
        <f t="shared" si="16"/>
        <v>0</v>
      </c>
      <c r="P37" s="171">
        <f t="shared" si="17"/>
        <v>0</v>
      </c>
      <c r="Q37" s="170">
        <f t="shared" si="18"/>
        <v>0</v>
      </c>
      <c r="R37" s="185">
        <v>0.05</v>
      </c>
      <c r="S37" s="185">
        <v>0.05</v>
      </c>
      <c r="T37" s="185">
        <v>0.05</v>
      </c>
      <c r="U37" s="184">
        <v>0.1</v>
      </c>
      <c r="V37" s="167">
        <f t="shared" si="19"/>
        <v>0</v>
      </c>
      <c r="W37" s="167">
        <f t="shared" si="20"/>
        <v>0</v>
      </c>
      <c r="X37" s="167">
        <f t="shared" si="21"/>
        <v>0</v>
      </c>
      <c r="Y37" s="167">
        <f t="shared" si="22"/>
        <v>0</v>
      </c>
      <c r="Z37" s="183">
        <f t="shared" si="23"/>
        <v>0</v>
      </c>
      <c r="AA37" s="182">
        <v>40</v>
      </c>
      <c r="AB37" s="181"/>
      <c r="AC37" s="180">
        <v>40</v>
      </c>
      <c r="AD37" s="243"/>
    </row>
    <row r="38" spans="1:30" ht="15.75">
      <c r="A38" s="236" t="s">
        <v>132</v>
      </c>
      <c r="B38" s="191"/>
      <c r="C38" s="237">
        <v>2150</v>
      </c>
      <c r="D38" s="207" t="s">
        <v>3</v>
      </c>
      <c r="E38" s="230">
        <v>364</v>
      </c>
      <c r="F38" s="174">
        <f t="shared" si="12"/>
        <v>782600</v>
      </c>
      <c r="G38" s="186">
        <v>0.05</v>
      </c>
      <c r="H38" s="186">
        <v>0.02</v>
      </c>
      <c r="I38" s="186">
        <v>0.05</v>
      </c>
      <c r="J38" s="187">
        <v>0.122</v>
      </c>
      <c r="K38" s="186">
        <v>0.1</v>
      </c>
      <c r="L38" s="171">
        <f t="shared" si="13"/>
        <v>39130</v>
      </c>
      <c r="M38" s="171">
        <f t="shared" si="14"/>
        <v>16434.599999999999</v>
      </c>
      <c r="N38" s="171">
        <f t="shared" si="15"/>
        <v>41908.230000000003</v>
      </c>
      <c r="O38" s="171">
        <f t="shared" si="16"/>
        <v>107368.88526</v>
      </c>
      <c r="P38" s="171">
        <f t="shared" si="17"/>
        <v>98744.171526000006</v>
      </c>
      <c r="Q38" s="170">
        <f t="shared" si="18"/>
        <v>1086185.8867859999</v>
      </c>
      <c r="R38" s="185">
        <v>0.05</v>
      </c>
      <c r="S38" s="185">
        <v>0.05</v>
      </c>
      <c r="T38" s="185">
        <v>0.05</v>
      </c>
      <c r="U38" s="184">
        <v>0.1</v>
      </c>
      <c r="V38" s="167">
        <f t="shared" si="19"/>
        <v>54309.294339299995</v>
      </c>
      <c r="W38" s="167">
        <f t="shared" si="20"/>
        <v>54309.294339299995</v>
      </c>
      <c r="X38" s="167">
        <f t="shared" si="21"/>
        <v>54309.294339299995</v>
      </c>
      <c r="Y38" s="167">
        <f t="shared" si="22"/>
        <v>10861.858867859999</v>
      </c>
      <c r="Z38" s="183">
        <f t="shared" si="23"/>
        <v>1259975.6286717597</v>
      </c>
      <c r="AA38" s="182">
        <v>40</v>
      </c>
      <c r="AB38" s="181"/>
      <c r="AC38" s="180">
        <v>40</v>
      </c>
      <c r="AD38" s="243"/>
    </row>
    <row r="39" spans="1:30" ht="15.75">
      <c r="A39" s="236" t="s">
        <v>131</v>
      </c>
      <c r="B39" s="191"/>
      <c r="C39" s="237">
        <v>0</v>
      </c>
      <c r="D39" s="207" t="s">
        <v>3</v>
      </c>
      <c r="E39" s="230">
        <v>350</v>
      </c>
      <c r="F39" s="174">
        <f t="shared" si="12"/>
        <v>0</v>
      </c>
      <c r="G39" s="186">
        <v>0.05</v>
      </c>
      <c r="H39" s="186">
        <v>0.02</v>
      </c>
      <c r="I39" s="186">
        <v>0.05</v>
      </c>
      <c r="J39" s="187">
        <v>0.122</v>
      </c>
      <c r="K39" s="186">
        <v>0.1</v>
      </c>
      <c r="L39" s="171">
        <f t="shared" si="13"/>
        <v>0</v>
      </c>
      <c r="M39" s="171">
        <f t="shared" si="14"/>
        <v>0</v>
      </c>
      <c r="N39" s="171">
        <f t="shared" si="15"/>
        <v>0</v>
      </c>
      <c r="O39" s="171">
        <f t="shared" si="16"/>
        <v>0</v>
      </c>
      <c r="P39" s="171">
        <f t="shared" si="17"/>
        <v>0</v>
      </c>
      <c r="Q39" s="170">
        <f t="shared" si="18"/>
        <v>0</v>
      </c>
      <c r="R39" s="185">
        <v>0.05</v>
      </c>
      <c r="S39" s="185">
        <v>0.05</v>
      </c>
      <c r="T39" s="185">
        <v>0.05</v>
      </c>
      <c r="U39" s="184">
        <v>0.1</v>
      </c>
      <c r="V39" s="167">
        <f t="shared" si="19"/>
        <v>0</v>
      </c>
      <c r="W39" s="167">
        <f t="shared" si="20"/>
        <v>0</v>
      </c>
      <c r="X39" s="167">
        <f t="shared" si="21"/>
        <v>0</v>
      </c>
      <c r="Y39" s="167">
        <f t="shared" si="22"/>
        <v>0</v>
      </c>
      <c r="Z39" s="183">
        <f t="shared" si="23"/>
        <v>0</v>
      </c>
      <c r="AA39" s="182">
        <v>40</v>
      </c>
      <c r="AB39" s="181"/>
      <c r="AC39" s="180">
        <v>40</v>
      </c>
      <c r="AD39" s="243"/>
    </row>
    <row r="40" spans="1:30" ht="15.75">
      <c r="A40" s="236" t="s">
        <v>130</v>
      </c>
      <c r="B40" s="191"/>
      <c r="C40" s="190">
        <v>0</v>
      </c>
      <c r="D40" s="207" t="s">
        <v>3</v>
      </c>
      <c r="E40" s="230">
        <v>401</v>
      </c>
      <c r="F40" s="174">
        <f t="shared" si="12"/>
        <v>0</v>
      </c>
      <c r="G40" s="186">
        <v>0.05</v>
      </c>
      <c r="H40" s="186">
        <v>0.02</v>
      </c>
      <c r="I40" s="186">
        <v>0.05</v>
      </c>
      <c r="J40" s="187">
        <v>0.122</v>
      </c>
      <c r="K40" s="186">
        <v>0.1</v>
      </c>
      <c r="L40" s="171">
        <f t="shared" si="13"/>
        <v>0</v>
      </c>
      <c r="M40" s="171">
        <f t="shared" si="14"/>
        <v>0</v>
      </c>
      <c r="N40" s="171">
        <f t="shared" si="15"/>
        <v>0</v>
      </c>
      <c r="O40" s="171">
        <f t="shared" si="16"/>
        <v>0</v>
      </c>
      <c r="P40" s="171">
        <f t="shared" si="17"/>
        <v>0</v>
      </c>
      <c r="Q40" s="170">
        <f t="shared" si="18"/>
        <v>0</v>
      </c>
      <c r="R40" s="185">
        <v>0.05</v>
      </c>
      <c r="S40" s="185">
        <v>0.05</v>
      </c>
      <c r="T40" s="185">
        <v>0.05</v>
      </c>
      <c r="U40" s="184">
        <v>0.1</v>
      </c>
      <c r="V40" s="167">
        <f t="shared" si="19"/>
        <v>0</v>
      </c>
      <c r="W40" s="167">
        <f t="shared" si="20"/>
        <v>0</v>
      </c>
      <c r="X40" s="167">
        <f t="shared" si="21"/>
        <v>0</v>
      </c>
      <c r="Y40" s="167">
        <f t="shared" si="22"/>
        <v>0</v>
      </c>
      <c r="Z40" s="183">
        <f t="shared" si="23"/>
        <v>0</v>
      </c>
      <c r="AA40" s="182">
        <v>40</v>
      </c>
      <c r="AB40" s="181"/>
      <c r="AC40" s="180">
        <v>40</v>
      </c>
      <c r="AD40" s="243"/>
    </row>
    <row r="41" spans="1:30" ht="15.75">
      <c r="A41" s="236" t="s">
        <v>129</v>
      </c>
      <c r="B41" s="191"/>
      <c r="C41" s="190">
        <v>0</v>
      </c>
      <c r="D41" s="207" t="s">
        <v>3</v>
      </c>
      <c r="E41" s="230">
        <v>423</v>
      </c>
      <c r="F41" s="174">
        <f t="shared" si="12"/>
        <v>0</v>
      </c>
      <c r="G41" s="186">
        <v>0.05</v>
      </c>
      <c r="H41" s="186">
        <v>0.02</v>
      </c>
      <c r="I41" s="186">
        <v>0.05</v>
      </c>
      <c r="J41" s="187">
        <v>0.122</v>
      </c>
      <c r="K41" s="186">
        <v>0.1</v>
      </c>
      <c r="L41" s="171">
        <f t="shared" si="13"/>
        <v>0</v>
      </c>
      <c r="M41" s="171">
        <f t="shared" si="14"/>
        <v>0</v>
      </c>
      <c r="N41" s="171">
        <f t="shared" si="15"/>
        <v>0</v>
      </c>
      <c r="O41" s="171">
        <f t="shared" si="16"/>
        <v>0</v>
      </c>
      <c r="P41" s="171">
        <f t="shared" si="17"/>
        <v>0</v>
      </c>
      <c r="Q41" s="170">
        <f t="shared" si="18"/>
        <v>0</v>
      </c>
      <c r="R41" s="185">
        <v>0.05</v>
      </c>
      <c r="S41" s="185">
        <v>0.05</v>
      </c>
      <c r="T41" s="185">
        <v>0.05</v>
      </c>
      <c r="U41" s="184">
        <v>0.1</v>
      </c>
      <c r="V41" s="167">
        <f t="shared" si="19"/>
        <v>0</v>
      </c>
      <c r="W41" s="167">
        <f t="shared" si="20"/>
        <v>0</v>
      </c>
      <c r="X41" s="167">
        <f t="shared" si="21"/>
        <v>0</v>
      </c>
      <c r="Y41" s="167">
        <f t="shared" si="22"/>
        <v>0</v>
      </c>
      <c r="Z41" s="183">
        <f t="shared" si="23"/>
        <v>0</v>
      </c>
      <c r="AA41" s="182">
        <v>40</v>
      </c>
      <c r="AB41" s="181"/>
      <c r="AC41" s="180">
        <v>40</v>
      </c>
      <c r="AD41" s="243"/>
    </row>
    <row r="42" spans="1:30" ht="90">
      <c r="A42" s="246" t="s">
        <v>128</v>
      </c>
      <c r="B42" s="205"/>
      <c r="C42" s="204"/>
      <c r="D42" s="203"/>
      <c r="E42" s="242"/>
      <c r="F42" s="200"/>
      <c r="G42" s="200"/>
      <c r="H42" s="200"/>
      <c r="I42" s="200"/>
      <c r="J42" s="201"/>
      <c r="K42" s="200"/>
      <c r="L42" s="200"/>
      <c r="M42" s="200"/>
      <c r="N42" s="200"/>
      <c r="O42" s="200"/>
      <c r="P42" s="200"/>
      <c r="Q42" s="200"/>
      <c r="R42" s="199"/>
      <c r="S42" s="199"/>
      <c r="T42" s="199"/>
      <c r="U42" s="197"/>
      <c r="V42" s="197"/>
      <c r="W42" s="197"/>
      <c r="X42" s="197"/>
      <c r="Y42" s="197"/>
      <c r="Z42" s="198"/>
      <c r="AA42" s="218"/>
      <c r="AB42" s="196"/>
      <c r="AC42" s="195"/>
      <c r="AD42" s="245"/>
    </row>
    <row r="43" spans="1:30" ht="45">
      <c r="A43" s="217" t="s">
        <v>127</v>
      </c>
      <c r="B43" s="216"/>
      <c r="C43" s="215"/>
      <c r="D43" s="240"/>
      <c r="E43" s="239"/>
      <c r="F43" s="186"/>
      <c r="G43" s="186"/>
      <c r="H43" s="186"/>
      <c r="I43" s="186"/>
      <c r="J43" s="187"/>
      <c r="K43" s="186"/>
      <c r="L43" s="186"/>
      <c r="M43" s="186"/>
      <c r="N43" s="186"/>
      <c r="O43" s="186"/>
      <c r="P43" s="186"/>
      <c r="Q43" s="186"/>
      <c r="R43" s="185"/>
      <c r="S43" s="185"/>
      <c r="T43" s="185"/>
      <c r="U43" s="184"/>
      <c r="V43" s="184"/>
      <c r="W43" s="184"/>
      <c r="X43" s="184"/>
      <c r="Y43" s="184"/>
      <c r="Z43" s="212"/>
      <c r="AA43" s="182"/>
      <c r="AB43" s="181"/>
      <c r="AC43" s="180"/>
      <c r="AD43" s="211"/>
    </row>
    <row r="44" spans="1:30" ht="15.75">
      <c r="A44" s="220" t="s">
        <v>126</v>
      </c>
      <c r="B44" s="191"/>
      <c r="C44" s="237">
        <v>0</v>
      </c>
      <c r="D44" s="207" t="s">
        <v>3</v>
      </c>
      <c r="E44" s="230">
        <v>54</v>
      </c>
      <c r="F44" s="174">
        <f>E44*C44</f>
        <v>0</v>
      </c>
      <c r="G44" s="186">
        <v>0.05</v>
      </c>
      <c r="H44" s="186">
        <v>0.02</v>
      </c>
      <c r="I44" s="186">
        <v>0.05</v>
      </c>
      <c r="J44" s="187">
        <v>0.122</v>
      </c>
      <c r="K44" s="186">
        <v>0.1</v>
      </c>
      <c r="L44" s="171">
        <f>F44*G44</f>
        <v>0</v>
      </c>
      <c r="M44" s="171">
        <f>(F44+L44)*H44</f>
        <v>0</v>
      </c>
      <c r="N44" s="171">
        <f>(F44+L44+M44)*I44</f>
        <v>0</v>
      </c>
      <c r="O44" s="171">
        <f>(F44+L44+M44+N44)*J44</f>
        <v>0</v>
      </c>
      <c r="P44" s="171">
        <f>(F44+L44+M44+N44+O44)*K44</f>
        <v>0</v>
      </c>
      <c r="Q44" s="170">
        <f>F44+SUM(L44:P44)</f>
        <v>0</v>
      </c>
      <c r="R44" s="185">
        <v>0.05</v>
      </c>
      <c r="S44" s="185">
        <v>0.05</v>
      </c>
      <c r="T44" s="185">
        <v>0.05</v>
      </c>
      <c r="U44" s="184">
        <v>0.1</v>
      </c>
      <c r="V44" s="167">
        <f>Q44*R44</f>
        <v>0</v>
      </c>
      <c r="W44" s="167">
        <f>Q44*S44</f>
        <v>0</v>
      </c>
      <c r="X44" s="167">
        <f>Q44*T44</f>
        <v>0</v>
      </c>
      <c r="Y44" s="167">
        <f>U44*(V44+W44)</f>
        <v>0</v>
      </c>
      <c r="Z44" s="183">
        <f>Q44+SUM(V44:Y44)</f>
        <v>0</v>
      </c>
      <c r="AA44" s="182">
        <v>70</v>
      </c>
      <c r="AB44" s="181"/>
      <c r="AC44" s="180">
        <v>70</v>
      </c>
      <c r="AD44" s="243"/>
    </row>
    <row r="45" spans="1:30" ht="15.75">
      <c r="A45" s="220" t="s">
        <v>125</v>
      </c>
      <c r="B45" s="191"/>
      <c r="C45" s="237">
        <v>0</v>
      </c>
      <c r="D45" s="207" t="s">
        <v>3</v>
      </c>
      <c r="E45" s="230">
        <v>63</v>
      </c>
      <c r="F45" s="174">
        <f>E45*C45</f>
        <v>0</v>
      </c>
      <c r="G45" s="186">
        <v>0.05</v>
      </c>
      <c r="H45" s="186">
        <v>0.02</v>
      </c>
      <c r="I45" s="186">
        <v>0.05</v>
      </c>
      <c r="J45" s="187">
        <v>0.122</v>
      </c>
      <c r="K45" s="186">
        <v>0.1</v>
      </c>
      <c r="L45" s="171">
        <f>F45*G45</f>
        <v>0</v>
      </c>
      <c r="M45" s="171">
        <f>(F45+L45)*H45</f>
        <v>0</v>
      </c>
      <c r="N45" s="171">
        <f>(F45+L45+M45)*I45</f>
        <v>0</v>
      </c>
      <c r="O45" s="171">
        <f>(F45+L45+M45+N45)*J45</f>
        <v>0</v>
      </c>
      <c r="P45" s="171">
        <f>(F45+L45+M45+N45+O45)*K45</f>
        <v>0</v>
      </c>
      <c r="Q45" s="170">
        <f>F45+SUM(L45:P45)</f>
        <v>0</v>
      </c>
      <c r="R45" s="185">
        <v>0.05</v>
      </c>
      <c r="S45" s="185">
        <v>0.05</v>
      </c>
      <c r="T45" s="185">
        <v>0.05</v>
      </c>
      <c r="U45" s="184">
        <v>0.1</v>
      </c>
      <c r="V45" s="167">
        <f>Q45*R45</f>
        <v>0</v>
      </c>
      <c r="W45" s="167">
        <f>Q45*S45</f>
        <v>0</v>
      </c>
      <c r="X45" s="167">
        <f>Q45*T45</f>
        <v>0</v>
      </c>
      <c r="Y45" s="167">
        <f>U45*(V45+W45)</f>
        <v>0</v>
      </c>
      <c r="Z45" s="183">
        <f>Q45+SUM(V45:Y45)</f>
        <v>0</v>
      </c>
      <c r="AA45" s="182">
        <v>70</v>
      </c>
      <c r="AB45" s="181"/>
      <c r="AC45" s="180">
        <v>70</v>
      </c>
      <c r="AD45" s="243"/>
    </row>
    <row r="46" spans="1:30" ht="15.75">
      <c r="A46" s="220" t="s">
        <v>124</v>
      </c>
      <c r="B46" s="191"/>
      <c r="C46" s="190">
        <v>0</v>
      </c>
      <c r="D46" s="207" t="s">
        <v>3</v>
      </c>
      <c r="E46" s="230">
        <v>75</v>
      </c>
      <c r="F46" s="174">
        <f>E46*C46</f>
        <v>0</v>
      </c>
      <c r="G46" s="186">
        <v>0.05</v>
      </c>
      <c r="H46" s="186">
        <v>0.02</v>
      </c>
      <c r="I46" s="186">
        <v>0.05</v>
      </c>
      <c r="J46" s="187">
        <v>0.122</v>
      </c>
      <c r="K46" s="186">
        <v>0.1</v>
      </c>
      <c r="L46" s="171">
        <f>F46*G46</f>
        <v>0</v>
      </c>
      <c r="M46" s="171">
        <f>(F46+L46)*H46</f>
        <v>0</v>
      </c>
      <c r="N46" s="171">
        <f>(F46+L46+M46)*I46</f>
        <v>0</v>
      </c>
      <c r="O46" s="171">
        <f>(F46+L46+M46+N46)*J46</f>
        <v>0</v>
      </c>
      <c r="P46" s="171">
        <f>(F46+L46+M46+N46+O46)*K46</f>
        <v>0</v>
      </c>
      <c r="Q46" s="170">
        <f>F46+SUM(L46:P46)</f>
        <v>0</v>
      </c>
      <c r="R46" s="185">
        <v>0.05</v>
      </c>
      <c r="S46" s="185">
        <v>0.05</v>
      </c>
      <c r="T46" s="185">
        <v>0.05</v>
      </c>
      <c r="U46" s="184">
        <v>0.1</v>
      </c>
      <c r="V46" s="167">
        <f>Q46*R46</f>
        <v>0</v>
      </c>
      <c r="W46" s="167">
        <f>Q46*S46</f>
        <v>0</v>
      </c>
      <c r="X46" s="167">
        <f>Q46*T46</f>
        <v>0</v>
      </c>
      <c r="Y46" s="167">
        <f>U46*(V46+W46)</f>
        <v>0</v>
      </c>
      <c r="Z46" s="183">
        <f>Q46+SUM(V46:Y46)</f>
        <v>0</v>
      </c>
      <c r="AA46" s="182">
        <v>70</v>
      </c>
      <c r="AB46" s="181"/>
      <c r="AC46" s="180">
        <v>70</v>
      </c>
      <c r="AD46" s="243"/>
    </row>
    <row r="47" spans="1:30" ht="15.75">
      <c r="A47" s="220" t="s">
        <v>123</v>
      </c>
      <c r="B47" s="191"/>
      <c r="C47" s="190">
        <v>0</v>
      </c>
      <c r="D47" s="207" t="s">
        <v>3</v>
      </c>
      <c r="E47" s="230">
        <v>94</v>
      </c>
      <c r="F47" s="174">
        <f>E47*C47</f>
        <v>0</v>
      </c>
      <c r="G47" s="186">
        <v>0.05</v>
      </c>
      <c r="H47" s="186">
        <v>0.02</v>
      </c>
      <c r="I47" s="186">
        <v>0.05</v>
      </c>
      <c r="J47" s="187">
        <v>0.122</v>
      </c>
      <c r="K47" s="186">
        <v>0.1</v>
      </c>
      <c r="L47" s="171">
        <f>F47*G47</f>
        <v>0</v>
      </c>
      <c r="M47" s="171">
        <f>(F47+L47)*H47</f>
        <v>0</v>
      </c>
      <c r="N47" s="171">
        <f>(F47+L47+M47)*I47</f>
        <v>0</v>
      </c>
      <c r="O47" s="171">
        <f>(F47+L47+M47+N47)*J47</f>
        <v>0</v>
      </c>
      <c r="P47" s="171">
        <f>(F47+L47+M47+N47+O47)*K47</f>
        <v>0</v>
      </c>
      <c r="Q47" s="170">
        <f>F47+SUM(L47:P47)</f>
        <v>0</v>
      </c>
      <c r="R47" s="185">
        <v>0.05</v>
      </c>
      <c r="S47" s="185">
        <v>0.05</v>
      </c>
      <c r="T47" s="185">
        <v>0.05</v>
      </c>
      <c r="U47" s="184">
        <v>0.1</v>
      </c>
      <c r="V47" s="167">
        <f>Q47*R47</f>
        <v>0</v>
      </c>
      <c r="W47" s="167">
        <f>Q47*S47</f>
        <v>0</v>
      </c>
      <c r="X47" s="167">
        <f>Q47*T47</f>
        <v>0</v>
      </c>
      <c r="Y47" s="167">
        <f>U47*(V47+W47)</f>
        <v>0</v>
      </c>
      <c r="Z47" s="183">
        <f>Q47+SUM(V47:Y47)</f>
        <v>0</v>
      </c>
      <c r="AA47" s="182">
        <v>70</v>
      </c>
      <c r="AB47" s="181"/>
      <c r="AC47" s="180">
        <v>70</v>
      </c>
      <c r="AD47" s="243"/>
    </row>
    <row r="48" spans="1:30" ht="75">
      <c r="A48" s="217" t="s">
        <v>35</v>
      </c>
      <c r="B48" s="216"/>
      <c r="C48" s="215"/>
      <c r="D48" s="214"/>
      <c r="E48" s="244"/>
      <c r="F48" s="186"/>
      <c r="G48" s="186"/>
      <c r="H48" s="186"/>
      <c r="I48" s="186"/>
      <c r="J48" s="187"/>
      <c r="K48" s="186"/>
      <c r="L48" s="186"/>
      <c r="M48" s="186"/>
      <c r="N48" s="186"/>
      <c r="O48" s="186"/>
      <c r="P48" s="186"/>
      <c r="Q48" s="186"/>
      <c r="R48" s="185"/>
      <c r="S48" s="185"/>
      <c r="T48" s="185"/>
      <c r="U48" s="184"/>
      <c r="V48" s="184"/>
      <c r="W48" s="184"/>
      <c r="X48" s="184"/>
      <c r="Y48" s="184"/>
      <c r="Z48" s="212"/>
      <c r="AA48" s="182"/>
      <c r="AB48" s="181"/>
      <c r="AC48" s="180"/>
      <c r="AD48" s="211"/>
    </row>
    <row r="49" spans="1:30" ht="15.75">
      <c r="A49" s="220" t="s">
        <v>122</v>
      </c>
      <c r="B49" s="191"/>
      <c r="C49" s="190">
        <v>0</v>
      </c>
      <c r="D49" s="207" t="s">
        <v>3</v>
      </c>
      <c r="E49" s="230">
        <v>207</v>
      </c>
      <c r="F49" s="174">
        <f t="shared" ref="F49:F57" si="24">E49*C49</f>
        <v>0</v>
      </c>
      <c r="G49" s="186">
        <v>0.05</v>
      </c>
      <c r="H49" s="186">
        <v>0.02</v>
      </c>
      <c r="I49" s="186">
        <v>0.05</v>
      </c>
      <c r="J49" s="187">
        <v>0.122</v>
      </c>
      <c r="K49" s="186">
        <v>0.1</v>
      </c>
      <c r="L49" s="171">
        <f t="shared" ref="L49:L57" si="25">F49*G49</f>
        <v>0</v>
      </c>
      <c r="M49" s="171">
        <f t="shared" ref="M49:M57" si="26">(F49+L49)*H49</f>
        <v>0</v>
      </c>
      <c r="N49" s="171">
        <f t="shared" ref="N49:N57" si="27">(F49+L49+M49)*I49</f>
        <v>0</v>
      </c>
      <c r="O49" s="171">
        <f t="shared" ref="O49:O57" si="28">(F49+L49+M49+N49)*J49</f>
        <v>0</v>
      </c>
      <c r="P49" s="171">
        <f t="shared" ref="P49:P57" si="29">(F49+L49+M49+N49+O49)*K49</f>
        <v>0</v>
      </c>
      <c r="Q49" s="170">
        <f t="shared" ref="Q49:Q57" si="30">F49+SUM(L49:P49)</f>
        <v>0</v>
      </c>
      <c r="R49" s="185">
        <v>0.05</v>
      </c>
      <c r="S49" s="185">
        <v>0.05</v>
      </c>
      <c r="T49" s="185">
        <v>0.05</v>
      </c>
      <c r="U49" s="184">
        <v>0.1</v>
      </c>
      <c r="V49" s="167">
        <f t="shared" ref="V49:V57" si="31">Q49*R49</f>
        <v>0</v>
      </c>
      <c r="W49" s="167">
        <f t="shared" ref="W49:W57" si="32">Q49*S49</f>
        <v>0</v>
      </c>
      <c r="X49" s="167">
        <f t="shared" ref="X49:X57" si="33">Q49*T49</f>
        <v>0</v>
      </c>
      <c r="Y49" s="167">
        <f t="shared" ref="Y49:Y57" si="34">U49*(V49+W49)</f>
        <v>0</v>
      </c>
      <c r="Z49" s="183">
        <f t="shared" ref="Z49:Z57" si="35">Q49+SUM(V49:Y49)</f>
        <v>0</v>
      </c>
      <c r="AA49" s="182">
        <v>70</v>
      </c>
      <c r="AB49" s="181"/>
      <c r="AC49" s="180">
        <v>70</v>
      </c>
      <c r="AD49" s="243"/>
    </row>
    <row r="50" spans="1:30" ht="15.75">
      <c r="A50" s="220" t="s">
        <v>121</v>
      </c>
      <c r="B50" s="191"/>
      <c r="C50" s="190">
        <v>0</v>
      </c>
      <c r="D50" s="207" t="s">
        <v>3</v>
      </c>
      <c r="E50" s="230">
        <v>221</v>
      </c>
      <c r="F50" s="174">
        <f t="shared" si="24"/>
        <v>0</v>
      </c>
      <c r="G50" s="186">
        <v>0.05</v>
      </c>
      <c r="H50" s="186">
        <v>0.02</v>
      </c>
      <c r="I50" s="186">
        <v>0.05</v>
      </c>
      <c r="J50" s="187">
        <v>0.122</v>
      </c>
      <c r="K50" s="186">
        <v>0.1</v>
      </c>
      <c r="L50" s="171">
        <f t="shared" si="25"/>
        <v>0</v>
      </c>
      <c r="M50" s="171">
        <f t="shared" si="26"/>
        <v>0</v>
      </c>
      <c r="N50" s="171">
        <f t="shared" si="27"/>
        <v>0</v>
      </c>
      <c r="O50" s="171">
        <f t="shared" si="28"/>
        <v>0</v>
      </c>
      <c r="P50" s="171">
        <f t="shared" si="29"/>
        <v>0</v>
      </c>
      <c r="Q50" s="170">
        <f t="shared" si="30"/>
        <v>0</v>
      </c>
      <c r="R50" s="185">
        <v>0.05</v>
      </c>
      <c r="S50" s="185">
        <v>0.05</v>
      </c>
      <c r="T50" s="185">
        <v>0.05</v>
      </c>
      <c r="U50" s="184">
        <v>0.1</v>
      </c>
      <c r="V50" s="167">
        <f t="shared" si="31"/>
        <v>0</v>
      </c>
      <c r="W50" s="167">
        <f t="shared" si="32"/>
        <v>0</v>
      </c>
      <c r="X50" s="167">
        <f t="shared" si="33"/>
        <v>0</v>
      </c>
      <c r="Y50" s="167">
        <f t="shared" si="34"/>
        <v>0</v>
      </c>
      <c r="Z50" s="183">
        <f t="shared" si="35"/>
        <v>0</v>
      </c>
      <c r="AA50" s="182">
        <v>70</v>
      </c>
      <c r="AB50" s="181"/>
      <c r="AC50" s="180">
        <v>70</v>
      </c>
      <c r="AD50" s="243"/>
    </row>
    <row r="51" spans="1:30" ht="15.75">
      <c r="A51" s="220" t="s">
        <v>120</v>
      </c>
      <c r="B51" s="191"/>
      <c r="C51" s="190">
        <v>0</v>
      </c>
      <c r="D51" s="207" t="s">
        <v>3</v>
      </c>
      <c r="E51" s="230">
        <v>254</v>
      </c>
      <c r="F51" s="174">
        <f t="shared" si="24"/>
        <v>0</v>
      </c>
      <c r="G51" s="186">
        <v>0.05</v>
      </c>
      <c r="H51" s="186">
        <v>0.02</v>
      </c>
      <c r="I51" s="186">
        <v>0.05</v>
      </c>
      <c r="J51" s="187">
        <v>0.122</v>
      </c>
      <c r="K51" s="186">
        <v>0.1</v>
      </c>
      <c r="L51" s="171">
        <f t="shared" si="25"/>
        <v>0</v>
      </c>
      <c r="M51" s="171">
        <f t="shared" si="26"/>
        <v>0</v>
      </c>
      <c r="N51" s="171">
        <f t="shared" si="27"/>
        <v>0</v>
      </c>
      <c r="O51" s="171">
        <f t="shared" si="28"/>
        <v>0</v>
      </c>
      <c r="P51" s="171">
        <f t="shared" si="29"/>
        <v>0</v>
      </c>
      <c r="Q51" s="170">
        <f t="shared" si="30"/>
        <v>0</v>
      </c>
      <c r="R51" s="185">
        <v>0.05</v>
      </c>
      <c r="S51" s="185">
        <v>0.05</v>
      </c>
      <c r="T51" s="185">
        <v>0.05</v>
      </c>
      <c r="U51" s="184">
        <v>0.1</v>
      </c>
      <c r="V51" s="167">
        <f t="shared" si="31"/>
        <v>0</v>
      </c>
      <c r="W51" s="167">
        <f t="shared" si="32"/>
        <v>0</v>
      </c>
      <c r="X51" s="167">
        <f t="shared" si="33"/>
        <v>0</v>
      </c>
      <c r="Y51" s="167">
        <f t="shared" si="34"/>
        <v>0</v>
      </c>
      <c r="Z51" s="183">
        <f t="shared" si="35"/>
        <v>0</v>
      </c>
      <c r="AA51" s="182">
        <v>70</v>
      </c>
      <c r="AB51" s="181"/>
      <c r="AC51" s="180">
        <v>70</v>
      </c>
      <c r="AD51" s="243"/>
    </row>
    <row r="52" spans="1:30" ht="15.75">
      <c r="A52" s="220" t="s">
        <v>119</v>
      </c>
      <c r="B52" s="191"/>
      <c r="C52" s="190">
        <v>2150</v>
      </c>
      <c r="D52" s="207" t="s">
        <v>3</v>
      </c>
      <c r="E52" s="230">
        <v>263</v>
      </c>
      <c r="F52" s="174">
        <f t="shared" si="24"/>
        <v>565450</v>
      </c>
      <c r="G52" s="186">
        <v>0.05</v>
      </c>
      <c r="H52" s="186">
        <v>0.02</v>
      </c>
      <c r="I52" s="186">
        <v>0.05</v>
      </c>
      <c r="J52" s="187">
        <v>0.122</v>
      </c>
      <c r="K52" s="186">
        <v>0.1</v>
      </c>
      <c r="L52" s="171">
        <f t="shared" si="25"/>
        <v>28272.5</v>
      </c>
      <c r="M52" s="171">
        <f t="shared" si="26"/>
        <v>11874.45</v>
      </c>
      <c r="N52" s="171">
        <f t="shared" si="27"/>
        <v>30279.8475</v>
      </c>
      <c r="O52" s="171">
        <f t="shared" si="28"/>
        <v>77576.969295000003</v>
      </c>
      <c r="P52" s="171">
        <f t="shared" si="29"/>
        <v>71345.376679499997</v>
      </c>
      <c r="Q52" s="170">
        <f t="shared" si="30"/>
        <v>784799.14347449993</v>
      </c>
      <c r="R52" s="185">
        <v>0.05</v>
      </c>
      <c r="S52" s="185">
        <v>0.05</v>
      </c>
      <c r="T52" s="185">
        <v>0.05</v>
      </c>
      <c r="U52" s="184">
        <v>0.1</v>
      </c>
      <c r="V52" s="167">
        <f t="shared" si="31"/>
        <v>39239.957173725001</v>
      </c>
      <c r="W52" s="167">
        <f t="shared" si="32"/>
        <v>39239.957173725001</v>
      </c>
      <c r="X52" s="167">
        <f t="shared" si="33"/>
        <v>39239.957173725001</v>
      </c>
      <c r="Y52" s="167">
        <f t="shared" si="34"/>
        <v>7847.9914347450003</v>
      </c>
      <c r="Z52" s="183">
        <f t="shared" si="35"/>
        <v>910367.00643041986</v>
      </c>
      <c r="AA52" s="182">
        <v>70</v>
      </c>
      <c r="AB52" s="181"/>
      <c r="AC52" s="180">
        <v>70</v>
      </c>
      <c r="AD52" s="243"/>
    </row>
    <row r="53" spans="1:30" ht="15.75">
      <c r="A53" s="220" t="s">
        <v>118</v>
      </c>
      <c r="B53" s="191"/>
      <c r="C53" s="190">
        <v>0</v>
      </c>
      <c r="D53" s="207" t="s">
        <v>3</v>
      </c>
      <c r="E53" s="230">
        <v>291</v>
      </c>
      <c r="F53" s="174">
        <f t="shared" si="24"/>
        <v>0</v>
      </c>
      <c r="G53" s="186">
        <v>0.05</v>
      </c>
      <c r="H53" s="186">
        <v>0.02</v>
      </c>
      <c r="I53" s="186">
        <v>0.05</v>
      </c>
      <c r="J53" s="187">
        <v>0.122</v>
      </c>
      <c r="K53" s="186">
        <v>0.1</v>
      </c>
      <c r="L53" s="171">
        <f t="shared" si="25"/>
        <v>0</v>
      </c>
      <c r="M53" s="171">
        <f t="shared" si="26"/>
        <v>0</v>
      </c>
      <c r="N53" s="171">
        <f t="shared" si="27"/>
        <v>0</v>
      </c>
      <c r="O53" s="171">
        <f t="shared" si="28"/>
        <v>0</v>
      </c>
      <c r="P53" s="171">
        <f t="shared" si="29"/>
        <v>0</v>
      </c>
      <c r="Q53" s="170">
        <f t="shared" si="30"/>
        <v>0</v>
      </c>
      <c r="R53" s="185">
        <v>0.05</v>
      </c>
      <c r="S53" s="185">
        <v>0.05</v>
      </c>
      <c r="T53" s="185">
        <v>0.05</v>
      </c>
      <c r="U53" s="184">
        <v>0.1</v>
      </c>
      <c r="V53" s="167">
        <f t="shared" si="31"/>
        <v>0</v>
      </c>
      <c r="W53" s="167">
        <f t="shared" si="32"/>
        <v>0</v>
      </c>
      <c r="X53" s="167">
        <f t="shared" si="33"/>
        <v>0</v>
      </c>
      <c r="Y53" s="167">
        <f t="shared" si="34"/>
        <v>0</v>
      </c>
      <c r="Z53" s="183">
        <f t="shared" si="35"/>
        <v>0</v>
      </c>
      <c r="AA53" s="182">
        <v>70</v>
      </c>
      <c r="AB53" s="181"/>
      <c r="AC53" s="180">
        <v>70</v>
      </c>
      <c r="AD53" s="243"/>
    </row>
    <row r="54" spans="1:30" ht="15.75">
      <c r="A54" s="220" t="s">
        <v>117</v>
      </c>
      <c r="B54" s="191"/>
      <c r="C54" s="190">
        <v>0</v>
      </c>
      <c r="D54" s="207" t="s">
        <v>3</v>
      </c>
      <c r="E54" s="230">
        <v>316</v>
      </c>
      <c r="F54" s="174">
        <f t="shared" si="24"/>
        <v>0</v>
      </c>
      <c r="G54" s="186">
        <v>0.05</v>
      </c>
      <c r="H54" s="186">
        <v>0.02</v>
      </c>
      <c r="I54" s="186">
        <v>0.05</v>
      </c>
      <c r="J54" s="187">
        <v>0.122</v>
      </c>
      <c r="K54" s="186">
        <v>0.1</v>
      </c>
      <c r="L54" s="171">
        <f t="shared" si="25"/>
        <v>0</v>
      </c>
      <c r="M54" s="171">
        <f t="shared" si="26"/>
        <v>0</v>
      </c>
      <c r="N54" s="171">
        <f t="shared" si="27"/>
        <v>0</v>
      </c>
      <c r="O54" s="171">
        <f t="shared" si="28"/>
        <v>0</v>
      </c>
      <c r="P54" s="171">
        <f t="shared" si="29"/>
        <v>0</v>
      </c>
      <c r="Q54" s="170">
        <f t="shared" si="30"/>
        <v>0</v>
      </c>
      <c r="R54" s="185">
        <v>0.05</v>
      </c>
      <c r="S54" s="185">
        <v>0.05</v>
      </c>
      <c r="T54" s="185">
        <v>0.05</v>
      </c>
      <c r="U54" s="184">
        <v>0.1</v>
      </c>
      <c r="V54" s="167">
        <f t="shared" si="31"/>
        <v>0</v>
      </c>
      <c r="W54" s="167">
        <f t="shared" si="32"/>
        <v>0</v>
      </c>
      <c r="X54" s="167">
        <f t="shared" si="33"/>
        <v>0</v>
      </c>
      <c r="Y54" s="167">
        <f t="shared" si="34"/>
        <v>0</v>
      </c>
      <c r="Z54" s="183">
        <f t="shared" si="35"/>
        <v>0</v>
      </c>
      <c r="AA54" s="182">
        <v>70</v>
      </c>
      <c r="AB54" s="181"/>
      <c r="AC54" s="180">
        <v>70</v>
      </c>
      <c r="AD54" s="243"/>
    </row>
    <row r="55" spans="1:30" ht="15.75">
      <c r="A55" s="220" t="s">
        <v>116</v>
      </c>
      <c r="B55" s="191"/>
      <c r="C55" s="190">
        <v>0</v>
      </c>
      <c r="D55" s="207" t="s">
        <v>3</v>
      </c>
      <c r="E55" s="230">
        <v>345</v>
      </c>
      <c r="F55" s="174">
        <f t="shared" si="24"/>
        <v>0</v>
      </c>
      <c r="G55" s="186">
        <v>0.05</v>
      </c>
      <c r="H55" s="186">
        <v>0.02</v>
      </c>
      <c r="I55" s="186">
        <v>0.05</v>
      </c>
      <c r="J55" s="187">
        <v>0.122</v>
      </c>
      <c r="K55" s="186">
        <v>0.1</v>
      </c>
      <c r="L55" s="171">
        <f t="shared" si="25"/>
        <v>0</v>
      </c>
      <c r="M55" s="171">
        <f t="shared" si="26"/>
        <v>0</v>
      </c>
      <c r="N55" s="171">
        <f t="shared" si="27"/>
        <v>0</v>
      </c>
      <c r="O55" s="171">
        <f t="shared" si="28"/>
        <v>0</v>
      </c>
      <c r="P55" s="171">
        <f t="shared" si="29"/>
        <v>0</v>
      </c>
      <c r="Q55" s="170">
        <f t="shared" si="30"/>
        <v>0</v>
      </c>
      <c r="R55" s="185">
        <v>0.05</v>
      </c>
      <c r="S55" s="185">
        <v>0.05</v>
      </c>
      <c r="T55" s="185">
        <v>0.05</v>
      </c>
      <c r="U55" s="184">
        <v>0.1</v>
      </c>
      <c r="V55" s="167">
        <f t="shared" si="31"/>
        <v>0</v>
      </c>
      <c r="W55" s="167">
        <f t="shared" si="32"/>
        <v>0</v>
      </c>
      <c r="X55" s="167">
        <f t="shared" si="33"/>
        <v>0</v>
      </c>
      <c r="Y55" s="167">
        <f t="shared" si="34"/>
        <v>0</v>
      </c>
      <c r="Z55" s="183">
        <f t="shared" si="35"/>
        <v>0</v>
      </c>
      <c r="AA55" s="182">
        <v>70</v>
      </c>
      <c r="AB55" s="181"/>
      <c r="AC55" s="180">
        <v>70</v>
      </c>
      <c r="AD55" s="243"/>
    </row>
    <row r="56" spans="1:30" ht="15.75">
      <c r="A56" s="220" t="s">
        <v>115</v>
      </c>
      <c r="B56" s="191"/>
      <c r="C56" s="190">
        <v>0</v>
      </c>
      <c r="D56" s="207" t="s">
        <v>3</v>
      </c>
      <c r="E56" s="230">
        <v>387</v>
      </c>
      <c r="F56" s="174">
        <f t="shared" si="24"/>
        <v>0</v>
      </c>
      <c r="G56" s="186">
        <v>0.05</v>
      </c>
      <c r="H56" s="186">
        <v>0.02</v>
      </c>
      <c r="I56" s="186">
        <v>0.05</v>
      </c>
      <c r="J56" s="187">
        <v>0.122</v>
      </c>
      <c r="K56" s="186">
        <v>0.1</v>
      </c>
      <c r="L56" s="171">
        <f t="shared" si="25"/>
        <v>0</v>
      </c>
      <c r="M56" s="171">
        <f t="shared" si="26"/>
        <v>0</v>
      </c>
      <c r="N56" s="171">
        <f t="shared" si="27"/>
        <v>0</v>
      </c>
      <c r="O56" s="171">
        <f t="shared" si="28"/>
        <v>0</v>
      </c>
      <c r="P56" s="171">
        <f t="shared" si="29"/>
        <v>0</v>
      </c>
      <c r="Q56" s="170">
        <f t="shared" si="30"/>
        <v>0</v>
      </c>
      <c r="R56" s="185">
        <v>0.05</v>
      </c>
      <c r="S56" s="185">
        <v>0.05</v>
      </c>
      <c r="T56" s="185">
        <v>0.05</v>
      </c>
      <c r="U56" s="184">
        <v>0.1</v>
      </c>
      <c r="V56" s="167">
        <f t="shared" si="31"/>
        <v>0</v>
      </c>
      <c r="W56" s="167">
        <f t="shared" si="32"/>
        <v>0</v>
      </c>
      <c r="X56" s="167">
        <f t="shared" si="33"/>
        <v>0</v>
      </c>
      <c r="Y56" s="167">
        <f t="shared" si="34"/>
        <v>0</v>
      </c>
      <c r="Z56" s="183">
        <f t="shared" si="35"/>
        <v>0</v>
      </c>
      <c r="AA56" s="182">
        <v>70</v>
      </c>
      <c r="AB56" s="181"/>
      <c r="AC56" s="180">
        <v>70</v>
      </c>
      <c r="AD56" s="243"/>
    </row>
    <row r="57" spans="1:30" ht="15.75">
      <c r="A57" s="220" t="s">
        <v>114</v>
      </c>
      <c r="B57" s="191"/>
      <c r="C57" s="190">
        <v>0</v>
      </c>
      <c r="D57" s="207" t="s">
        <v>3</v>
      </c>
      <c r="E57" s="230">
        <v>422</v>
      </c>
      <c r="F57" s="174">
        <f t="shared" si="24"/>
        <v>0</v>
      </c>
      <c r="G57" s="186">
        <v>0.05</v>
      </c>
      <c r="H57" s="186">
        <v>0.02</v>
      </c>
      <c r="I57" s="186">
        <v>0.05</v>
      </c>
      <c r="J57" s="187">
        <v>0.122</v>
      </c>
      <c r="K57" s="186">
        <v>0.1</v>
      </c>
      <c r="L57" s="171">
        <f t="shared" si="25"/>
        <v>0</v>
      </c>
      <c r="M57" s="171">
        <f t="shared" si="26"/>
        <v>0</v>
      </c>
      <c r="N57" s="171">
        <f t="shared" si="27"/>
        <v>0</v>
      </c>
      <c r="O57" s="171">
        <f t="shared" si="28"/>
        <v>0</v>
      </c>
      <c r="P57" s="171">
        <f t="shared" si="29"/>
        <v>0</v>
      </c>
      <c r="Q57" s="170">
        <f t="shared" si="30"/>
        <v>0</v>
      </c>
      <c r="R57" s="185">
        <v>0.05</v>
      </c>
      <c r="S57" s="185">
        <v>0.05</v>
      </c>
      <c r="T57" s="185">
        <v>0.05</v>
      </c>
      <c r="U57" s="184">
        <v>0.1</v>
      </c>
      <c r="V57" s="167">
        <f t="shared" si="31"/>
        <v>0</v>
      </c>
      <c r="W57" s="167">
        <f t="shared" si="32"/>
        <v>0</v>
      </c>
      <c r="X57" s="167">
        <f t="shared" si="33"/>
        <v>0</v>
      </c>
      <c r="Y57" s="167">
        <f t="shared" si="34"/>
        <v>0</v>
      </c>
      <c r="Z57" s="183">
        <f t="shared" si="35"/>
        <v>0</v>
      </c>
      <c r="AA57" s="182">
        <v>70</v>
      </c>
      <c r="AB57" s="181"/>
      <c r="AC57" s="180">
        <v>70</v>
      </c>
      <c r="AD57" s="243"/>
    </row>
    <row r="58" spans="1:30" ht="90">
      <c r="A58" s="219" t="s">
        <v>113</v>
      </c>
      <c r="B58" s="205"/>
      <c r="C58" s="204"/>
      <c r="D58" s="203"/>
      <c r="E58" s="242"/>
      <c r="F58" s="200"/>
      <c r="G58" s="200"/>
      <c r="H58" s="200"/>
      <c r="I58" s="200"/>
      <c r="J58" s="201"/>
      <c r="K58" s="200"/>
      <c r="L58" s="200"/>
      <c r="M58" s="200"/>
      <c r="N58" s="200"/>
      <c r="O58" s="200"/>
      <c r="P58" s="200"/>
      <c r="Q58" s="200"/>
      <c r="R58" s="199"/>
      <c r="S58" s="199"/>
      <c r="T58" s="199"/>
      <c r="U58" s="197"/>
      <c r="V58" s="197"/>
      <c r="W58" s="197"/>
      <c r="X58" s="197"/>
      <c r="Y58" s="197"/>
      <c r="Z58" s="198"/>
      <c r="AA58" s="197"/>
      <c r="AB58" s="197"/>
      <c r="AC58" s="195"/>
      <c r="AD58" s="194"/>
    </row>
    <row r="59" spans="1:30" ht="75">
      <c r="A59" s="217" t="s">
        <v>35</v>
      </c>
      <c r="B59" s="216"/>
      <c r="C59" s="241"/>
      <c r="D59" s="240"/>
      <c r="E59" s="239"/>
      <c r="F59" s="186"/>
      <c r="G59" s="186"/>
      <c r="H59" s="186"/>
      <c r="I59" s="186"/>
      <c r="J59" s="187"/>
      <c r="K59" s="186"/>
      <c r="L59" s="186"/>
      <c r="M59" s="186"/>
      <c r="N59" s="186"/>
      <c r="O59" s="186"/>
      <c r="P59" s="186"/>
      <c r="Q59" s="186"/>
      <c r="R59" s="185"/>
      <c r="S59" s="185"/>
      <c r="T59" s="185"/>
      <c r="U59" s="184"/>
      <c r="V59" s="184"/>
      <c r="W59" s="184"/>
      <c r="X59" s="184"/>
      <c r="Y59" s="184"/>
      <c r="Z59" s="212"/>
      <c r="AA59" s="184"/>
      <c r="AB59" s="184"/>
      <c r="AC59" s="180"/>
      <c r="AD59" s="211"/>
    </row>
    <row r="60" spans="1:30" ht="18">
      <c r="A60" s="206" t="s">
        <v>34</v>
      </c>
      <c r="B60" s="238"/>
      <c r="C60" s="232"/>
      <c r="D60" s="232"/>
      <c r="E60" s="231"/>
      <c r="F60" s="200"/>
      <c r="G60" s="200"/>
      <c r="H60" s="200"/>
      <c r="I60" s="200"/>
      <c r="J60" s="201"/>
      <c r="K60" s="200"/>
      <c r="L60" s="200"/>
      <c r="M60" s="200"/>
      <c r="N60" s="200"/>
      <c r="O60" s="200"/>
      <c r="P60" s="200"/>
      <c r="Q60" s="200"/>
      <c r="R60" s="199"/>
      <c r="S60" s="199"/>
      <c r="T60" s="199"/>
      <c r="U60" s="197"/>
      <c r="V60" s="197"/>
      <c r="W60" s="197"/>
      <c r="X60" s="197"/>
      <c r="Y60" s="197"/>
      <c r="Z60" s="198"/>
      <c r="AA60" s="197"/>
      <c r="AB60" s="197"/>
      <c r="AC60" s="195"/>
      <c r="AD60" s="194"/>
    </row>
    <row r="61" spans="1:30" ht="15.75">
      <c r="A61" s="208" t="s">
        <v>112</v>
      </c>
      <c r="B61" s="191"/>
      <c r="C61" s="190">
        <v>0</v>
      </c>
      <c r="D61" s="207" t="s">
        <v>3</v>
      </c>
      <c r="E61" s="230">
        <v>196</v>
      </c>
      <c r="F61" s="174">
        <f t="shared" ref="F61:F71" si="36">E61*C61</f>
        <v>0</v>
      </c>
      <c r="G61" s="186">
        <v>0.05</v>
      </c>
      <c r="H61" s="186">
        <v>0.02</v>
      </c>
      <c r="I61" s="186">
        <v>0.05</v>
      </c>
      <c r="J61" s="187">
        <v>0.122</v>
      </c>
      <c r="K61" s="186">
        <v>0.1</v>
      </c>
      <c r="L61" s="171">
        <f t="shared" ref="L61:L71" si="37">F61*G61</f>
        <v>0</v>
      </c>
      <c r="M61" s="171">
        <f t="shared" ref="M61:M71" si="38">(F61+L61)*H61</f>
        <v>0</v>
      </c>
      <c r="N61" s="171">
        <f t="shared" ref="N61:N71" si="39">(F61+L61+M61)*I61</f>
        <v>0</v>
      </c>
      <c r="O61" s="171">
        <f t="shared" ref="O61:O71" si="40">(F61+L61+M61+N61)*J61</f>
        <v>0</v>
      </c>
      <c r="P61" s="171">
        <f t="shared" ref="P61:P71" si="41">(F61+L61+M61+N61+O61)*K61</f>
        <v>0</v>
      </c>
      <c r="Q61" s="170">
        <f t="shared" ref="Q61:Q71" si="42">F61+SUM(L61:P61)</f>
        <v>0</v>
      </c>
      <c r="R61" s="185">
        <v>0.05</v>
      </c>
      <c r="S61" s="185">
        <v>0.05</v>
      </c>
      <c r="T61" s="185">
        <v>0.05</v>
      </c>
      <c r="U61" s="184">
        <v>0.1</v>
      </c>
      <c r="V61" s="167">
        <f t="shared" ref="V61:V71" si="43">Q61*R61</f>
        <v>0</v>
      </c>
      <c r="W61" s="167">
        <f t="shared" ref="W61:W71" si="44">Q61*S61</f>
        <v>0</v>
      </c>
      <c r="X61" s="167">
        <f t="shared" ref="X61:X71" si="45">Q61*T61</f>
        <v>0</v>
      </c>
      <c r="Y61" s="167">
        <f t="shared" ref="Y61:Y71" si="46">U61*(V61+W61)</f>
        <v>0</v>
      </c>
      <c r="Z61" s="183">
        <f t="shared" ref="Z61:Z71" si="47">Q61+SUM(V61:Y61)</f>
        <v>0</v>
      </c>
      <c r="AA61" s="182">
        <v>70</v>
      </c>
      <c r="AB61" s="181"/>
      <c r="AC61" s="180">
        <v>70</v>
      </c>
      <c r="AD61" s="193"/>
    </row>
    <row r="62" spans="1:30" ht="15.75">
      <c r="A62" s="208" t="s">
        <v>111</v>
      </c>
      <c r="B62" s="191"/>
      <c r="C62" s="190">
        <v>0</v>
      </c>
      <c r="D62" s="207" t="s">
        <v>3</v>
      </c>
      <c r="E62" s="230">
        <v>207</v>
      </c>
      <c r="F62" s="174">
        <f t="shared" si="36"/>
        <v>0</v>
      </c>
      <c r="G62" s="186">
        <v>0.05</v>
      </c>
      <c r="H62" s="186">
        <v>0.02</v>
      </c>
      <c r="I62" s="186">
        <v>0.05</v>
      </c>
      <c r="J62" s="187">
        <v>0.122</v>
      </c>
      <c r="K62" s="186">
        <v>0.1</v>
      </c>
      <c r="L62" s="171">
        <f t="shared" si="37"/>
        <v>0</v>
      </c>
      <c r="M62" s="171">
        <f t="shared" si="38"/>
        <v>0</v>
      </c>
      <c r="N62" s="171">
        <f t="shared" si="39"/>
        <v>0</v>
      </c>
      <c r="O62" s="171">
        <f t="shared" si="40"/>
        <v>0</v>
      </c>
      <c r="P62" s="171">
        <f t="shared" si="41"/>
        <v>0</v>
      </c>
      <c r="Q62" s="170">
        <f t="shared" si="42"/>
        <v>0</v>
      </c>
      <c r="R62" s="185">
        <v>0.05</v>
      </c>
      <c r="S62" s="185">
        <v>0.05</v>
      </c>
      <c r="T62" s="185">
        <v>0.05</v>
      </c>
      <c r="U62" s="184">
        <v>0.1</v>
      </c>
      <c r="V62" s="167">
        <f t="shared" si="43"/>
        <v>0</v>
      </c>
      <c r="W62" s="167">
        <f t="shared" si="44"/>
        <v>0</v>
      </c>
      <c r="X62" s="167">
        <f t="shared" si="45"/>
        <v>0</v>
      </c>
      <c r="Y62" s="167">
        <f t="shared" si="46"/>
        <v>0</v>
      </c>
      <c r="Z62" s="183">
        <f t="shared" si="47"/>
        <v>0</v>
      </c>
      <c r="AA62" s="182">
        <v>70</v>
      </c>
      <c r="AB62" s="181"/>
      <c r="AC62" s="180">
        <v>70</v>
      </c>
      <c r="AD62" s="193"/>
    </row>
    <row r="63" spans="1:30" ht="15.75">
      <c r="A63" s="208" t="s">
        <v>110</v>
      </c>
      <c r="B63" s="191"/>
      <c r="C63" s="190">
        <v>0</v>
      </c>
      <c r="D63" s="207" t="s">
        <v>3</v>
      </c>
      <c r="E63" s="230">
        <v>221</v>
      </c>
      <c r="F63" s="174">
        <f t="shared" si="36"/>
        <v>0</v>
      </c>
      <c r="G63" s="186">
        <v>0.05</v>
      </c>
      <c r="H63" s="186">
        <v>0.02</v>
      </c>
      <c r="I63" s="186">
        <v>0.05</v>
      </c>
      <c r="J63" s="187">
        <v>0.122</v>
      </c>
      <c r="K63" s="186">
        <v>0.1</v>
      </c>
      <c r="L63" s="171">
        <f t="shared" si="37"/>
        <v>0</v>
      </c>
      <c r="M63" s="171">
        <f t="shared" si="38"/>
        <v>0</v>
      </c>
      <c r="N63" s="171">
        <f t="shared" si="39"/>
        <v>0</v>
      </c>
      <c r="O63" s="171">
        <f t="shared" si="40"/>
        <v>0</v>
      </c>
      <c r="P63" s="171">
        <f t="shared" si="41"/>
        <v>0</v>
      </c>
      <c r="Q63" s="170">
        <f t="shared" si="42"/>
        <v>0</v>
      </c>
      <c r="R63" s="185">
        <v>0.05</v>
      </c>
      <c r="S63" s="185">
        <v>0.05</v>
      </c>
      <c r="T63" s="185">
        <v>0.05</v>
      </c>
      <c r="U63" s="184">
        <v>0.1</v>
      </c>
      <c r="V63" s="167">
        <f t="shared" si="43"/>
        <v>0</v>
      </c>
      <c r="W63" s="167">
        <f t="shared" si="44"/>
        <v>0</v>
      </c>
      <c r="X63" s="167">
        <f t="shared" si="45"/>
        <v>0</v>
      </c>
      <c r="Y63" s="167">
        <f t="shared" si="46"/>
        <v>0</v>
      </c>
      <c r="Z63" s="183">
        <f t="shared" si="47"/>
        <v>0</v>
      </c>
      <c r="AA63" s="182">
        <v>70</v>
      </c>
      <c r="AB63" s="181"/>
      <c r="AC63" s="180">
        <v>70</v>
      </c>
      <c r="AD63" s="193"/>
    </row>
    <row r="64" spans="1:30" ht="15.75">
      <c r="A64" s="208" t="s">
        <v>109</v>
      </c>
      <c r="B64" s="191"/>
      <c r="C64" s="190">
        <v>2150</v>
      </c>
      <c r="D64" s="207" t="s">
        <v>3</v>
      </c>
      <c r="E64" s="230">
        <v>254</v>
      </c>
      <c r="F64" s="174">
        <f t="shared" si="36"/>
        <v>546100</v>
      </c>
      <c r="G64" s="186">
        <v>0.05</v>
      </c>
      <c r="H64" s="186">
        <v>0.02</v>
      </c>
      <c r="I64" s="186">
        <v>0.05</v>
      </c>
      <c r="J64" s="187">
        <v>0.122</v>
      </c>
      <c r="K64" s="186">
        <v>0.1</v>
      </c>
      <c r="L64" s="171">
        <f t="shared" si="37"/>
        <v>27305</v>
      </c>
      <c r="M64" s="171">
        <f t="shared" si="38"/>
        <v>11468.1</v>
      </c>
      <c r="N64" s="171">
        <f t="shared" si="39"/>
        <v>29243.654999999999</v>
      </c>
      <c r="O64" s="171">
        <f t="shared" si="40"/>
        <v>74922.24411</v>
      </c>
      <c r="P64" s="171">
        <f t="shared" si="41"/>
        <v>68903.899911</v>
      </c>
      <c r="Q64" s="170">
        <f t="shared" si="42"/>
        <v>757942.89902100002</v>
      </c>
      <c r="R64" s="185">
        <v>0.05</v>
      </c>
      <c r="S64" s="185">
        <v>0.05</v>
      </c>
      <c r="T64" s="185">
        <v>0.05</v>
      </c>
      <c r="U64" s="184">
        <v>0.1</v>
      </c>
      <c r="V64" s="167">
        <f t="shared" si="43"/>
        <v>37897.144951050002</v>
      </c>
      <c r="W64" s="167">
        <f t="shared" si="44"/>
        <v>37897.144951050002</v>
      </c>
      <c r="X64" s="167">
        <f t="shared" si="45"/>
        <v>37897.144951050002</v>
      </c>
      <c r="Y64" s="167">
        <f t="shared" si="46"/>
        <v>7579.4289902100008</v>
      </c>
      <c r="Z64" s="183">
        <f t="shared" si="47"/>
        <v>879213.76286436</v>
      </c>
      <c r="AA64" s="182">
        <v>70</v>
      </c>
      <c r="AB64" s="181"/>
      <c r="AC64" s="180">
        <v>70</v>
      </c>
      <c r="AD64" s="193"/>
    </row>
    <row r="65" spans="1:30" ht="15.75">
      <c r="A65" s="208" t="s">
        <v>108</v>
      </c>
      <c r="B65" s="191"/>
      <c r="C65" s="190">
        <v>0</v>
      </c>
      <c r="D65" s="207" t="s">
        <v>3</v>
      </c>
      <c r="E65" s="230">
        <v>263</v>
      </c>
      <c r="F65" s="174">
        <f t="shared" si="36"/>
        <v>0</v>
      </c>
      <c r="G65" s="186">
        <v>0.05</v>
      </c>
      <c r="H65" s="186">
        <v>0.02</v>
      </c>
      <c r="I65" s="186">
        <v>0.05</v>
      </c>
      <c r="J65" s="187">
        <v>0.122</v>
      </c>
      <c r="K65" s="186">
        <v>0.1</v>
      </c>
      <c r="L65" s="171">
        <f t="shared" si="37"/>
        <v>0</v>
      </c>
      <c r="M65" s="171">
        <f t="shared" si="38"/>
        <v>0</v>
      </c>
      <c r="N65" s="171">
        <f t="shared" si="39"/>
        <v>0</v>
      </c>
      <c r="O65" s="171">
        <f t="shared" si="40"/>
        <v>0</v>
      </c>
      <c r="P65" s="171">
        <f t="shared" si="41"/>
        <v>0</v>
      </c>
      <c r="Q65" s="170">
        <f t="shared" si="42"/>
        <v>0</v>
      </c>
      <c r="R65" s="185">
        <v>0.05</v>
      </c>
      <c r="S65" s="185">
        <v>0.05</v>
      </c>
      <c r="T65" s="185">
        <v>0.05</v>
      </c>
      <c r="U65" s="184">
        <v>0.1</v>
      </c>
      <c r="V65" s="167">
        <f t="shared" si="43"/>
        <v>0</v>
      </c>
      <c r="W65" s="167">
        <f t="shared" si="44"/>
        <v>0</v>
      </c>
      <c r="X65" s="167">
        <f t="shared" si="45"/>
        <v>0</v>
      </c>
      <c r="Y65" s="167">
        <f t="shared" si="46"/>
        <v>0</v>
      </c>
      <c r="Z65" s="183">
        <f t="shared" si="47"/>
        <v>0</v>
      </c>
      <c r="AA65" s="182">
        <v>70</v>
      </c>
      <c r="AB65" s="181"/>
      <c r="AC65" s="180">
        <v>70</v>
      </c>
      <c r="AD65" s="193"/>
    </row>
    <row r="66" spans="1:30" ht="15.75">
      <c r="A66" s="208" t="s">
        <v>107</v>
      </c>
      <c r="B66" s="191"/>
      <c r="C66" s="190">
        <v>0</v>
      </c>
      <c r="D66" s="207" t="s">
        <v>3</v>
      </c>
      <c r="E66" s="230">
        <v>291</v>
      </c>
      <c r="F66" s="174">
        <f t="shared" si="36"/>
        <v>0</v>
      </c>
      <c r="G66" s="186">
        <v>0.05</v>
      </c>
      <c r="H66" s="186">
        <v>0.02</v>
      </c>
      <c r="I66" s="186">
        <v>0.05</v>
      </c>
      <c r="J66" s="187">
        <v>0.122</v>
      </c>
      <c r="K66" s="186">
        <v>0.1</v>
      </c>
      <c r="L66" s="171">
        <f t="shared" si="37"/>
        <v>0</v>
      </c>
      <c r="M66" s="171">
        <f t="shared" si="38"/>
        <v>0</v>
      </c>
      <c r="N66" s="171">
        <f t="shared" si="39"/>
        <v>0</v>
      </c>
      <c r="O66" s="171">
        <f t="shared" si="40"/>
        <v>0</v>
      </c>
      <c r="P66" s="171">
        <f t="shared" si="41"/>
        <v>0</v>
      </c>
      <c r="Q66" s="170">
        <f t="shared" si="42"/>
        <v>0</v>
      </c>
      <c r="R66" s="185">
        <v>0.05</v>
      </c>
      <c r="S66" s="185">
        <v>0.05</v>
      </c>
      <c r="T66" s="185">
        <v>0.05</v>
      </c>
      <c r="U66" s="184">
        <v>0.1</v>
      </c>
      <c r="V66" s="167">
        <f t="shared" si="43"/>
        <v>0</v>
      </c>
      <c r="W66" s="167">
        <f t="shared" si="44"/>
        <v>0</v>
      </c>
      <c r="X66" s="167">
        <f t="shared" si="45"/>
        <v>0</v>
      </c>
      <c r="Y66" s="167">
        <f t="shared" si="46"/>
        <v>0</v>
      </c>
      <c r="Z66" s="183">
        <f t="shared" si="47"/>
        <v>0</v>
      </c>
      <c r="AA66" s="182">
        <v>70</v>
      </c>
      <c r="AB66" s="181"/>
      <c r="AC66" s="180">
        <v>70</v>
      </c>
      <c r="AD66" s="193"/>
    </row>
    <row r="67" spans="1:30" ht="15.75">
      <c r="A67" s="208" t="s">
        <v>106</v>
      </c>
      <c r="B67" s="191"/>
      <c r="C67" s="190">
        <v>0</v>
      </c>
      <c r="D67" s="207" t="s">
        <v>3</v>
      </c>
      <c r="E67" s="230">
        <v>316</v>
      </c>
      <c r="F67" s="174">
        <f t="shared" si="36"/>
        <v>0</v>
      </c>
      <c r="G67" s="186">
        <v>0.05</v>
      </c>
      <c r="H67" s="186">
        <v>0.02</v>
      </c>
      <c r="I67" s="186">
        <v>0.05</v>
      </c>
      <c r="J67" s="187">
        <v>0.122</v>
      </c>
      <c r="K67" s="186">
        <v>0.1</v>
      </c>
      <c r="L67" s="171">
        <f t="shared" si="37"/>
        <v>0</v>
      </c>
      <c r="M67" s="171">
        <f t="shared" si="38"/>
        <v>0</v>
      </c>
      <c r="N67" s="171">
        <f t="shared" si="39"/>
        <v>0</v>
      </c>
      <c r="O67" s="171">
        <f t="shared" si="40"/>
        <v>0</v>
      </c>
      <c r="P67" s="171">
        <f t="shared" si="41"/>
        <v>0</v>
      </c>
      <c r="Q67" s="170">
        <f t="shared" si="42"/>
        <v>0</v>
      </c>
      <c r="R67" s="185">
        <v>0.05</v>
      </c>
      <c r="S67" s="185">
        <v>0.05</v>
      </c>
      <c r="T67" s="185">
        <v>0.05</v>
      </c>
      <c r="U67" s="184">
        <v>0.1</v>
      </c>
      <c r="V67" s="167">
        <f t="shared" si="43"/>
        <v>0</v>
      </c>
      <c r="W67" s="167">
        <f t="shared" si="44"/>
        <v>0</v>
      </c>
      <c r="X67" s="167">
        <f t="shared" si="45"/>
        <v>0</v>
      </c>
      <c r="Y67" s="167">
        <f t="shared" si="46"/>
        <v>0</v>
      </c>
      <c r="Z67" s="183">
        <f t="shared" si="47"/>
        <v>0</v>
      </c>
      <c r="AA67" s="182">
        <v>70</v>
      </c>
      <c r="AB67" s="181"/>
      <c r="AC67" s="180">
        <v>70</v>
      </c>
      <c r="AD67" s="193"/>
    </row>
    <row r="68" spans="1:30" ht="15.75">
      <c r="A68" s="208" t="s">
        <v>105</v>
      </c>
      <c r="B68" s="191"/>
      <c r="C68" s="190">
        <v>0</v>
      </c>
      <c r="D68" s="207" t="s">
        <v>3</v>
      </c>
      <c r="E68" s="230">
        <v>345</v>
      </c>
      <c r="F68" s="174">
        <f t="shared" si="36"/>
        <v>0</v>
      </c>
      <c r="G68" s="186">
        <v>0.05</v>
      </c>
      <c r="H68" s="186">
        <v>0.02</v>
      </c>
      <c r="I68" s="186">
        <v>0.05</v>
      </c>
      <c r="J68" s="187">
        <v>0.122</v>
      </c>
      <c r="K68" s="186">
        <v>0.1</v>
      </c>
      <c r="L68" s="171">
        <f t="shared" si="37"/>
        <v>0</v>
      </c>
      <c r="M68" s="171">
        <f t="shared" si="38"/>
        <v>0</v>
      </c>
      <c r="N68" s="171">
        <f t="shared" si="39"/>
        <v>0</v>
      </c>
      <c r="O68" s="171">
        <f t="shared" si="40"/>
        <v>0</v>
      </c>
      <c r="P68" s="171">
        <f t="shared" si="41"/>
        <v>0</v>
      </c>
      <c r="Q68" s="170">
        <f t="shared" si="42"/>
        <v>0</v>
      </c>
      <c r="R68" s="185">
        <v>0.05</v>
      </c>
      <c r="S68" s="185">
        <v>0.05</v>
      </c>
      <c r="T68" s="185">
        <v>0.05</v>
      </c>
      <c r="U68" s="184">
        <v>0.1</v>
      </c>
      <c r="V68" s="167">
        <f t="shared" si="43"/>
        <v>0</v>
      </c>
      <c r="W68" s="167">
        <f t="shared" si="44"/>
        <v>0</v>
      </c>
      <c r="X68" s="167">
        <f t="shared" si="45"/>
        <v>0</v>
      </c>
      <c r="Y68" s="167">
        <f t="shared" si="46"/>
        <v>0</v>
      </c>
      <c r="Z68" s="183">
        <f t="shared" si="47"/>
        <v>0</v>
      </c>
      <c r="AA68" s="182">
        <v>70</v>
      </c>
      <c r="AB68" s="181"/>
      <c r="AC68" s="180">
        <v>70</v>
      </c>
      <c r="AD68" s="193"/>
    </row>
    <row r="69" spans="1:30" ht="15.75">
      <c r="A69" s="208" t="s">
        <v>104</v>
      </c>
      <c r="B69" s="191"/>
      <c r="C69" s="190">
        <v>0</v>
      </c>
      <c r="D69" s="207" t="s">
        <v>3</v>
      </c>
      <c r="E69" s="230">
        <v>387</v>
      </c>
      <c r="F69" s="174">
        <f t="shared" si="36"/>
        <v>0</v>
      </c>
      <c r="G69" s="186">
        <v>0.05</v>
      </c>
      <c r="H69" s="186">
        <v>0.02</v>
      </c>
      <c r="I69" s="186">
        <v>0.05</v>
      </c>
      <c r="J69" s="187">
        <v>0.122</v>
      </c>
      <c r="K69" s="186">
        <v>0.1</v>
      </c>
      <c r="L69" s="171">
        <f t="shared" si="37"/>
        <v>0</v>
      </c>
      <c r="M69" s="171">
        <f t="shared" si="38"/>
        <v>0</v>
      </c>
      <c r="N69" s="171">
        <f t="shared" si="39"/>
        <v>0</v>
      </c>
      <c r="O69" s="171">
        <f t="shared" si="40"/>
        <v>0</v>
      </c>
      <c r="P69" s="171">
        <f t="shared" si="41"/>
        <v>0</v>
      </c>
      <c r="Q69" s="170">
        <f t="shared" si="42"/>
        <v>0</v>
      </c>
      <c r="R69" s="185">
        <v>0.05</v>
      </c>
      <c r="S69" s="185">
        <v>0.05</v>
      </c>
      <c r="T69" s="185">
        <v>0.05</v>
      </c>
      <c r="U69" s="184">
        <v>0.1</v>
      </c>
      <c r="V69" s="167">
        <f t="shared" si="43"/>
        <v>0</v>
      </c>
      <c r="W69" s="167">
        <f t="shared" si="44"/>
        <v>0</v>
      </c>
      <c r="X69" s="167">
        <f t="shared" si="45"/>
        <v>0</v>
      </c>
      <c r="Y69" s="167">
        <f t="shared" si="46"/>
        <v>0</v>
      </c>
      <c r="Z69" s="183">
        <f t="shared" si="47"/>
        <v>0</v>
      </c>
      <c r="AA69" s="182">
        <v>70</v>
      </c>
      <c r="AB69" s="181"/>
      <c r="AC69" s="180">
        <v>70</v>
      </c>
      <c r="AD69" s="193"/>
    </row>
    <row r="70" spans="1:30" ht="15.75">
      <c r="A70" s="208" t="s">
        <v>103</v>
      </c>
      <c r="B70" s="191"/>
      <c r="C70" s="190">
        <v>0</v>
      </c>
      <c r="D70" s="207" t="s">
        <v>3</v>
      </c>
      <c r="E70" s="230">
        <v>422</v>
      </c>
      <c r="F70" s="174">
        <f t="shared" si="36"/>
        <v>0</v>
      </c>
      <c r="G70" s="186">
        <v>0.05</v>
      </c>
      <c r="H70" s="186">
        <v>0.02</v>
      </c>
      <c r="I70" s="186">
        <v>0.05</v>
      </c>
      <c r="J70" s="187">
        <v>0.122</v>
      </c>
      <c r="K70" s="186">
        <v>0.1</v>
      </c>
      <c r="L70" s="171">
        <f t="shared" si="37"/>
        <v>0</v>
      </c>
      <c r="M70" s="171">
        <f t="shared" si="38"/>
        <v>0</v>
      </c>
      <c r="N70" s="171">
        <f t="shared" si="39"/>
        <v>0</v>
      </c>
      <c r="O70" s="171">
        <f t="shared" si="40"/>
        <v>0</v>
      </c>
      <c r="P70" s="171">
        <f t="shared" si="41"/>
        <v>0</v>
      </c>
      <c r="Q70" s="170">
        <f t="shared" si="42"/>
        <v>0</v>
      </c>
      <c r="R70" s="185">
        <v>0.05</v>
      </c>
      <c r="S70" s="185">
        <v>0.05</v>
      </c>
      <c r="T70" s="185">
        <v>0.05</v>
      </c>
      <c r="U70" s="184">
        <v>0.1</v>
      </c>
      <c r="V70" s="167">
        <f t="shared" si="43"/>
        <v>0</v>
      </c>
      <c r="W70" s="167">
        <f t="shared" si="44"/>
        <v>0</v>
      </c>
      <c r="X70" s="167">
        <f t="shared" si="45"/>
        <v>0</v>
      </c>
      <c r="Y70" s="167">
        <f t="shared" si="46"/>
        <v>0</v>
      </c>
      <c r="Z70" s="183">
        <f t="shared" si="47"/>
        <v>0</v>
      </c>
      <c r="AA70" s="182">
        <v>70</v>
      </c>
      <c r="AB70" s="181"/>
      <c r="AC70" s="180">
        <v>70</v>
      </c>
      <c r="AD70" s="193"/>
    </row>
    <row r="71" spans="1:30" ht="15.75">
      <c r="A71" s="208" t="s">
        <v>102</v>
      </c>
      <c r="B71" s="191"/>
      <c r="C71" s="190">
        <v>0</v>
      </c>
      <c r="D71" s="207" t="s">
        <v>3</v>
      </c>
      <c r="E71" s="230">
        <v>476</v>
      </c>
      <c r="F71" s="174">
        <f t="shared" si="36"/>
        <v>0</v>
      </c>
      <c r="G71" s="186">
        <v>0.05</v>
      </c>
      <c r="H71" s="186">
        <v>0.02</v>
      </c>
      <c r="I71" s="186">
        <v>0.05</v>
      </c>
      <c r="J71" s="187">
        <v>0.122</v>
      </c>
      <c r="K71" s="186">
        <v>0.1</v>
      </c>
      <c r="L71" s="171">
        <f t="shared" si="37"/>
        <v>0</v>
      </c>
      <c r="M71" s="171">
        <f t="shared" si="38"/>
        <v>0</v>
      </c>
      <c r="N71" s="171">
        <f t="shared" si="39"/>
        <v>0</v>
      </c>
      <c r="O71" s="171">
        <f t="shared" si="40"/>
        <v>0</v>
      </c>
      <c r="P71" s="171">
        <f t="shared" si="41"/>
        <v>0</v>
      </c>
      <c r="Q71" s="170">
        <f t="shared" si="42"/>
        <v>0</v>
      </c>
      <c r="R71" s="185">
        <v>0.05</v>
      </c>
      <c r="S71" s="185">
        <v>0.05</v>
      </c>
      <c r="T71" s="185">
        <v>0.05</v>
      </c>
      <c r="U71" s="184">
        <v>0.1</v>
      </c>
      <c r="V71" s="167">
        <f t="shared" si="43"/>
        <v>0</v>
      </c>
      <c r="W71" s="167">
        <f t="shared" si="44"/>
        <v>0</v>
      </c>
      <c r="X71" s="167">
        <f t="shared" si="45"/>
        <v>0</v>
      </c>
      <c r="Y71" s="167">
        <f t="shared" si="46"/>
        <v>0</v>
      </c>
      <c r="Z71" s="183">
        <f t="shared" si="47"/>
        <v>0</v>
      </c>
      <c r="AA71" s="182">
        <v>70</v>
      </c>
      <c r="AB71" s="181"/>
      <c r="AC71" s="180">
        <v>70</v>
      </c>
      <c r="AD71" s="193"/>
    </row>
    <row r="72" spans="1:30" ht="18">
      <c r="A72" s="235" t="s">
        <v>22</v>
      </c>
      <c r="B72" s="234"/>
      <c r="C72" s="233"/>
      <c r="D72" s="232"/>
      <c r="E72" s="231"/>
      <c r="F72" s="200"/>
      <c r="G72" s="200"/>
      <c r="H72" s="200"/>
      <c r="I72" s="200"/>
      <c r="J72" s="201"/>
      <c r="K72" s="200"/>
      <c r="L72" s="200"/>
      <c r="M72" s="200"/>
      <c r="N72" s="200"/>
      <c r="O72" s="200"/>
      <c r="P72" s="200"/>
      <c r="Q72" s="200"/>
      <c r="R72" s="199"/>
      <c r="S72" s="199"/>
      <c r="T72" s="199"/>
      <c r="U72" s="197"/>
      <c r="V72" s="197"/>
      <c r="W72" s="197"/>
      <c r="X72" s="197"/>
      <c r="Y72" s="197"/>
      <c r="Z72" s="198"/>
      <c r="AA72" s="197"/>
      <c r="AB72" s="197"/>
      <c r="AC72" s="197"/>
      <c r="AD72" s="194"/>
    </row>
    <row r="73" spans="1:30" ht="15.75">
      <c r="A73" s="236" t="s">
        <v>101</v>
      </c>
      <c r="B73" s="191"/>
      <c r="C73" s="190">
        <v>0</v>
      </c>
      <c r="D73" s="207" t="s">
        <v>3</v>
      </c>
      <c r="E73" s="230">
        <v>207</v>
      </c>
      <c r="F73" s="174">
        <f t="shared" ref="F73:F82" si="48">E73*C73</f>
        <v>0</v>
      </c>
      <c r="G73" s="186">
        <v>0.05</v>
      </c>
      <c r="H73" s="186">
        <v>0.02</v>
      </c>
      <c r="I73" s="186">
        <v>0.05</v>
      </c>
      <c r="J73" s="187">
        <v>0.122</v>
      </c>
      <c r="K73" s="186">
        <v>0.1</v>
      </c>
      <c r="L73" s="171">
        <f t="shared" ref="L73:L82" si="49">F73*G73</f>
        <v>0</v>
      </c>
      <c r="M73" s="171">
        <f t="shared" ref="M73:M82" si="50">(F73+L73)*H73</f>
        <v>0</v>
      </c>
      <c r="N73" s="171">
        <f t="shared" ref="N73:N82" si="51">(F73+L73+M73)*I73</f>
        <v>0</v>
      </c>
      <c r="O73" s="171">
        <f t="shared" ref="O73:O82" si="52">(F73+L73+M73+N73)*J73</f>
        <v>0</v>
      </c>
      <c r="P73" s="171">
        <f t="shared" ref="P73:P82" si="53">(F73+L73+M73+N73+O73)*K73</f>
        <v>0</v>
      </c>
      <c r="Q73" s="170">
        <f t="shared" ref="Q73:Q82" si="54">F73+SUM(L73:P73)</f>
        <v>0</v>
      </c>
      <c r="R73" s="185">
        <v>0.05</v>
      </c>
      <c r="S73" s="185">
        <v>0.05</v>
      </c>
      <c r="T73" s="185">
        <v>0.05</v>
      </c>
      <c r="U73" s="184">
        <v>0.1</v>
      </c>
      <c r="V73" s="167">
        <f t="shared" ref="V73:V82" si="55">Q73*R73</f>
        <v>0</v>
      </c>
      <c r="W73" s="167">
        <f t="shared" ref="W73:W82" si="56">Q73*S73</f>
        <v>0</v>
      </c>
      <c r="X73" s="167">
        <f t="shared" ref="X73:X82" si="57">Q73*T73</f>
        <v>0</v>
      </c>
      <c r="Y73" s="167">
        <f t="shared" ref="Y73:Y82" si="58">U73*(V73+W73)</f>
        <v>0</v>
      </c>
      <c r="Z73" s="183">
        <f t="shared" ref="Z73:Z82" si="59">Q73+SUM(V73:Y73)</f>
        <v>0</v>
      </c>
      <c r="AA73" s="182">
        <v>70</v>
      </c>
      <c r="AB73" s="181"/>
      <c r="AC73" s="180">
        <v>70</v>
      </c>
      <c r="AD73" s="193"/>
    </row>
    <row r="74" spans="1:30" ht="15.75">
      <c r="A74" s="236" t="s">
        <v>100</v>
      </c>
      <c r="B74" s="191"/>
      <c r="C74" s="190">
        <v>0</v>
      </c>
      <c r="D74" s="207" t="s">
        <v>3</v>
      </c>
      <c r="E74" s="230">
        <v>221</v>
      </c>
      <c r="F74" s="174">
        <f t="shared" si="48"/>
        <v>0</v>
      </c>
      <c r="G74" s="186">
        <v>0.05</v>
      </c>
      <c r="H74" s="186">
        <v>0.02</v>
      </c>
      <c r="I74" s="186">
        <v>0.05</v>
      </c>
      <c r="J74" s="187">
        <v>0.122</v>
      </c>
      <c r="K74" s="186">
        <v>0.1</v>
      </c>
      <c r="L74" s="171">
        <f t="shared" si="49"/>
        <v>0</v>
      </c>
      <c r="M74" s="171">
        <f t="shared" si="50"/>
        <v>0</v>
      </c>
      <c r="N74" s="171">
        <f t="shared" si="51"/>
        <v>0</v>
      </c>
      <c r="O74" s="171">
        <f t="shared" si="52"/>
        <v>0</v>
      </c>
      <c r="P74" s="171">
        <f t="shared" si="53"/>
        <v>0</v>
      </c>
      <c r="Q74" s="170">
        <f t="shared" si="54"/>
        <v>0</v>
      </c>
      <c r="R74" s="185">
        <v>0.05</v>
      </c>
      <c r="S74" s="185">
        <v>0.05</v>
      </c>
      <c r="T74" s="185">
        <v>0.05</v>
      </c>
      <c r="U74" s="184">
        <v>0.1</v>
      </c>
      <c r="V74" s="167">
        <f t="shared" si="55"/>
        <v>0</v>
      </c>
      <c r="W74" s="167">
        <f t="shared" si="56"/>
        <v>0</v>
      </c>
      <c r="X74" s="167">
        <f t="shared" si="57"/>
        <v>0</v>
      </c>
      <c r="Y74" s="167">
        <f t="shared" si="58"/>
        <v>0</v>
      </c>
      <c r="Z74" s="183">
        <f t="shared" si="59"/>
        <v>0</v>
      </c>
      <c r="AA74" s="182">
        <v>70</v>
      </c>
      <c r="AB74" s="181"/>
      <c r="AC74" s="180">
        <v>70</v>
      </c>
      <c r="AD74" s="193"/>
    </row>
    <row r="75" spans="1:30" ht="15.75">
      <c r="A75" s="236" t="s">
        <v>99</v>
      </c>
      <c r="B75" s="191"/>
      <c r="C75" s="190">
        <v>0</v>
      </c>
      <c r="D75" s="207" t="s">
        <v>3</v>
      </c>
      <c r="E75" s="230">
        <v>254</v>
      </c>
      <c r="F75" s="174">
        <f t="shared" si="48"/>
        <v>0</v>
      </c>
      <c r="G75" s="186">
        <v>0.05</v>
      </c>
      <c r="H75" s="186">
        <v>0.02</v>
      </c>
      <c r="I75" s="186">
        <v>0.05</v>
      </c>
      <c r="J75" s="187">
        <v>0.122</v>
      </c>
      <c r="K75" s="186">
        <v>0.1</v>
      </c>
      <c r="L75" s="171">
        <f t="shared" si="49"/>
        <v>0</v>
      </c>
      <c r="M75" s="171">
        <f t="shared" si="50"/>
        <v>0</v>
      </c>
      <c r="N75" s="171">
        <f t="shared" si="51"/>
        <v>0</v>
      </c>
      <c r="O75" s="171">
        <f t="shared" si="52"/>
        <v>0</v>
      </c>
      <c r="P75" s="171">
        <f t="shared" si="53"/>
        <v>0</v>
      </c>
      <c r="Q75" s="170">
        <f t="shared" si="54"/>
        <v>0</v>
      </c>
      <c r="R75" s="185">
        <v>0.05</v>
      </c>
      <c r="S75" s="185">
        <v>0.05</v>
      </c>
      <c r="T75" s="185">
        <v>0.05</v>
      </c>
      <c r="U75" s="184">
        <v>0.1</v>
      </c>
      <c r="V75" s="167">
        <f t="shared" si="55"/>
        <v>0</v>
      </c>
      <c r="W75" s="167">
        <f t="shared" si="56"/>
        <v>0</v>
      </c>
      <c r="X75" s="167">
        <f t="shared" si="57"/>
        <v>0</v>
      </c>
      <c r="Y75" s="167">
        <f t="shared" si="58"/>
        <v>0</v>
      </c>
      <c r="Z75" s="183">
        <f t="shared" si="59"/>
        <v>0</v>
      </c>
      <c r="AA75" s="182">
        <v>70</v>
      </c>
      <c r="AB75" s="181"/>
      <c r="AC75" s="180">
        <v>70</v>
      </c>
      <c r="AD75" s="193"/>
    </row>
    <row r="76" spans="1:30" ht="15.75">
      <c r="A76" s="236" t="s">
        <v>98</v>
      </c>
      <c r="B76" s="191"/>
      <c r="C76" s="190">
        <v>0</v>
      </c>
      <c r="D76" s="207" t="s">
        <v>3</v>
      </c>
      <c r="E76" s="230">
        <v>263</v>
      </c>
      <c r="F76" s="174">
        <f t="shared" si="48"/>
        <v>0</v>
      </c>
      <c r="G76" s="186">
        <v>0.05</v>
      </c>
      <c r="H76" s="186">
        <v>0.02</v>
      </c>
      <c r="I76" s="186">
        <v>0.05</v>
      </c>
      <c r="J76" s="187">
        <v>0.122</v>
      </c>
      <c r="K76" s="186">
        <v>0.1</v>
      </c>
      <c r="L76" s="171">
        <f t="shared" si="49"/>
        <v>0</v>
      </c>
      <c r="M76" s="171">
        <f t="shared" si="50"/>
        <v>0</v>
      </c>
      <c r="N76" s="171">
        <f t="shared" si="51"/>
        <v>0</v>
      </c>
      <c r="O76" s="171">
        <f t="shared" si="52"/>
        <v>0</v>
      </c>
      <c r="P76" s="171">
        <f t="shared" si="53"/>
        <v>0</v>
      </c>
      <c r="Q76" s="170">
        <f t="shared" si="54"/>
        <v>0</v>
      </c>
      <c r="R76" s="185">
        <v>0.05</v>
      </c>
      <c r="S76" s="185">
        <v>0.05</v>
      </c>
      <c r="T76" s="185">
        <v>0.05</v>
      </c>
      <c r="U76" s="184">
        <v>0.1</v>
      </c>
      <c r="V76" s="167">
        <f t="shared" si="55"/>
        <v>0</v>
      </c>
      <c r="W76" s="167">
        <f t="shared" si="56"/>
        <v>0</v>
      </c>
      <c r="X76" s="167">
        <f t="shared" si="57"/>
        <v>0</v>
      </c>
      <c r="Y76" s="167">
        <f t="shared" si="58"/>
        <v>0</v>
      </c>
      <c r="Z76" s="183">
        <f t="shared" si="59"/>
        <v>0</v>
      </c>
      <c r="AA76" s="182">
        <v>70</v>
      </c>
      <c r="AB76" s="181"/>
      <c r="AC76" s="180">
        <v>70</v>
      </c>
      <c r="AD76" s="193"/>
    </row>
    <row r="77" spans="1:30" ht="15.75">
      <c r="A77" s="236" t="s">
        <v>97</v>
      </c>
      <c r="B77" s="191"/>
      <c r="C77" s="190">
        <v>0</v>
      </c>
      <c r="D77" s="207" t="s">
        <v>3</v>
      </c>
      <c r="E77" s="230">
        <v>291</v>
      </c>
      <c r="F77" s="174">
        <f t="shared" si="48"/>
        <v>0</v>
      </c>
      <c r="G77" s="186">
        <v>0.05</v>
      </c>
      <c r="H77" s="186">
        <v>0.02</v>
      </c>
      <c r="I77" s="186">
        <v>0.05</v>
      </c>
      <c r="J77" s="187">
        <v>0.122</v>
      </c>
      <c r="K77" s="186">
        <v>0.1</v>
      </c>
      <c r="L77" s="171">
        <f t="shared" si="49"/>
        <v>0</v>
      </c>
      <c r="M77" s="171">
        <f t="shared" si="50"/>
        <v>0</v>
      </c>
      <c r="N77" s="171">
        <f t="shared" si="51"/>
        <v>0</v>
      </c>
      <c r="O77" s="171">
        <f t="shared" si="52"/>
        <v>0</v>
      </c>
      <c r="P77" s="171">
        <f t="shared" si="53"/>
        <v>0</v>
      </c>
      <c r="Q77" s="170">
        <f t="shared" si="54"/>
        <v>0</v>
      </c>
      <c r="R77" s="185">
        <v>0.05</v>
      </c>
      <c r="S77" s="185">
        <v>0.05</v>
      </c>
      <c r="T77" s="185">
        <v>0.05</v>
      </c>
      <c r="U77" s="184">
        <v>0.1</v>
      </c>
      <c r="V77" s="167">
        <f t="shared" si="55"/>
        <v>0</v>
      </c>
      <c r="W77" s="167">
        <f t="shared" si="56"/>
        <v>0</v>
      </c>
      <c r="X77" s="167">
        <f t="shared" si="57"/>
        <v>0</v>
      </c>
      <c r="Y77" s="167">
        <f t="shared" si="58"/>
        <v>0</v>
      </c>
      <c r="Z77" s="183">
        <f t="shared" si="59"/>
        <v>0</v>
      </c>
      <c r="AA77" s="182">
        <v>70</v>
      </c>
      <c r="AB77" s="181"/>
      <c r="AC77" s="180">
        <v>70</v>
      </c>
      <c r="AD77" s="193"/>
    </row>
    <row r="78" spans="1:30" ht="15.75">
      <c r="A78" s="236" t="s">
        <v>96</v>
      </c>
      <c r="B78" s="191"/>
      <c r="C78" s="237">
        <v>0</v>
      </c>
      <c r="D78" s="207" t="s">
        <v>3</v>
      </c>
      <c r="E78" s="230">
        <v>316</v>
      </c>
      <c r="F78" s="174">
        <f t="shared" si="48"/>
        <v>0</v>
      </c>
      <c r="G78" s="186">
        <v>0.05</v>
      </c>
      <c r="H78" s="186">
        <v>0.02</v>
      </c>
      <c r="I78" s="186">
        <v>0.05</v>
      </c>
      <c r="J78" s="187">
        <v>0.122</v>
      </c>
      <c r="K78" s="186">
        <v>0.1</v>
      </c>
      <c r="L78" s="171">
        <f t="shared" si="49"/>
        <v>0</v>
      </c>
      <c r="M78" s="171">
        <f t="shared" si="50"/>
        <v>0</v>
      </c>
      <c r="N78" s="171">
        <f t="shared" si="51"/>
        <v>0</v>
      </c>
      <c r="O78" s="171">
        <f t="shared" si="52"/>
        <v>0</v>
      </c>
      <c r="P78" s="171">
        <f t="shared" si="53"/>
        <v>0</v>
      </c>
      <c r="Q78" s="170">
        <f t="shared" si="54"/>
        <v>0</v>
      </c>
      <c r="R78" s="185">
        <v>0.05</v>
      </c>
      <c r="S78" s="185">
        <v>0.05</v>
      </c>
      <c r="T78" s="185">
        <v>0.05</v>
      </c>
      <c r="U78" s="184">
        <v>0.1</v>
      </c>
      <c r="V78" s="167">
        <f t="shared" si="55"/>
        <v>0</v>
      </c>
      <c r="W78" s="167">
        <f t="shared" si="56"/>
        <v>0</v>
      </c>
      <c r="X78" s="167">
        <f t="shared" si="57"/>
        <v>0</v>
      </c>
      <c r="Y78" s="167">
        <f t="shared" si="58"/>
        <v>0</v>
      </c>
      <c r="Z78" s="183">
        <f t="shared" si="59"/>
        <v>0</v>
      </c>
      <c r="AA78" s="182">
        <v>70</v>
      </c>
      <c r="AB78" s="181"/>
      <c r="AC78" s="180">
        <v>70</v>
      </c>
      <c r="AD78" s="193"/>
    </row>
    <row r="79" spans="1:30" ht="15.75">
      <c r="A79" s="236" t="s">
        <v>95</v>
      </c>
      <c r="B79" s="191"/>
      <c r="C79" s="190">
        <v>0</v>
      </c>
      <c r="D79" s="207" t="s">
        <v>3</v>
      </c>
      <c r="E79" s="230">
        <v>345</v>
      </c>
      <c r="F79" s="174">
        <f t="shared" si="48"/>
        <v>0</v>
      </c>
      <c r="G79" s="186">
        <v>0.05</v>
      </c>
      <c r="H79" s="186">
        <v>0.02</v>
      </c>
      <c r="I79" s="186">
        <v>0.05</v>
      </c>
      <c r="J79" s="187">
        <v>0.122</v>
      </c>
      <c r="K79" s="186">
        <v>0.1</v>
      </c>
      <c r="L79" s="171">
        <f t="shared" si="49"/>
        <v>0</v>
      </c>
      <c r="M79" s="171">
        <f t="shared" si="50"/>
        <v>0</v>
      </c>
      <c r="N79" s="171">
        <f t="shared" si="51"/>
        <v>0</v>
      </c>
      <c r="O79" s="171">
        <f t="shared" si="52"/>
        <v>0</v>
      </c>
      <c r="P79" s="171">
        <f t="shared" si="53"/>
        <v>0</v>
      </c>
      <c r="Q79" s="170">
        <f t="shared" si="54"/>
        <v>0</v>
      </c>
      <c r="R79" s="185">
        <v>0.05</v>
      </c>
      <c r="S79" s="185">
        <v>0.05</v>
      </c>
      <c r="T79" s="185">
        <v>0.05</v>
      </c>
      <c r="U79" s="184">
        <v>0.1</v>
      </c>
      <c r="V79" s="167">
        <f t="shared" si="55"/>
        <v>0</v>
      </c>
      <c r="W79" s="167">
        <f t="shared" si="56"/>
        <v>0</v>
      </c>
      <c r="X79" s="167">
        <f t="shared" si="57"/>
        <v>0</v>
      </c>
      <c r="Y79" s="167">
        <f t="shared" si="58"/>
        <v>0</v>
      </c>
      <c r="Z79" s="183">
        <f t="shared" si="59"/>
        <v>0</v>
      </c>
      <c r="AA79" s="182">
        <v>70</v>
      </c>
      <c r="AB79" s="181"/>
      <c r="AC79" s="180">
        <v>70</v>
      </c>
      <c r="AD79" s="193"/>
    </row>
    <row r="80" spans="1:30" ht="15.75">
      <c r="A80" s="236" t="s">
        <v>94</v>
      </c>
      <c r="B80" s="191"/>
      <c r="C80" s="190">
        <v>0</v>
      </c>
      <c r="D80" s="207" t="s">
        <v>3</v>
      </c>
      <c r="E80" s="230">
        <v>387</v>
      </c>
      <c r="F80" s="174">
        <f t="shared" si="48"/>
        <v>0</v>
      </c>
      <c r="G80" s="186">
        <v>0.05</v>
      </c>
      <c r="H80" s="186">
        <v>0.02</v>
      </c>
      <c r="I80" s="186">
        <v>0.05</v>
      </c>
      <c r="J80" s="187">
        <v>0.122</v>
      </c>
      <c r="K80" s="186">
        <v>0.1</v>
      </c>
      <c r="L80" s="171">
        <f t="shared" si="49"/>
        <v>0</v>
      </c>
      <c r="M80" s="171">
        <f t="shared" si="50"/>
        <v>0</v>
      </c>
      <c r="N80" s="171">
        <f t="shared" si="51"/>
        <v>0</v>
      </c>
      <c r="O80" s="171">
        <f t="shared" si="52"/>
        <v>0</v>
      </c>
      <c r="P80" s="171">
        <f t="shared" si="53"/>
        <v>0</v>
      </c>
      <c r="Q80" s="170">
        <f t="shared" si="54"/>
        <v>0</v>
      </c>
      <c r="R80" s="185">
        <v>0.05</v>
      </c>
      <c r="S80" s="185">
        <v>0.05</v>
      </c>
      <c r="T80" s="185">
        <v>0.05</v>
      </c>
      <c r="U80" s="184">
        <v>0.1</v>
      </c>
      <c r="V80" s="167">
        <f t="shared" si="55"/>
        <v>0</v>
      </c>
      <c r="W80" s="167">
        <f t="shared" si="56"/>
        <v>0</v>
      </c>
      <c r="X80" s="167">
        <f t="shared" si="57"/>
        <v>0</v>
      </c>
      <c r="Y80" s="167">
        <f t="shared" si="58"/>
        <v>0</v>
      </c>
      <c r="Z80" s="183">
        <f t="shared" si="59"/>
        <v>0</v>
      </c>
      <c r="AA80" s="182">
        <v>70</v>
      </c>
      <c r="AB80" s="181"/>
      <c r="AC80" s="180">
        <v>70</v>
      </c>
      <c r="AD80" s="193"/>
    </row>
    <row r="81" spans="1:30" ht="15.75">
      <c r="A81" s="236" t="s">
        <v>93</v>
      </c>
      <c r="B81" s="191"/>
      <c r="C81" s="190">
        <v>0</v>
      </c>
      <c r="D81" s="207" t="s">
        <v>3</v>
      </c>
      <c r="E81" s="230">
        <v>422</v>
      </c>
      <c r="F81" s="174">
        <f t="shared" si="48"/>
        <v>0</v>
      </c>
      <c r="G81" s="186">
        <v>0.05</v>
      </c>
      <c r="H81" s="186">
        <v>0.02</v>
      </c>
      <c r="I81" s="186">
        <v>0.05</v>
      </c>
      <c r="J81" s="187">
        <v>0.122</v>
      </c>
      <c r="K81" s="186">
        <v>0.1</v>
      </c>
      <c r="L81" s="171">
        <f t="shared" si="49"/>
        <v>0</v>
      </c>
      <c r="M81" s="171">
        <f t="shared" si="50"/>
        <v>0</v>
      </c>
      <c r="N81" s="171">
        <f t="shared" si="51"/>
        <v>0</v>
      </c>
      <c r="O81" s="171">
        <f t="shared" si="52"/>
        <v>0</v>
      </c>
      <c r="P81" s="171">
        <f t="shared" si="53"/>
        <v>0</v>
      </c>
      <c r="Q81" s="170">
        <f t="shared" si="54"/>
        <v>0</v>
      </c>
      <c r="R81" s="185">
        <v>0.05</v>
      </c>
      <c r="S81" s="185">
        <v>0.05</v>
      </c>
      <c r="T81" s="185">
        <v>0.05</v>
      </c>
      <c r="U81" s="184">
        <v>0.1</v>
      </c>
      <c r="V81" s="167">
        <f t="shared" si="55"/>
        <v>0</v>
      </c>
      <c r="W81" s="167">
        <f t="shared" si="56"/>
        <v>0</v>
      </c>
      <c r="X81" s="167">
        <f t="shared" si="57"/>
        <v>0</v>
      </c>
      <c r="Y81" s="167">
        <f t="shared" si="58"/>
        <v>0</v>
      </c>
      <c r="Z81" s="183">
        <f t="shared" si="59"/>
        <v>0</v>
      </c>
      <c r="AA81" s="182">
        <v>70</v>
      </c>
      <c r="AB81" s="181"/>
      <c r="AC81" s="180">
        <v>70</v>
      </c>
      <c r="AD81" s="193"/>
    </row>
    <row r="82" spans="1:30" ht="15.75">
      <c r="A82" s="236" t="s">
        <v>92</v>
      </c>
      <c r="B82" s="191"/>
      <c r="C82" s="190">
        <v>0</v>
      </c>
      <c r="D82" s="207" t="s">
        <v>3</v>
      </c>
      <c r="E82" s="230">
        <v>476</v>
      </c>
      <c r="F82" s="174">
        <f t="shared" si="48"/>
        <v>0</v>
      </c>
      <c r="G82" s="186">
        <v>0.05</v>
      </c>
      <c r="H82" s="186">
        <v>0.02</v>
      </c>
      <c r="I82" s="186">
        <v>0.05</v>
      </c>
      <c r="J82" s="187">
        <v>0.122</v>
      </c>
      <c r="K82" s="186">
        <v>0.1</v>
      </c>
      <c r="L82" s="171">
        <f t="shared" si="49"/>
        <v>0</v>
      </c>
      <c r="M82" s="171">
        <f t="shared" si="50"/>
        <v>0</v>
      </c>
      <c r="N82" s="171">
        <f t="shared" si="51"/>
        <v>0</v>
      </c>
      <c r="O82" s="171">
        <f t="shared" si="52"/>
        <v>0</v>
      </c>
      <c r="P82" s="171">
        <f t="shared" si="53"/>
        <v>0</v>
      </c>
      <c r="Q82" s="170">
        <f t="shared" si="54"/>
        <v>0</v>
      </c>
      <c r="R82" s="185">
        <v>0.05</v>
      </c>
      <c r="S82" s="185">
        <v>0.05</v>
      </c>
      <c r="T82" s="185">
        <v>0.05</v>
      </c>
      <c r="U82" s="184">
        <v>0.1</v>
      </c>
      <c r="V82" s="167">
        <f t="shared" si="55"/>
        <v>0</v>
      </c>
      <c r="W82" s="167">
        <f t="shared" si="56"/>
        <v>0</v>
      </c>
      <c r="X82" s="167">
        <f t="shared" si="57"/>
        <v>0</v>
      </c>
      <c r="Y82" s="167">
        <f t="shared" si="58"/>
        <v>0</v>
      </c>
      <c r="Z82" s="183">
        <f t="shared" si="59"/>
        <v>0</v>
      </c>
      <c r="AA82" s="182">
        <v>70</v>
      </c>
      <c r="AB82" s="181"/>
      <c r="AC82" s="180">
        <v>70</v>
      </c>
      <c r="AD82" s="193"/>
    </row>
    <row r="83" spans="1:30" ht="18">
      <c r="A83" s="235" t="s">
        <v>91</v>
      </c>
      <c r="B83" s="234"/>
      <c r="C83" s="233"/>
      <c r="D83" s="232"/>
      <c r="E83" s="231"/>
      <c r="F83" s="200"/>
      <c r="G83" s="200"/>
      <c r="H83" s="200"/>
      <c r="I83" s="200"/>
      <c r="J83" s="201"/>
      <c r="K83" s="200"/>
      <c r="L83" s="200"/>
      <c r="M83" s="200"/>
      <c r="N83" s="200"/>
      <c r="O83" s="200"/>
      <c r="P83" s="200"/>
      <c r="Q83" s="200"/>
      <c r="R83" s="199"/>
      <c r="S83" s="199"/>
      <c r="T83" s="199"/>
      <c r="U83" s="197"/>
      <c r="V83" s="197"/>
      <c r="W83" s="197"/>
      <c r="X83" s="197"/>
      <c r="Y83" s="197"/>
      <c r="Z83" s="198"/>
      <c r="AA83" s="197"/>
      <c r="AB83" s="196"/>
      <c r="AC83" s="195"/>
      <c r="AD83" s="194"/>
    </row>
    <row r="84" spans="1:30" ht="45">
      <c r="A84" s="192" t="s">
        <v>90</v>
      </c>
      <c r="B84" s="191"/>
      <c r="C84" s="190">
        <v>0</v>
      </c>
      <c r="D84" s="207" t="s">
        <v>3</v>
      </c>
      <c r="E84" s="230">
        <v>125</v>
      </c>
      <c r="F84" s="174">
        <f t="shared" ref="F84:F89" si="60">E84*C84</f>
        <v>0</v>
      </c>
      <c r="G84" s="186">
        <v>0.05</v>
      </c>
      <c r="H84" s="186">
        <v>0.02</v>
      </c>
      <c r="I84" s="186">
        <v>0.05</v>
      </c>
      <c r="J84" s="187">
        <v>0.122</v>
      </c>
      <c r="K84" s="186">
        <v>0.1</v>
      </c>
      <c r="L84" s="171">
        <f t="shared" ref="L84:L89" si="61">F84*G84</f>
        <v>0</v>
      </c>
      <c r="M84" s="171">
        <f t="shared" ref="M84:M89" si="62">(F84+L84)*H84</f>
        <v>0</v>
      </c>
      <c r="N84" s="171">
        <f t="shared" ref="N84:N89" si="63">(F84+L84+M84)*I84</f>
        <v>0</v>
      </c>
      <c r="O84" s="171">
        <f t="shared" ref="O84:O89" si="64">(F84+L84+M84+N84)*J84</f>
        <v>0</v>
      </c>
      <c r="P84" s="171">
        <f t="shared" ref="P84:P89" si="65">(F84+L84+M84+N84+O84)*K84</f>
        <v>0</v>
      </c>
      <c r="Q84" s="170">
        <f t="shared" ref="Q84:Q89" si="66">F84+SUM(L84:P84)</f>
        <v>0</v>
      </c>
      <c r="R84" s="185">
        <v>0.05</v>
      </c>
      <c r="S84" s="185">
        <v>0.05</v>
      </c>
      <c r="T84" s="185">
        <v>0.05</v>
      </c>
      <c r="U84" s="184">
        <v>0.1</v>
      </c>
      <c r="V84" s="167">
        <f t="shared" ref="V84:V89" si="67">Q84*R84</f>
        <v>0</v>
      </c>
      <c r="W84" s="167">
        <f t="shared" ref="W84:W89" si="68">Q84*S84</f>
        <v>0</v>
      </c>
      <c r="X84" s="167">
        <f t="shared" ref="X84:X89" si="69">Q84*T84</f>
        <v>0</v>
      </c>
      <c r="Y84" s="167">
        <f t="shared" ref="Y84:Y89" si="70">U84*(V84+W84)</f>
        <v>0</v>
      </c>
      <c r="Z84" s="183">
        <f t="shared" ref="Z84:Z89" si="71">Q84+SUM(V84:Y84)</f>
        <v>0</v>
      </c>
      <c r="AA84" s="182">
        <v>75</v>
      </c>
      <c r="AB84" s="181"/>
      <c r="AC84" s="180">
        <v>75</v>
      </c>
      <c r="AD84" s="193"/>
    </row>
    <row r="85" spans="1:30" ht="30">
      <c r="A85" s="221" t="s">
        <v>89</v>
      </c>
      <c r="B85" s="191"/>
      <c r="C85" s="190">
        <v>0</v>
      </c>
      <c r="D85" s="207" t="s">
        <v>5</v>
      </c>
      <c r="E85" s="188">
        <v>1750</v>
      </c>
      <c r="F85" s="174">
        <f t="shared" si="60"/>
        <v>0</v>
      </c>
      <c r="G85" s="186">
        <v>0.05</v>
      </c>
      <c r="H85" s="186">
        <v>0.02</v>
      </c>
      <c r="I85" s="186">
        <v>0.05</v>
      </c>
      <c r="J85" s="187">
        <v>0.122</v>
      </c>
      <c r="K85" s="186">
        <v>0.1</v>
      </c>
      <c r="L85" s="171">
        <f t="shared" si="61"/>
        <v>0</v>
      </c>
      <c r="M85" s="171">
        <f t="shared" si="62"/>
        <v>0</v>
      </c>
      <c r="N85" s="171">
        <f t="shared" si="63"/>
        <v>0</v>
      </c>
      <c r="O85" s="171">
        <f t="shared" si="64"/>
        <v>0</v>
      </c>
      <c r="P85" s="171">
        <f t="shared" si="65"/>
        <v>0</v>
      </c>
      <c r="Q85" s="170">
        <f t="shared" si="66"/>
        <v>0</v>
      </c>
      <c r="R85" s="185">
        <v>0.05</v>
      </c>
      <c r="S85" s="185">
        <v>0.05</v>
      </c>
      <c r="T85" s="185">
        <v>0.05</v>
      </c>
      <c r="U85" s="184">
        <v>0.1</v>
      </c>
      <c r="V85" s="167">
        <f t="shared" si="67"/>
        <v>0</v>
      </c>
      <c r="W85" s="167">
        <f t="shared" si="68"/>
        <v>0</v>
      </c>
      <c r="X85" s="167">
        <f t="shared" si="69"/>
        <v>0</v>
      </c>
      <c r="Y85" s="167">
        <f t="shared" si="70"/>
        <v>0</v>
      </c>
      <c r="Z85" s="183">
        <f t="shared" si="71"/>
        <v>0</v>
      </c>
      <c r="AA85" s="182">
        <v>75</v>
      </c>
      <c r="AB85" s="181"/>
      <c r="AC85" s="180">
        <v>75</v>
      </c>
      <c r="AD85" s="193"/>
    </row>
    <row r="86" spans="1:30" ht="30">
      <c r="A86" s="221" t="s">
        <v>88</v>
      </c>
      <c r="B86" s="191"/>
      <c r="C86" s="190">
        <v>0</v>
      </c>
      <c r="D86" s="207" t="s">
        <v>5</v>
      </c>
      <c r="E86" s="188">
        <v>2200</v>
      </c>
      <c r="F86" s="174">
        <f t="shared" si="60"/>
        <v>0</v>
      </c>
      <c r="G86" s="186">
        <v>0.05</v>
      </c>
      <c r="H86" s="186">
        <v>0.02</v>
      </c>
      <c r="I86" s="186">
        <v>0.05</v>
      </c>
      <c r="J86" s="187">
        <v>0.122</v>
      </c>
      <c r="K86" s="186">
        <v>0.1</v>
      </c>
      <c r="L86" s="171">
        <f t="shared" si="61"/>
        <v>0</v>
      </c>
      <c r="M86" s="171">
        <f t="shared" si="62"/>
        <v>0</v>
      </c>
      <c r="N86" s="171">
        <f t="shared" si="63"/>
        <v>0</v>
      </c>
      <c r="O86" s="171">
        <f t="shared" si="64"/>
        <v>0</v>
      </c>
      <c r="P86" s="171">
        <f t="shared" si="65"/>
        <v>0</v>
      </c>
      <c r="Q86" s="170">
        <f t="shared" si="66"/>
        <v>0</v>
      </c>
      <c r="R86" s="185">
        <v>0.05</v>
      </c>
      <c r="S86" s="185">
        <v>0.05</v>
      </c>
      <c r="T86" s="185">
        <v>0.05</v>
      </c>
      <c r="U86" s="184">
        <v>0.1</v>
      </c>
      <c r="V86" s="167">
        <f t="shared" si="67"/>
        <v>0</v>
      </c>
      <c r="W86" s="167">
        <f t="shared" si="68"/>
        <v>0</v>
      </c>
      <c r="X86" s="167">
        <f t="shared" si="69"/>
        <v>0</v>
      </c>
      <c r="Y86" s="167">
        <f t="shared" si="70"/>
        <v>0</v>
      </c>
      <c r="Z86" s="183">
        <f t="shared" si="71"/>
        <v>0</v>
      </c>
      <c r="AA86" s="182">
        <v>75</v>
      </c>
      <c r="AB86" s="181"/>
      <c r="AC86" s="180">
        <v>75</v>
      </c>
      <c r="AD86" s="193"/>
    </row>
    <row r="87" spans="1:30" ht="30">
      <c r="A87" s="221" t="s">
        <v>87</v>
      </c>
      <c r="B87" s="191"/>
      <c r="C87" s="190">
        <v>0</v>
      </c>
      <c r="D87" s="207" t="s">
        <v>5</v>
      </c>
      <c r="E87" s="188">
        <v>1800</v>
      </c>
      <c r="F87" s="174">
        <f t="shared" si="60"/>
        <v>0</v>
      </c>
      <c r="G87" s="186">
        <v>0.05</v>
      </c>
      <c r="H87" s="186">
        <v>0.02</v>
      </c>
      <c r="I87" s="186">
        <v>0.05</v>
      </c>
      <c r="J87" s="187">
        <v>0.122</v>
      </c>
      <c r="K87" s="186">
        <v>0.1</v>
      </c>
      <c r="L87" s="171">
        <f t="shared" si="61"/>
        <v>0</v>
      </c>
      <c r="M87" s="171">
        <f t="shared" si="62"/>
        <v>0</v>
      </c>
      <c r="N87" s="171">
        <f t="shared" si="63"/>
        <v>0</v>
      </c>
      <c r="O87" s="171">
        <f t="shared" si="64"/>
        <v>0</v>
      </c>
      <c r="P87" s="171">
        <f t="shared" si="65"/>
        <v>0</v>
      </c>
      <c r="Q87" s="170">
        <f t="shared" si="66"/>
        <v>0</v>
      </c>
      <c r="R87" s="185">
        <v>0.05</v>
      </c>
      <c r="S87" s="185">
        <v>0.05</v>
      </c>
      <c r="T87" s="185">
        <v>0.05</v>
      </c>
      <c r="U87" s="184">
        <v>0.1</v>
      </c>
      <c r="V87" s="167">
        <f t="shared" si="67"/>
        <v>0</v>
      </c>
      <c r="W87" s="167">
        <f t="shared" si="68"/>
        <v>0</v>
      </c>
      <c r="X87" s="167">
        <f t="shared" si="69"/>
        <v>0</v>
      </c>
      <c r="Y87" s="167">
        <f t="shared" si="70"/>
        <v>0</v>
      </c>
      <c r="Z87" s="183">
        <f t="shared" si="71"/>
        <v>0</v>
      </c>
      <c r="AA87" s="182">
        <v>25</v>
      </c>
      <c r="AB87" s="181"/>
      <c r="AC87" s="180">
        <v>25</v>
      </c>
      <c r="AD87" s="193"/>
    </row>
    <row r="88" spans="1:30" ht="30">
      <c r="A88" s="221" t="s">
        <v>86</v>
      </c>
      <c r="B88" s="191"/>
      <c r="C88" s="190">
        <v>0</v>
      </c>
      <c r="D88" s="207" t="s">
        <v>5</v>
      </c>
      <c r="E88" s="188">
        <v>2600</v>
      </c>
      <c r="F88" s="174">
        <f t="shared" si="60"/>
        <v>0</v>
      </c>
      <c r="G88" s="186">
        <v>0.05</v>
      </c>
      <c r="H88" s="186">
        <v>0.02</v>
      </c>
      <c r="I88" s="186">
        <v>0.05</v>
      </c>
      <c r="J88" s="187">
        <v>0.122</v>
      </c>
      <c r="K88" s="186">
        <v>0.1</v>
      </c>
      <c r="L88" s="171">
        <f t="shared" si="61"/>
        <v>0</v>
      </c>
      <c r="M88" s="171">
        <f t="shared" si="62"/>
        <v>0</v>
      </c>
      <c r="N88" s="171">
        <f t="shared" si="63"/>
        <v>0</v>
      </c>
      <c r="O88" s="171">
        <f t="shared" si="64"/>
        <v>0</v>
      </c>
      <c r="P88" s="171">
        <f t="shared" si="65"/>
        <v>0</v>
      </c>
      <c r="Q88" s="170">
        <f t="shared" si="66"/>
        <v>0</v>
      </c>
      <c r="R88" s="185">
        <v>0.05</v>
      </c>
      <c r="S88" s="185">
        <v>0.05</v>
      </c>
      <c r="T88" s="185">
        <v>0.05</v>
      </c>
      <c r="U88" s="184">
        <v>0.1</v>
      </c>
      <c r="V88" s="167">
        <f t="shared" si="67"/>
        <v>0</v>
      </c>
      <c r="W88" s="167">
        <f t="shared" si="68"/>
        <v>0</v>
      </c>
      <c r="X88" s="167">
        <f t="shared" si="69"/>
        <v>0</v>
      </c>
      <c r="Y88" s="167">
        <f t="shared" si="70"/>
        <v>0</v>
      </c>
      <c r="Z88" s="183">
        <f t="shared" si="71"/>
        <v>0</v>
      </c>
      <c r="AA88" s="182">
        <v>25</v>
      </c>
      <c r="AB88" s="181"/>
      <c r="AC88" s="180">
        <v>25</v>
      </c>
      <c r="AD88" s="193"/>
    </row>
    <row r="89" spans="1:30" ht="30">
      <c r="A89" s="221" t="s">
        <v>85</v>
      </c>
      <c r="B89" s="191"/>
      <c r="C89" s="190">
        <v>0</v>
      </c>
      <c r="D89" s="207" t="s">
        <v>5</v>
      </c>
      <c r="E89" s="188">
        <v>3065</v>
      </c>
      <c r="F89" s="174">
        <f t="shared" si="60"/>
        <v>0</v>
      </c>
      <c r="G89" s="186">
        <v>0.05</v>
      </c>
      <c r="H89" s="186">
        <v>0.02</v>
      </c>
      <c r="I89" s="186">
        <v>0.05</v>
      </c>
      <c r="J89" s="187">
        <v>0.122</v>
      </c>
      <c r="K89" s="186">
        <v>0.1</v>
      </c>
      <c r="L89" s="171">
        <f t="shared" si="61"/>
        <v>0</v>
      </c>
      <c r="M89" s="171">
        <f t="shared" si="62"/>
        <v>0</v>
      </c>
      <c r="N89" s="171">
        <f t="shared" si="63"/>
        <v>0</v>
      </c>
      <c r="O89" s="171">
        <f t="shared" si="64"/>
        <v>0</v>
      </c>
      <c r="P89" s="171">
        <f t="shared" si="65"/>
        <v>0</v>
      </c>
      <c r="Q89" s="170">
        <f t="shared" si="66"/>
        <v>0</v>
      </c>
      <c r="R89" s="185">
        <v>0.05</v>
      </c>
      <c r="S89" s="185">
        <v>0.05</v>
      </c>
      <c r="T89" s="185">
        <v>0.05</v>
      </c>
      <c r="U89" s="184">
        <v>0.1</v>
      </c>
      <c r="V89" s="167">
        <f t="shared" si="67"/>
        <v>0</v>
      </c>
      <c r="W89" s="167">
        <f t="shared" si="68"/>
        <v>0</v>
      </c>
      <c r="X89" s="167">
        <f t="shared" si="69"/>
        <v>0</v>
      </c>
      <c r="Y89" s="167">
        <f t="shared" si="70"/>
        <v>0</v>
      </c>
      <c r="Z89" s="183">
        <f t="shared" si="71"/>
        <v>0</v>
      </c>
      <c r="AA89" s="182">
        <v>75</v>
      </c>
      <c r="AB89" s="181"/>
      <c r="AC89" s="180">
        <v>75</v>
      </c>
      <c r="AD89" s="193"/>
    </row>
    <row r="90" spans="1:30" ht="90">
      <c r="A90" s="229" t="s">
        <v>84</v>
      </c>
      <c r="B90" s="228"/>
      <c r="C90" s="227"/>
      <c r="D90" s="227"/>
      <c r="E90" s="226"/>
      <c r="F90" s="200"/>
      <c r="G90" s="200"/>
      <c r="H90" s="200"/>
      <c r="I90" s="200"/>
      <c r="J90" s="201"/>
      <c r="K90" s="200"/>
      <c r="L90" s="200"/>
      <c r="M90" s="200"/>
      <c r="N90" s="200"/>
      <c r="O90" s="200"/>
      <c r="P90" s="200"/>
      <c r="Q90" s="200"/>
      <c r="R90" s="199"/>
      <c r="S90" s="199"/>
      <c r="T90" s="199"/>
      <c r="U90" s="197"/>
      <c r="V90" s="197"/>
      <c r="W90" s="197"/>
      <c r="X90" s="197"/>
      <c r="Y90" s="197"/>
      <c r="Z90" s="198"/>
      <c r="AA90" s="218"/>
      <c r="AB90" s="196"/>
      <c r="AC90" s="195"/>
      <c r="AD90" s="194"/>
    </row>
    <row r="91" spans="1:30" ht="54">
      <c r="A91" s="225" t="s">
        <v>83</v>
      </c>
      <c r="B91" s="224"/>
      <c r="C91" s="223"/>
      <c r="D91" s="223"/>
      <c r="E91" s="222"/>
      <c r="F91" s="186"/>
      <c r="G91" s="186"/>
      <c r="H91" s="186"/>
      <c r="I91" s="186"/>
      <c r="J91" s="187"/>
      <c r="K91" s="186"/>
      <c r="L91" s="186"/>
      <c r="M91" s="186"/>
      <c r="N91" s="186"/>
      <c r="O91" s="186"/>
      <c r="P91" s="186"/>
      <c r="Q91" s="186"/>
      <c r="R91" s="185"/>
      <c r="S91" s="185"/>
      <c r="T91" s="185"/>
      <c r="U91" s="184"/>
      <c r="V91" s="184"/>
      <c r="W91" s="184"/>
      <c r="X91" s="184"/>
      <c r="Y91" s="184"/>
      <c r="Z91" s="212"/>
      <c r="AA91" s="182"/>
      <c r="AB91" s="181"/>
      <c r="AC91" s="180"/>
      <c r="AD91" s="211"/>
    </row>
    <row r="92" spans="1:30" ht="15.75">
      <c r="A92" s="221" t="s">
        <v>82</v>
      </c>
      <c r="B92" s="191"/>
      <c r="C92" s="190">
        <v>0</v>
      </c>
      <c r="D92" s="207" t="s">
        <v>3</v>
      </c>
      <c r="E92" s="188"/>
      <c r="F92" s="174">
        <f t="shared" ref="F92:F120" si="72">E92*C92</f>
        <v>0</v>
      </c>
      <c r="G92" s="186">
        <v>0.05</v>
      </c>
      <c r="H92" s="186">
        <v>0.02</v>
      </c>
      <c r="I92" s="186">
        <v>0.05</v>
      </c>
      <c r="J92" s="187">
        <v>0.122</v>
      </c>
      <c r="K92" s="186">
        <v>0.1</v>
      </c>
      <c r="L92" s="171">
        <f t="shared" ref="L92:L120" si="73">F92*G92</f>
        <v>0</v>
      </c>
      <c r="M92" s="171">
        <f t="shared" ref="M92:M120" si="74">(F92+L92)*H92</f>
        <v>0</v>
      </c>
      <c r="N92" s="171">
        <f t="shared" ref="N92:N120" si="75">(F92+L92+M92)*I92</f>
        <v>0</v>
      </c>
      <c r="O92" s="171">
        <f t="shared" ref="O92:O120" si="76">(F92+L92+M92+N92)*J92</f>
        <v>0</v>
      </c>
      <c r="P92" s="171">
        <f t="shared" ref="P92:P120" si="77">(F92+L92+M92+N92+O92)*K92</f>
        <v>0</v>
      </c>
      <c r="Q92" s="170">
        <f t="shared" ref="Q92:Q120" si="78">F92+SUM(L92:P92)</f>
        <v>0</v>
      </c>
      <c r="R92" s="185">
        <v>0.05</v>
      </c>
      <c r="S92" s="185">
        <v>0.05</v>
      </c>
      <c r="T92" s="185">
        <v>0.05</v>
      </c>
      <c r="U92" s="184">
        <v>0.1</v>
      </c>
      <c r="V92" s="167">
        <f t="shared" ref="V92:V120" si="79">Q92*R92</f>
        <v>0</v>
      </c>
      <c r="W92" s="167">
        <f t="shared" ref="W92:W120" si="80">Q92*S92</f>
        <v>0</v>
      </c>
      <c r="X92" s="167">
        <f t="shared" ref="X92:X120" si="81">Q92*T92</f>
        <v>0</v>
      </c>
      <c r="Y92" s="167">
        <f t="shared" ref="Y92:Y120" si="82">U92*(V92+W92)</f>
        <v>0</v>
      </c>
      <c r="Z92" s="183">
        <f t="shared" ref="Z92:Z120" si="83">Q92+SUM(V92:Y92)</f>
        <v>0</v>
      </c>
      <c r="AA92" s="182">
        <v>75</v>
      </c>
      <c r="AB92" s="181"/>
      <c r="AC92" s="180">
        <v>75</v>
      </c>
      <c r="AD92" s="193"/>
    </row>
    <row r="93" spans="1:30" ht="15.75">
      <c r="A93" s="221" t="s">
        <v>81</v>
      </c>
      <c r="B93" s="191"/>
      <c r="C93" s="190">
        <v>0</v>
      </c>
      <c r="D93" s="207" t="s">
        <v>3</v>
      </c>
      <c r="E93" s="188">
        <v>920</v>
      </c>
      <c r="F93" s="174">
        <f t="shared" si="72"/>
        <v>0</v>
      </c>
      <c r="G93" s="186">
        <v>0.05</v>
      </c>
      <c r="H93" s="186">
        <v>0.02</v>
      </c>
      <c r="I93" s="186">
        <v>0.05</v>
      </c>
      <c r="J93" s="187">
        <v>0.122</v>
      </c>
      <c r="K93" s="186">
        <v>0.1</v>
      </c>
      <c r="L93" s="171">
        <f t="shared" si="73"/>
        <v>0</v>
      </c>
      <c r="M93" s="171">
        <f t="shared" si="74"/>
        <v>0</v>
      </c>
      <c r="N93" s="171">
        <f t="shared" si="75"/>
        <v>0</v>
      </c>
      <c r="O93" s="171">
        <f t="shared" si="76"/>
        <v>0</v>
      </c>
      <c r="P93" s="171">
        <f t="shared" si="77"/>
        <v>0</v>
      </c>
      <c r="Q93" s="170">
        <f t="shared" si="78"/>
        <v>0</v>
      </c>
      <c r="R93" s="185">
        <v>0.05</v>
      </c>
      <c r="S93" s="185">
        <v>0.05</v>
      </c>
      <c r="T93" s="185">
        <v>0.05</v>
      </c>
      <c r="U93" s="184">
        <v>0.1</v>
      </c>
      <c r="V93" s="167">
        <f t="shared" si="79"/>
        <v>0</v>
      </c>
      <c r="W93" s="167">
        <f t="shared" si="80"/>
        <v>0</v>
      </c>
      <c r="X93" s="167">
        <f t="shared" si="81"/>
        <v>0</v>
      </c>
      <c r="Y93" s="167">
        <f t="shared" si="82"/>
        <v>0</v>
      </c>
      <c r="Z93" s="183">
        <f t="shared" si="83"/>
        <v>0</v>
      </c>
      <c r="AA93" s="182">
        <v>75</v>
      </c>
      <c r="AB93" s="181"/>
      <c r="AC93" s="180">
        <v>75</v>
      </c>
      <c r="AD93" s="193"/>
    </row>
    <row r="94" spans="1:30" ht="15.75">
      <c r="A94" s="221" t="s">
        <v>80</v>
      </c>
      <c r="B94" s="191"/>
      <c r="C94" s="190">
        <v>0</v>
      </c>
      <c r="D94" s="207" t="s">
        <v>3</v>
      </c>
      <c r="E94" s="188">
        <v>789</v>
      </c>
      <c r="F94" s="174">
        <f t="shared" si="72"/>
        <v>0</v>
      </c>
      <c r="G94" s="186">
        <v>0.05</v>
      </c>
      <c r="H94" s="186">
        <v>0.02</v>
      </c>
      <c r="I94" s="186">
        <v>0.05</v>
      </c>
      <c r="J94" s="187">
        <v>0.122</v>
      </c>
      <c r="K94" s="186">
        <v>0.1</v>
      </c>
      <c r="L94" s="171">
        <f t="shared" si="73"/>
        <v>0</v>
      </c>
      <c r="M94" s="171">
        <f t="shared" si="74"/>
        <v>0</v>
      </c>
      <c r="N94" s="171">
        <f t="shared" si="75"/>
        <v>0</v>
      </c>
      <c r="O94" s="171">
        <f t="shared" si="76"/>
        <v>0</v>
      </c>
      <c r="P94" s="171">
        <f t="shared" si="77"/>
        <v>0</v>
      </c>
      <c r="Q94" s="170">
        <f t="shared" si="78"/>
        <v>0</v>
      </c>
      <c r="R94" s="185">
        <v>0.05</v>
      </c>
      <c r="S94" s="185">
        <v>0.05</v>
      </c>
      <c r="T94" s="185">
        <v>0.05</v>
      </c>
      <c r="U94" s="184">
        <v>0.1</v>
      </c>
      <c r="V94" s="167">
        <f t="shared" si="79"/>
        <v>0</v>
      </c>
      <c r="W94" s="167">
        <f t="shared" si="80"/>
        <v>0</v>
      </c>
      <c r="X94" s="167">
        <f t="shared" si="81"/>
        <v>0</v>
      </c>
      <c r="Y94" s="167">
        <f t="shared" si="82"/>
        <v>0</v>
      </c>
      <c r="Z94" s="183">
        <f t="shared" si="83"/>
        <v>0</v>
      </c>
      <c r="AA94" s="182">
        <v>75</v>
      </c>
      <c r="AB94" s="181"/>
      <c r="AC94" s="180">
        <v>75</v>
      </c>
      <c r="AD94" s="193"/>
    </row>
    <row r="95" spans="1:30" ht="15.75">
      <c r="A95" s="221" t="s">
        <v>79</v>
      </c>
      <c r="B95" s="191"/>
      <c r="C95" s="190">
        <v>0</v>
      </c>
      <c r="D95" s="207" t="s">
        <v>3</v>
      </c>
      <c r="E95" s="188">
        <v>723</v>
      </c>
      <c r="F95" s="174">
        <f t="shared" si="72"/>
        <v>0</v>
      </c>
      <c r="G95" s="186">
        <v>0.05</v>
      </c>
      <c r="H95" s="186">
        <v>0.02</v>
      </c>
      <c r="I95" s="186">
        <v>0.05</v>
      </c>
      <c r="J95" s="187">
        <v>0.122</v>
      </c>
      <c r="K95" s="186">
        <v>0.1</v>
      </c>
      <c r="L95" s="171">
        <f t="shared" si="73"/>
        <v>0</v>
      </c>
      <c r="M95" s="171">
        <f t="shared" si="74"/>
        <v>0</v>
      </c>
      <c r="N95" s="171">
        <f t="shared" si="75"/>
        <v>0</v>
      </c>
      <c r="O95" s="171">
        <f t="shared" si="76"/>
        <v>0</v>
      </c>
      <c r="P95" s="171">
        <f t="shared" si="77"/>
        <v>0</v>
      </c>
      <c r="Q95" s="170">
        <f t="shared" si="78"/>
        <v>0</v>
      </c>
      <c r="R95" s="185">
        <v>0.05</v>
      </c>
      <c r="S95" s="185">
        <v>0.05</v>
      </c>
      <c r="T95" s="185">
        <v>0.05</v>
      </c>
      <c r="U95" s="184">
        <v>0.1</v>
      </c>
      <c r="V95" s="167">
        <f t="shared" si="79"/>
        <v>0</v>
      </c>
      <c r="W95" s="167">
        <f t="shared" si="80"/>
        <v>0</v>
      </c>
      <c r="X95" s="167">
        <f t="shared" si="81"/>
        <v>0</v>
      </c>
      <c r="Y95" s="167">
        <f t="shared" si="82"/>
        <v>0</v>
      </c>
      <c r="Z95" s="183">
        <f t="shared" si="83"/>
        <v>0</v>
      </c>
      <c r="AA95" s="182">
        <v>75</v>
      </c>
      <c r="AB95" s="181"/>
      <c r="AC95" s="180">
        <v>75</v>
      </c>
      <c r="AD95" s="193"/>
    </row>
    <row r="96" spans="1:30" ht="15.75">
      <c r="A96" s="221" t="s">
        <v>78</v>
      </c>
      <c r="B96" s="191"/>
      <c r="C96" s="190">
        <v>0</v>
      </c>
      <c r="D96" s="207" t="s">
        <v>3</v>
      </c>
      <c r="E96" s="188">
        <v>862</v>
      </c>
      <c r="F96" s="174">
        <f t="shared" si="72"/>
        <v>0</v>
      </c>
      <c r="G96" s="186">
        <v>0.05</v>
      </c>
      <c r="H96" s="186">
        <v>0.02</v>
      </c>
      <c r="I96" s="186">
        <v>0.05</v>
      </c>
      <c r="J96" s="187">
        <v>0.122</v>
      </c>
      <c r="K96" s="186">
        <v>0.1</v>
      </c>
      <c r="L96" s="171">
        <f t="shared" si="73"/>
        <v>0</v>
      </c>
      <c r="M96" s="171">
        <f t="shared" si="74"/>
        <v>0</v>
      </c>
      <c r="N96" s="171">
        <f t="shared" si="75"/>
        <v>0</v>
      </c>
      <c r="O96" s="171">
        <f t="shared" si="76"/>
        <v>0</v>
      </c>
      <c r="P96" s="171">
        <f t="shared" si="77"/>
        <v>0</v>
      </c>
      <c r="Q96" s="170">
        <f t="shared" si="78"/>
        <v>0</v>
      </c>
      <c r="R96" s="185">
        <v>0.05</v>
      </c>
      <c r="S96" s="185">
        <v>0.05</v>
      </c>
      <c r="T96" s="185">
        <v>0.05</v>
      </c>
      <c r="U96" s="184">
        <v>0.1</v>
      </c>
      <c r="V96" s="167">
        <f t="shared" si="79"/>
        <v>0</v>
      </c>
      <c r="W96" s="167">
        <f t="shared" si="80"/>
        <v>0</v>
      </c>
      <c r="X96" s="167">
        <f t="shared" si="81"/>
        <v>0</v>
      </c>
      <c r="Y96" s="167">
        <f t="shared" si="82"/>
        <v>0</v>
      </c>
      <c r="Z96" s="183">
        <f t="shared" si="83"/>
        <v>0</v>
      </c>
      <c r="AA96" s="182">
        <v>75</v>
      </c>
      <c r="AB96" s="181"/>
      <c r="AC96" s="180">
        <v>75</v>
      </c>
      <c r="AD96" s="193"/>
    </row>
    <row r="97" spans="1:30" ht="15.75">
      <c r="A97" s="221" t="s">
        <v>77</v>
      </c>
      <c r="B97" s="191"/>
      <c r="C97" s="190">
        <v>0</v>
      </c>
      <c r="D97" s="207" t="s">
        <v>3</v>
      </c>
      <c r="E97" s="188"/>
      <c r="F97" s="174">
        <f t="shared" si="72"/>
        <v>0</v>
      </c>
      <c r="G97" s="186">
        <v>0.05</v>
      </c>
      <c r="H97" s="186">
        <v>0.02</v>
      </c>
      <c r="I97" s="186">
        <v>0.05</v>
      </c>
      <c r="J97" s="187">
        <v>0.122</v>
      </c>
      <c r="K97" s="186">
        <v>0.1</v>
      </c>
      <c r="L97" s="171">
        <f t="shared" si="73"/>
        <v>0</v>
      </c>
      <c r="M97" s="171">
        <f t="shared" si="74"/>
        <v>0</v>
      </c>
      <c r="N97" s="171">
        <f t="shared" si="75"/>
        <v>0</v>
      </c>
      <c r="O97" s="171">
        <f t="shared" si="76"/>
        <v>0</v>
      </c>
      <c r="P97" s="171">
        <f t="shared" si="77"/>
        <v>0</v>
      </c>
      <c r="Q97" s="170">
        <f t="shared" si="78"/>
        <v>0</v>
      </c>
      <c r="R97" s="185">
        <v>0.05</v>
      </c>
      <c r="S97" s="185">
        <v>0.05</v>
      </c>
      <c r="T97" s="185">
        <v>0.05</v>
      </c>
      <c r="U97" s="184">
        <v>0.1</v>
      </c>
      <c r="V97" s="167">
        <f t="shared" si="79"/>
        <v>0</v>
      </c>
      <c r="W97" s="167">
        <f t="shared" si="80"/>
        <v>0</v>
      </c>
      <c r="X97" s="167">
        <f t="shared" si="81"/>
        <v>0</v>
      </c>
      <c r="Y97" s="167">
        <f t="shared" si="82"/>
        <v>0</v>
      </c>
      <c r="Z97" s="183">
        <f t="shared" si="83"/>
        <v>0</v>
      </c>
      <c r="AA97" s="182">
        <v>75</v>
      </c>
      <c r="AB97" s="181"/>
      <c r="AC97" s="180">
        <v>75</v>
      </c>
      <c r="AD97" s="193"/>
    </row>
    <row r="98" spans="1:30" ht="15.75">
      <c r="A98" s="221" t="s">
        <v>76</v>
      </c>
      <c r="B98" s="191"/>
      <c r="C98" s="190">
        <v>2150</v>
      </c>
      <c r="D98" s="207" t="s">
        <v>3</v>
      </c>
      <c r="E98" s="188">
        <v>804</v>
      </c>
      <c r="F98" s="174">
        <f t="shared" si="72"/>
        <v>1728600</v>
      </c>
      <c r="G98" s="186">
        <v>0.05</v>
      </c>
      <c r="H98" s="186">
        <v>0.02</v>
      </c>
      <c r="I98" s="186">
        <v>0.05</v>
      </c>
      <c r="J98" s="187">
        <v>0.122</v>
      </c>
      <c r="K98" s="186">
        <v>0.1</v>
      </c>
      <c r="L98" s="171">
        <f t="shared" si="73"/>
        <v>86430</v>
      </c>
      <c r="M98" s="171">
        <f t="shared" si="74"/>
        <v>36300.6</v>
      </c>
      <c r="N98" s="171">
        <f t="shared" si="75"/>
        <v>92566.530000000013</v>
      </c>
      <c r="O98" s="171">
        <f t="shared" si="76"/>
        <v>237155.44986000002</v>
      </c>
      <c r="P98" s="171">
        <f t="shared" si="77"/>
        <v>218105.25798600001</v>
      </c>
      <c r="Q98" s="170">
        <f t="shared" si="78"/>
        <v>2399157.8378460002</v>
      </c>
      <c r="R98" s="185">
        <v>0.05</v>
      </c>
      <c r="S98" s="185">
        <v>0.05</v>
      </c>
      <c r="T98" s="185">
        <v>0.05</v>
      </c>
      <c r="U98" s="184">
        <v>0.1</v>
      </c>
      <c r="V98" s="167">
        <f t="shared" si="79"/>
        <v>119957.89189230002</v>
      </c>
      <c r="W98" s="167">
        <f t="shared" si="80"/>
        <v>119957.89189230002</v>
      </c>
      <c r="X98" s="167">
        <f t="shared" si="81"/>
        <v>119957.89189230002</v>
      </c>
      <c r="Y98" s="167">
        <f t="shared" si="82"/>
        <v>23991.578378460006</v>
      </c>
      <c r="Z98" s="183">
        <f t="shared" si="83"/>
        <v>2783023.0919013601</v>
      </c>
      <c r="AA98" s="182">
        <v>75</v>
      </c>
      <c r="AB98" s="181"/>
      <c r="AC98" s="180">
        <v>75</v>
      </c>
      <c r="AD98" s="193"/>
    </row>
    <row r="99" spans="1:30" ht="15.75">
      <c r="A99" s="221" t="s">
        <v>75</v>
      </c>
      <c r="B99" s="191"/>
      <c r="C99" s="190">
        <v>0</v>
      </c>
      <c r="D99" s="207" t="s">
        <v>3</v>
      </c>
      <c r="E99" s="188">
        <v>738</v>
      </c>
      <c r="F99" s="174">
        <f t="shared" si="72"/>
        <v>0</v>
      </c>
      <c r="G99" s="186">
        <v>0.05</v>
      </c>
      <c r="H99" s="186">
        <v>0.02</v>
      </c>
      <c r="I99" s="186">
        <v>0.05</v>
      </c>
      <c r="J99" s="187">
        <v>0.122</v>
      </c>
      <c r="K99" s="186">
        <v>0.1</v>
      </c>
      <c r="L99" s="171">
        <f t="shared" si="73"/>
        <v>0</v>
      </c>
      <c r="M99" s="171">
        <f t="shared" si="74"/>
        <v>0</v>
      </c>
      <c r="N99" s="171">
        <f t="shared" si="75"/>
        <v>0</v>
      </c>
      <c r="O99" s="171">
        <f t="shared" si="76"/>
        <v>0</v>
      </c>
      <c r="P99" s="171">
        <f t="shared" si="77"/>
        <v>0</v>
      </c>
      <c r="Q99" s="170">
        <f t="shared" si="78"/>
        <v>0</v>
      </c>
      <c r="R99" s="185">
        <v>0.05</v>
      </c>
      <c r="S99" s="185">
        <v>0.05</v>
      </c>
      <c r="T99" s="185">
        <v>0.05</v>
      </c>
      <c r="U99" s="184">
        <v>0.1</v>
      </c>
      <c r="V99" s="167">
        <f t="shared" si="79"/>
        <v>0</v>
      </c>
      <c r="W99" s="167">
        <f t="shared" si="80"/>
        <v>0</v>
      </c>
      <c r="X99" s="167">
        <f t="shared" si="81"/>
        <v>0</v>
      </c>
      <c r="Y99" s="167">
        <f t="shared" si="82"/>
        <v>0</v>
      </c>
      <c r="Z99" s="183">
        <f t="shared" si="83"/>
        <v>0</v>
      </c>
      <c r="AA99" s="182">
        <v>75</v>
      </c>
      <c r="AB99" s="181"/>
      <c r="AC99" s="180">
        <v>75</v>
      </c>
      <c r="AD99" s="193"/>
    </row>
    <row r="100" spans="1:30" ht="15.75">
      <c r="A100" s="221" t="s">
        <v>74</v>
      </c>
      <c r="B100" s="191"/>
      <c r="C100" s="190">
        <v>0</v>
      </c>
      <c r="D100" s="207" t="s">
        <v>3</v>
      </c>
      <c r="E100" s="188">
        <v>607</v>
      </c>
      <c r="F100" s="174">
        <f t="shared" si="72"/>
        <v>0</v>
      </c>
      <c r="G100" s="186">
        <v>0.05</v>
      </c>
      <c r="H100" s="186">
        <v>0.02</v>
      </c>
      <c r="I100" s="186">
        <v>0.05</v>
      </c>
      <c r="J100" s="187">
        <v>0.122</v>
      </c>
      <c r="K100" s="186">
        <v>0.1</v>
      </c>
      <c r="L100" s="171">
        <f t="shared" si="73"/>
        <v>0</v>
      </c>
      <c r="M100" s="171">
        <f t="shared" si="74"/>
        <v>0</v>
      </c>
      <c r="N100" s="171">
        <f t="shared" si="75"/>
        <v>0</v>
      </c>
      <c r="O100" s="171">
        <f t="shared" si="76"/>
        <v>0</v>
      </c>
      <c r="P100" s="171">
        <f t="shared" si="77"/>
        <v>0</v>
      </c>
      <c r="Q100" s="170">
        <f t="shared" si="78"/>
        <v>0</v>
      </c>
      <c r="R100" s="185">
        <v>0.05</v>
      </c>
      <c r="S100" s="185">
        <v>0.05</v>
      </c>
      <c r="T100" s="185">
        <v>0.05</v>
      </c>
      <c r="U100" s="184">
        <v>0.1</v>
      </c>
      <c r="V100" s="167">
        <f t="shared" si="79"/>
        <v>0</v>
      </c>
      <c r="W100" s="167">
        <f t="shared" si="80"/>
        <v>0</v>
      </c>
      <c r="X100" s="167">
        <f t="shared" si="81"/>
        <v>0</v>
      </c>
      <c r="Y100" s="167">
        <f t="shared" si="82"/>
        <v>0</v>
      </c>
      <c r="Z100" s="183">
        <f t="shared" si="83"/>
        <v>0</v>
      </c>
      <c r="AA100" s="182">
        <v>75</v>
      </c>
      <c r="AB100" s="181"/>
      <c r="AC100" s="180">
        <v>75</v>
      </c>
      <c r="AD100" s="193"/>
    </row>
    <row r="101" spans="1:30" ht="15.75">
      <c r="A101" s="221" t="s">
        <v>73</v>
      </c>
      <c r="B101" s="191"/>
      <c r="C101" s="190">
        <v>0</v>
      </c>
      <c r="D101" s="207" t="s">
        <v>3</v>
      </c>
      <c r="E101" s="188">
        <v>754</v>
      </c>
      <c r="F101" s="174">
        <f t="shared" si="72"/>
        <v>0</v>
      </c>
      <c r="G101" s="186"/>
      <c r="H101" s="186"/>
      <c r="I101" s="186"/>
      <c r="J101" s="187"/>
      <c r="K101" s="186"/>
      <c r="L101" s="171">
        <f t="shared" si="73"/>
        <v>0</v>
      </c>
      <c r="M101" s="171">
        <f t="shared" si="74"/>
        <v>0</v>
      </c>
      <c r="N101" s="171">
        <f t="shared" si="75"/>
        <v>0</v>
      </c>
      <c r="O101" s="171">
        <f t="shared" si="76"/>
        <v>0</v>
      </c>
      <c r="P101" s="171">
        <f t="shared" si="77"/>
        <v>0</v>
      </c>
      <c r="Q101" s="170">
        <f t="shared" si="78"/>
        <v>0</v>
      </c>
      <c r="R101" s="185"/>
      <c r="S101" s="185"/>
      <c r="T101" s="185"/>
      <c r="U101" s="184"/>
      <c r="V101" s="167">
        <f t="shared" si="79"/>
        <v>0</v>
      </c>
      <c r="W101" s="167">
        <f t="shared" si="80"/>
        <v>0</v>
      </c>
      <c r="X101" s="167">
        <f t="shared" si="81"/>
        <v>0</v>
      </c>
      <c r="Y101" s="167">
        <f t="shared" si="82"/>
        <v>0</v>
      </c>
      <c r="Z101" s="183">
        <f t="shared" si="83"/>
        <v>0</v>
      </c>
      <c r="AA101" s="182"/>
      <c r="AB101" s="181"/>
      <c r="AC101" s="180"/>
      <c r="AD101" s="193"/>
    </row>
    <row r="102" spans="1:30" ht="15.75">
      <c r="A102" s="221" t="s">
        <v>72</v>
      </c>
      <c r="B102" s="191"/>
      <c r="C102" s="190">
        <v>0</v>
      </c>
      <c r="D102" s="207" t="s">
        <v>3</v>
      </c>
      <c r="E102" s="188">
        <v>688</v>
      </c>
      <c r="F102" s="174">
        <f t="shared" si="72"/>
        <v>0</v>
      </c>
      <c r="G102" s="186">
        <v>0.05</v>
      </c>
      <c r="H102" s="186">
        <v>0.02</v>
      </c>
      <c r="I102" s="186">
        <v>0.05</v>
      </c>
      <c r="J102" s="187">
        <v>0.122</v>
      </c>
      <c r="K102" s="186">
        <v>0.1</v>
      </c>
      <c r="L102" s="171">
        <f t="shared" si="73"/>
        <v>0</v>
      </c>
      <c r="M102" s="171">
        <f t="shared" si="74"/>
        <v>0</v>
      </c>
      <c r="N102" s="171">
        <f t="shared" si="75"/>
        <v>0</v>
      </c>
      <c r="O102" s="171">
        <f t="shared" si="76"/>
        <v>0</v>
      </c>
      <c r="P102" s="171">
        <f t="shared" si="77"/>
        <v>0</v>
      </c>
      <c r="Q102" s="170">
        <f t="shared" si="78"/>
        <v>0</v>
      </c>
      <c r="R102" s="185">
        <v>0.05</v>
      </c>
      <c r="S102" s="185">
        <v>0.05</v>
      </c>
      <c r="T102" s="185">
        <v>0.05</v>
      </c>
      <c r="U102" s="184">
        <v>0.1</v>
      </c>
      <c r="V102" s="167">
        <f t="shared" si="79"/>
        <v>0</v>
      </c>
      <c r="W102" s="167">
        <f t="shared" si="80"/>
        <v>0</v>
      </c>
      <c r="X102" s="167">
        <f t="shared" si="81"/>
        <v>0</v>
      </c>
      <c r="Y102" s="167">
        <f t="shared" si="82"/>
        <v>0</v>
      </c>
      <c r="Z102" s="183">
        <f t="shared" si="83"/>
        <v>0</v>
      </c>
      <c r="AA102" s="182">
        <v>75</v>
      </c>
      <c r="AB102" s="181"/>
      <c r="AC102" s="180">
        <v>75</v>
      </c>
      <c r="AD102" s="193"/>
    </row>
    <row r="103" spans="1:30" ht="15.75">
      <c r="A103" s="221" t="s">
        <v>71</v>
      </c>
      <c r="B103" s="191"/>
      <c r="C103" s="190">
        <v>0</v>
      </c>
      <c r="D103" s="207" t="s">
        <v>3</v>
      </c>
      <c r="E103" s="188">
        <v>623</v>
      </c>
      <c r="F103" s="174">
        <f t="shared" si="72"/>
        <v>0</v>
      </c>
      <c r="G103" s="186">
        <v>0.05</v>
      </c>
      <c r="H103" s="186">
        <v>0.02</v>
      </c>
      <c r="I103" s="186">
        <v>0.05</v>
      </c>
      <c r="J103" s="187">
        <v>0.122</v>
      </c>
      <c r="K103" s="186">
        <v>0.1</v>
      </c>
      <c r="L103" s="171">
        <f t="shared" si="73"/>
        <v>0</v>
      </c>
      <c r="M103" s="171">
        <f t="shared" si="74"/>
        <v>0</v>
      </c>
      <c r="N103" s="171">
        <f t="shared" si="75"/>
        <v>0</v>
      </c>
      <c r="O103" s="171">
        <f t="shared" si="76"/>
        <v>0</v>
      </c>
      <c r="P103" s="171">
        <f t="shared" si="77"/>
        <v>0</v>
      </c>
      <c r="Q103" s="170">
        <f t="shared" si="78"/>
        <v>0</v>
      </c>
      <c r="R103" s="185">
        <v>0.05</v>
      </c>
      <c r="S103" s="185">
        <v>0.05</v>
      </c>
      <c r="T103" s="185">
        <v>0.05</v>
      </c>
      <c r="U103" s="184">
        <v>0.1</v>
      </c>
      <c r="V103" s="167">
        <f t="shared" si="79"/>
        <v>0</v>
      </c>
      <c r="W103" s="167">
        <f t="shared" si="80"/>
        <v>0</v>
      </c>
      <c r="X103" s="167">
        <f t="shared" si="81"/>
        <v>0</v>
      </c>
      <c r="Y103" s="167">
        <f t="shared" si="82"/>
        <v>0</v>
      </c>
      <c r="Z103" s="183">
        <f t="shared" si="83"/>
        <v>0</v>
      </c>
      <c r="AA103" s="182">
        <v>75</v>
      </c>
      <c r="AB103" s="181"/>
      <c r="AC103" s="180">
        <v>75</v>
      </c>
      <c r="AD103" s="193"/>
    </row>
    <row r="104" spans="1:30" ht="15.75">
      <c r="A104" s="221" t="s">
        <v>70</v>
      </c>
      <c r="B104" s="191"/>
      <c r="C104" s="190">
        <v>0</v>
      </c>
      <c r="D104" s="207" t="s">
        <v>3</v>
      </c>
      <c r="E104" s="188">
        <v>524</v>
      </c>
      <c r="F104" s="174">
        <f t="shared" si="72"/>
        <v>0</v>
      </c>
      <c r="G104" s="186">
        <v>0.05</v>
      </c>
      <c r="H104" s="186">
        <v>0.02</v>
      </c>
      <c r="I104" s="186">
        <v>0.05</v>
      </c>
      <c r="J104" s="187">
        <v>0.122</v>
      </c>
      <c r="K104" s="186">
        <v>0.1</v>
      </c>
      <c r="L104" s="171">
        <f t="shared" si="73"/>
        <v>0</v>
      </c>
      <c r="M104" s="171">
        <f t="shared" si="74"/>
        <v>0</v>
      </c>
      <c r="N104" s="171">
        <f t="shared" si="75"/>
        <v>0</v>
      </c>
      <c r="O104" s="171">
        <f t="shared" si="76"/>
        <v>0</v>
      </c>
      <c r="P104" s="171">
        <f t="shared" si="77"/>
        <v>0</v>
      </c>
      <c r="Q104" s="170">
        <f t="shared" si="78"/>
        <v>0</v>
      </c>
      <c r="R104" s="185">
        <v>0.05</v>
      </c>
      <c r="S104" s="185">
        <v>0.05</v>
      </c>
      <c r="T104" s="185">
        <v>0.05</v>
      </c>
      <c r="U104" s="184">
        <v>0.1</v>
      </c>
      <c r="V104" s="167">
        <f t="shared" si="79"/>
        <v>0</v>
      </c>
      <c r="W104" s="167">
        <f t="shared" si="80"/>
        <v>0</v>
      </c>
      <c r="X104" s="167">
        <f t="shared" si="81"/>
        <v>0</v>
      </c>
      <c r="Y104" s="167">
        <f t="shared" si="82"/>
        <v>0</v>
      </c>
      <c r="Z104" s="183">
        <f t="shared" si="83"/>
        <v>0</v>
      </c>
      <c r="AA104" s="182">
        <v>75</v>
      </c>
      <c r="AB104" s="181"/>
      <c r="AC104" s="180">
        <v>75</v>
      </c>
      <c r="AD104" s="193"/>
    </row>
    <row r="105" spans="1:30" ht="15.75">
      <c r="A105" s="221" t="s">
        <v>69</v>
      </c>
      <c r="B105" s="191"/>
      <c r="C105" s="190">
        <v>0</v>
      </c>
      <c r="D105" s="207" t="s">
        <v>3</v>
      </c>
      <c r="E105" s="188">
        <v>663</v>
      </c>
      <c r="F105" s="174">
        <f t="shared" si="72"/>
        <v>0</v>
      </c>
      <c r="G105" s="186">
        <v>0.05</v>
      </c>
      <c r="H105" s="186">
        <v>0.02</v>
      </c>
      <c r="I105" s="186">
        <v>0.05</v>
      </c>
      <c r="J105" s="187">
        <v>0.122</v>
      </c>
      <c r="K105" s="186">
        <v>0.1</v>
      </c>
      <c r="L105" s="171">
        <f t="shared" si="73"/>
        <v>0</v>
      </c>
      <c r="M105" s="171">
        <f t="shared" si="74"/>
        <v>0</v>
      </c>
      <c r="N105" s="171">
        <f t="shared" si="75"/>
        <v>0</v>
      </c>
      <c r="O105" s="171">
        <f t="shared" si="76"/>
        <v>0</v>
      </c>
      <c r="P105" s="171">
        <f t="shared" si="77"/>
        <v>0</v>
      </c>
      <c r="Q105" s="170">
        <f t="shared" si="78"/>
        <v>0</v>
      </c>
      <c r="R105" s="185">
        <v>0.05</v>
      </c>
      <c r="S105" s="185">
        <v>0.05</v>
      </c>
      <c r="T105" s="185">
        <v>0.05</v>
      </c>
      <c r="U105" s="184">
        <v>0.1</v>
      </c>
      <c r="V105" s="167">
        <f t="shared" si="79"/>
        <v>0</v>
      </c>
      <c r="W105" s="167">
        <f t="shared" si="80"/>
        <v>0</v>
      </c>
      <c r="X105" s="167">
        <f t="shared" si="81"/>
        <v>0</v>
      </c>
      <c r="Y105" s="167">
        <f t="shared" si="82"/>
        <v>0</v>
      </c>
      <c r="Z105" s="183">
        <f t="shared" si="83"/>
        <v>0</v>
      </c>
      <c r="AA105" s="182">
        <v>75</v>
      </c>
      <c r="AB105" s="181"/>
      <c r="AC105" s="180">
        <v>75</v>
      </c>
      <c r="AD105" s="193"/>
    </row>
    <row r="106" spans="1:30" ht="15.75">
      <c r="A106" s="221" t="s">
        <v>68</v>
      </c>
      <c r="B106" s="191"/>
      <c r="C106" s="190">
        <v>0</v>
      </c>
      <c r="D106" s="207" t="s">
        <v>3</v>
      </c>
      <c r="E106" s="188">
        <v>630</v>
      </c>
      <c r="F106" s="174">
        <f t="shared" si="72"/>
        <v>0</v>
      </c>
      <c r="G106" s="186">
        <v>0.05</v>
      </c>
      <c r="H106" s="186">
        <v>0.02</v>
      </c>
      <c r="I106" s="186">
        <v>0.05</v>
      </c>
      <c r="J106" s="187">
        <v>0.122</v>
      </c>
      <c r="K106" s="186">
        <v>0.1</v>
      </c>
      <c r="L106" s="171">
        <f t="shared" si="73"/>
        <v>0</v>
      </c>
      <c r="M106" s="171">
        <f t="shared" si="74"/>
        <v>0</v>
      </c>
      <c r="N106" s="171">
        <f t="shared" si="75"/>
        <v>0</v>
      </c>
      <c r="O106" s="171">
        <f t="shared" si="76"/>
        <v>0</v>
      </c>
      <c r="P106" s="171">
        <f t="shared" si="77"/>
        <v>0</v>
      </c>
      <c r="Q106" s="170">
        <f t="shared" si="78"/>
        <v>0</v>
      </c>
      <c r="R106" s="185">
        <v>0.05</v>
      </c>
      <c r="S106" s="185">
        <v>0.05</v>
      </c>
      <c r="T106" s="185">
        <v>0.05</v>
      </c>
      <c r="U106" s="184">
        <v>0.1</v>
      </c>
      <c r="V106" s="167">
        <f t="shared" si="79"/>
        <v>0</v>
      </c>
      <c r="W106" s="167">
        <f t="shared" si="80"/>
        <v>0</v>
      </c>
      <c r="X106" s="167">
        <f t="shared" si="81"/>
        <v>0</v>
      </c>
      <c r="Y106" s="167">
        <f t="shared" si="82"/>
        <v>0</v>
      </c>
      <c r="Z106" s="183">
        <f t="shared" si="83"/>
        <v>0</v>
      </c>
      <c r="AA106" s="182">
        <v>75</v>
      </c>
      <c r="AB106" s="181"/>
      <c r="AC106" s="180">
        <v>75</v>
      </c>
      <c r="AD106" s="193"/>
    </row>
    <row r="107" spans="1:30" ht="15.75">
      <c r="A107" s="221" t="s">
        <v>67</v>
      </c>
      <c r="B107" s="191"/>
      <c r="C107" s="190">
        <v>0</v>
      </c>
      <c r="D107" s="207" t="s">
        <v>3</v>
      </c>
      <c r="E107" s="188"/>
      <c r="F107" s="174">
        <f t="shared" si="72"/>
        <v>0</v>
      </c>
      <c r="G107" s="186">
        <v>0.05</v>
      </c>
      <c r="H107" s="186">
        <v>0.02</v>
      </c>
      <c r="I107" s="186">
        <v>0.05</v>
      </c>
      <c r="J107" s="187">
        <v>0.122</v>
      </c>
      <c r="K107" s="186">
        <v>0.1</v>
      </c>
      <c r="L107" s="171">
        <f t="shared" si="73"/>
        <v>0</v>
      </c>
      <c r="M107" s="171">
        <f t="shared" si="74"/>
        <v>0</v>
      </c>
      <c r="N107" s="171">
        <f t="shared" si="75"/>
        <v>0</v>
      </c>
      <c r="O107" s="171">
        <f t="shared" si="76"/>
        <v>0</v>
      </c>
      <c r="P107" s="171">
        <f t="shared" si="77"/>
        <v>0</v>
      </c>
      <c r="Q107" s="170">
        <f t="shared" si="78"/>
        <v>0</v>
      </c>
      <c r="R107" s="185">
        <v>0.05</v>
      </c>
      <c r="S107" s="185">
        <v>0.05</v>
      </c>
      <c r="T107" s="185">
        <v>0.05</v>
      </c>
      <c r="U107" s="184">
        <v>0.1</v>
      </c>
      <c r="V107" s="167">
        <f t="shared" si="79"/>
        <v>0</v>
      </c>
      <c r="W107" s="167">
        <f t="shared" si="80"/>
        <v>0</v>
      </c>
      <c r="X107" s="167">
        <f t="shared" si="81"/>
        <v>0</v>
      </c>
      <c r="Y107" s="167">
        <f t="shared" si="82"/>
        <v>0</v>
      </c>
      <c r="Z107" s="183">
        <f t="shared" si="83"/>
        <v>0</v>
      </c>
      <c r="AA107" s="182">
        <v>75</v>
      </c>
      <c r="AB107" s="181"/>
      <c r="AC107" s="180">
        <v>75</v>
      </c>
      <c r="AD107" s="193"/>
    </row>
    <row r="108" spans="1:30" ht="15.75">
      <c r="A108" s="221" t="s">
        <v>66</v>
      </c>
      <c r="B108" s="191"/>
      <c r="C108" s="190">
        <v>0</v>
      </c>
      <c r="D108" s="207" t="s">
        <v>3</v>
      </c>
      <c r="E108" s="188">
        <v>572</v>
      </c>
      <c r="F108" s="174">
        <f t="shared" si="72"/>
        <v>0</v>
      </c>
      <c r="G108" s="186">
        <v>0.05</v>
      </c>
      <c r="H108" s="186">
        <v>0.02</v>
      </c>
      <c r="I108" s="186">
        <v>0.05</v>
      </c>
      <c r="J108" s="187">
        <v>0.122</v>
      </c>
      <c r="K108" s="186">
        <v>0.1</v>
      </c>
      <c r="L108" s="171">
        <f t="shared" si="73"/>
        <v>0</v>
      </c>
      <c r="M108" s="171">
        <f t="shared" si="74"/>
        <v>0</v>
      </c>
      <c r="N108" s="171">
        <f t="shared" si="75"/>
        <v>0</v>
      </c>
      <c r="O108" s="171">
        <f t="shared" si="76"/>
        <v>0</v>
      </c>
      <c r="P108" s="171">
        <f t="shared" si="77"/>
        <v>0</v>
      </c>
      <c r="Q108" s="170">
        <f t="shared" si="78"/>
        <v>0</v>
      </c>
      <c r="R108" s="185">
        <v>0.05</v>
      </c>
      <c r="S108" s="185">
        <v>0.05</v>
      </c>
      <c r="T108" s="185">
        <v>0.05</v>
      </c>
      <c r="U108" s="184">
        <v>0.1</v>
      </c>
      <c r="V108" s="167">
        <f t="shared" si="79"/>
        <v>0</v>
      </c>
      <c r="W108" s="167">
        <f t="shared" si="80"/>
        <v>0</v>
      </c>
      <c r="X108" s="167">
        <f t="shared" si="81"/>
        <v>0</v>
      </c>
      <c r="Y108" s="167">
        <f t="shared" si="82"/>
        <v>0</v>
      </c>
      <c r="Z108" s="183">
        <f t="shared" si="83"/>
        <v>0</v>
      </c>
      <c r="AA108" s="182">
        <v>75</v>
      </c>
      <c r="AB108" s="181"/>
      <c r="AC108" s="180">
        <v>75</v>
      </c>
      <c r="AD108" s="193"/>
    </row>
    <row r="109" spans="1:30" ht="15.75">
      <c r="A109" s="221" t="s">
        <v>65</v>
      </c>
      <c r="B109" s="191"/>
      <c r="C109" s="190">
        <v>0</v>
      </c>
      <c r="D109" s="207" t="s">
        <v>3</v>
      </c>
      <c r="E109" s="188"/>
      <c r="F109" s="174">
        <f t="shared" si="72"/>
        <v>0</v>
      </c>
      <c r="G109" s="186">
        <v>0.05</v>
      </c>
      <c r="H109" s="186">
        <v>0.02</v>
      </c>
      <c r="I109" s="186">
        <v>0.05</v>
      </c>
      <c r="J109" s="187">
        <v>0.122</v>
      </c>
      <c r="K109" s="186">
        <v>0.1</v>
      </c>
      <c r="L109" s="171">
        <f t="shared" si="73"/>
        <v>0</v>
      </c>
      <c r="M109" s="171">
        <f t="shared" si="74"/>
        <v>0</v>
      </c>
      <c r="N109" s="171">
        <f t="shared" si="75"/>
        <v>0</v>
      </c>
      <c r="O109" s="171">
        <f t="shared" si="76"/>
        <v>0</v>
      </c>
      <c r="P109" s="171">
        <f t="shared" si="77"/>
        <v>0</v>
      </c>
      <c r="Q109" s="170">
        <f t="shared" si="78"/>
        <v>0</v>
      </c>
      <c r="R109" s="185">
        <v>0.05</v>
      </c>
      <c r="S109" s="185">
        <v>0.05</v>
      </c>
      <c r="T109" s="185">
        <v>0.05</v>
      </c>
      <c r="U109" s="184">
        <v>0.1</v>
      </c>
      <c r="V109" s="167">
        <f t="shared" si="79"/>
        <v>0</v>
      </c>
      <c r="W109" s="167">
        <f t="shared" si="80"/>
        <v>0</v>
      </c>
      <c r="X109" s="167">
        <f t="shared" si="81"/>
        <v>0</v>
      </c>
      <c r="Y109" s="167">
        <f t="shared" si="82"/>
        <v>0</v>
      </c>
      <c r="Z109" s="183">
        <f t="shared" si="83"/>
        <v>0</v>
      </c>
      <c r="AA109" s="182">
        <v>75</v>
      </c>
      <c r="AB109" s="181"/>
      <c r="AC109" s="180">
        <v>75</v>
      </c>
      <c r="AD109" s="193"/>
    </row>
    <row r="110" spans="1:30" ht="15.75">
      <c r="A110" s="221" t="s">
        <v>64</v>
      </c>
      <c r="B110" s="191"/>
      <c r="C110" s="190">
        <v>0</v>
      </c>
      <c r="D110" s="207" t="s">
        <v>3</v>
      </c>
      <c r="E110" s="188"/>
      <c r="F110" s="174">
        <f t="shared" si="72"/>
        <v>0</v>
      </c>
      <c r="G110" s="186">
        <v>0.05</v>
      </c>
      <c r="H110" s="186">
        <v>0.02</v>
      </c>
      <c r="I110" s="186">
        <v>0.05</v>
      </c>
      <c r="J110" s="187">
        <v>0.122</v>
      </c>
      <c r="K110" s="186">
        <v>0.1</v>
      </c>
      <c r="L110" s="171">
        <f t="shared" si="73"/>
        <v>0</v>
      </c>
      <c r="M110" s="171">
        <f t="shared" si="74"/>
        <v>0</v>
      </c>
      <c r="N110" s="171">
        <f t="shared" si="75"/>
        <v>0</v>
      </c>
      <c r="O110" s="171">
        <f t="shared" si="76"/>
        <v>0</v>
      </c>
      <c r="P110" s="171">
        <f t="shared" si="77"/>
        <v>0</v>
      </c>
      <c r="Q110" s="170">
        <f t="shared" si="78"/>
        <v>0</v>
      </c>
      <c r="R110" s="185">
        <v>0.05</v>
      </c>
      <c r="S110" s="185">
        <v>0.05</v>
      </c>
      <c r="T110" s="185">
        <v>0.05</v>
      </c>
      <c r="U110" s="184">
        <v>0.1</v>
      </c>
      <c r="V110" s="167">
        <f t="shared" si="79"/>
        <v>0</v>
      </c>
      <c r="W110" s="167">
        <f t="shared" si="80"/>
        <v>0</v>
      </c>
      <c r="X110" s="167">
        <f t="shared" si="81"/>
        <v>0</v>
      </c>
      <c r="Y110" s="167">
        <f t="shared" si="82"/>
        <v>0</v>
      </c>
      <c r="Z110" s="183">
        <f t="shared" si="83"/>
        <v>0</v>
      </c>
      <c r="AA110" s="182">
        <v>75</v>
      </c>
      <c r="AB110" s="181"/>
      <c r="AC110" s="180">
        <v>75</v>
      </c>
      <c r="AD110" s="193"/>
    </row>
    <row r="111" spans="1:30" ht="15.75">
      <c r="A111" s="221" t="s">
        <v>63</v>
      </c>
      <c r="B111" s="191"/>
      <c r="C111" s="190">
        <v>0</v>
      </c>
      <c r="D111" s="207" t="s">
        <v>3</v>
      </c>
      <c r="E111" s="188"/>
      <c r="F111" s="174">
        <f t="shared" si="72"/>
        <v>0</v>
      </c>
      <c r="G111" s="186">
        <v>0.05</v>
      </c>
      <c r="H111" s="186">
        <v>0.02</v>
      </c>
      <c r="I111" s="186">
        <v>0.05</v>
      </c>
      <c r="J111" s="187">
        <v>0.122</v>
      </c>
      <c r="K111" s="186">
        <v>0.1</v>
      </c>
      <c r="L111" s="171">
        <f t="shared" si="73"/>
        <v>0</v>
      </c>
      <c r="M111" s="171">
        <f t="shared" si="74"/>
        <v>0</v>
      </c>
      <c r="N111" s="171">
        <f t="shared" si="75"/>
        <v>0</v>
      </c>
      <c r="O111" s="171">
        <f t="shared" si="76"/>
        <v>0</v>
      </c>
      <c r="P111" s="171">
        <f t="shared" si="77"/>
        <v>0</v>
      </c>
      <c r="Q111" s="170">
        <f t="shared" si="78"/>
        <v>0</v>
      </c>
      <c r="R111" s="185">
        <v>0.05</v>
      </c>
      <c r="S111" s="185">
        <v>0.05</v>
      </c>
      <c r="T111" s="185">
        <v>0.05</v>
      </c>
      <c r="U111" s="184">
        <v>0.1</v>
      </c>
      <c r="V111" s="167">
        <f t="shared" si="79"/>
        <v>0</v>
      </c>
      <c r="W111" s="167">
        <f t="shared" si="80"/>
        <v>0</v>
      </c>
      <c r="X111" s="167">
        <f t="shared" si="81"/>
        <v>0</v>
      </c>
      <c r="Y111" s="167">
        <f t="shared" si="82"/>
        <v>0</v>
      </c>
      <c r="Z111" s="183">
        <f t="shared" si="83"/>
        <v>0</v>
      </c>
      <c r="AA111" s="182">
        <v>75</v>
      </c>
      <c r="AB111" s="181"/>
      <c r="AC111" s="180">
        <v>75</v>
      </c>
      <c r="AD111" s="193"/>
    </row>
    <row r="112" spans="1:30" ht="15.75">
      <c r="A112" s="221" t="s">
        <v>62</v>
      </c>
      <c r="B112" s="191"/>
      <c r="C112" s="190">
        <v>0</v>
      </c>
      <c r="D112" s="207" t="s">
        <v>3</v>
      </c>
      <c r="E112" s="188"/>
      <c r="F112" s="174">
        <f t="shared" si="72"/>
        <v>0</v>
      </c>
      <c r="G112" s="186">
        <v>0.05</v>
      </c>
      <c r="H112" s="186">
        <v>0.02</v>
      </c>
      <c r="I112" s="186">
        <v>0.05</v>
      </c>
      <c r="J112" s="187">
        <v>0.122</v>
      </c>
      <c r="K112" s="186">
        <v>0.1</v>
      </c>
      <c r="L112" s="171">
        <f t="shared" si="73"/>
        <v>0</v>
      </c>
      <c r="M112" s="171">
        <f t="shared" si="74"/>
        <v>0</v>
      </c>
      <c r="N112" s="171">
        <f t="shared" si="75"/>
        <v>0</v>
      </c>
      <c r="O112" s="171">
        <f t="shared" si="76"/>
        <v>0</v>
      </c>
      <c r="P112" s="171">
        <f t="shared" si="77"/>
        <v>0</v>
      </c>
      <c r="Q112" s="170">
        <f t="shared" si="78"/>
        <v>0</v>
      </c>
      <c r="R112" s="185">
        <v>0.05</v>
      </c>
      <c r="S112" s="185">
        <v>0.05</v>
      </c>
      <c r="T112" s="185">
        <v>0.05</v>
      </c>
      <c r="U112" s="184">
        <v>0.1</v>
      </c>
      <c r="V112" s="167">
        <f t="shared" si="79"/>
        <v>0</v>
      </c>
      <c r="W112" s="167">
        <f t="shared" si="80"/>
        <v>0</v>
      </c>
      <c r="X112" s="167">
        <f t="shared" si="81"/>
        <v>0</v>
      </c>
      <c r="Y112" s="167">
        <f t="shared" si="82"/>
        <v>0</v>
      </c>
      <c r="Z112" s="183">
        <f t="shared" si="83"/>
        <v>0</v>
      </c>
      <c r="AA112" s="182">
        <v>75</v>
      </c>
      <c r="AB112" s="181"/>
      <c r="AC112" s="180">
        <v>75</v>
      </c>
      <c r="AD112" s="193"/>
    </row>
    <row r="113" spans="1:30" ht="15.75">
      <c r="A113" s="221" t="s">
        <v>61</v>
      </c>
      <c r="B113" s="191"/>
      <c r="C113" s="190">
        <v>0</v>
      </c>
      <c r="D113" s="207" t="s">
        <v>3</v>
      </c>
      <c r="E113" s="188"/>
      <c r="F113" s="174">
        <f t="shared" si="72"/>
        <v>0</v>
      </c>
      <c r="G113" s="186">
        <v>0.05</v>
      </c>
      <c r="H113" s="186">
        <v>0.02</v>
      </c>
      <c r="I113" s="186">
        <v>0.05</v>
      </c>
      <c r="J113" s="187">
        <v>0.122</v>
      </c>
      <c r="K113" s="186">
        <v>0.1</v>
      </c>
      <c r="L113" s="171">
        <f t="shared" si="73"/>
        <v>0</v>
      </c>
      <c r="M113" s="171">
        <f t="shared" si="74"/>
        <v>0</v>
      </c>
      <c r="N113" s="171">
        <f t="shared" si="75"/>
        <v>0</v>
      </c>
      <c r="O113" s="171">
        <f t="shared" si="76"/>
        <v>0</v>
      </c>
      <c r="P113" s="171">
        <f t="shared" si="77"/>
        <v>0</v>
      </c>
      <c r="Q113" s="170">
        <f t="shared" si="78"/>
        <v>0</v>
      </c>
      <c r="R113" s="185">
        <v>0.05</v>
      </c>
      <c r="S113" s="185">
        <v>0.05</v>
      </c>
      <c r="T113" s="185">
        <v>0.05</v>
      </c>
      <c r="U113" s="184">
        <v>0.1</v>
      </c>
      <c r="V113" s="167">
        <f t="shared" si="79"/>
        <v>0</v>
      </c>
      <c r="W113" s="167">
        <f t="shared" si="80"/>
        <v>0</v>
      </c>
      <c r="X113" s="167">
        <f t="shared" si="81"/>
        <v>0</v>
      </c>
      <c r="Y113" s="167">
        <f t="shared" si="82"/>
        <v>0</v>
      </c>
      <c r="Z113" s="183">
        <f t="shared" si="83"/>
        <v>0</v>
      </c>
      <c r="AA113" s="182">
        <v>75</v>
      </c>
      <c r="AB113" s="181"/>
      <c r="AC113" s="180">
        <v>75</v>
      </c>
      <c r="AD113" s="193"/>
    </row>
    <row r="114" spans="1:30" ht="15.75">
      <c r="A114" s="221" t="s">
        <v>60</v>
      </c>
      <c r="B114" s="191"/>
      <c r="C114" s="190">
        <v>0</v>
      </c>
      <c r="D114" s="207" t="s">
        <v>3</v>
      </c>
      <c r="E114" s="188"/>
      <c r="F114" s="174">
        <f t="shared" si="72"/>
        <v>0</v>
      </c>
      <c r="G114" s="186">
        <v>0.05</v>
      </c>
      <c r="H114" s="186">
        <v>0.02</v>
      </c>
      <c r="I114" s="186">
        <v>0.05</v>
      </c>
      <c r="J114" s="187">
        <v>0.122</v>
      </c>
      <c r="K114" s="186">
        <v>0.1</v>
      </c>
      <c r="L114" s="171">
        <f t="shared" si="73"/>
        <v>0</v>
      </c>
      <c r="M114" s="171">
        <f t="shared" si="74"/>
        <v>0</v>
      </c>
      <c r="N114" s="171">
        <f t="shared" si="75"/>
        <v>0</v>
      </c>
      <c r="O114" s="171">
        <f t="shared" si="76"/>
        <v>0</v>
      </c>
      <c r="P114" s="171">
        <f t="shared" si="77"/>
        <v>0</v>
      </c>
      <c r="Q114" s="170">
        <f t="shared" si="78"/>
        <v>0</v>
      </c>
      <c r="R114" s="185">
        <v>0.05</v>
      </c>
      <c r="S114" s="185">
        <v>0.05</v>
      </c>
      <c r="T114" s="185">
        <v>0.05</v>
      </c>
      <c r="U114" s="184">
        <v>0.1</v>
      </c>
      <c r="V114" s="167">
        <f t="shared" si="79"/>
        <v>0</v>
      </c>
      <c r="W114" s="167">
        <f t="shared" si="80"/>
        <v>0</v>
      </c>
      <c r="X114" s="167">
        <f t="shared" si="81"/>
        <v>0</v>
      </c>
      <c r="Y114" s="167">
        <f t="shared" si="82"/>
        <v>0</v>
      </c>
      <c r="Z114" s="183">
        <f t="shared" si="83"/>
        <v>0</v>
      </c>
      <c r="AA114" s="182">
        <v>75</v>
      </c>
      <c r="AB114" s="181"/>
      <c r="AC114" s="180">
        <v>75</v>
      </c>
      <c r="AD114" s="193"/>
    </row>
    <row r="115" spans="1:30" ht="15.75">
      <c r="A115" s="221" t="s">
        <v>59</v>
      </c>
      <c r="B115" s="191"/>
      <c r="C115" s="190">
        <v>0</v>
      </c>
      <c r="D115" s="207" t="s">
        <v>3</v>
      </c>
      <c r="E115" s="188"/>
      <c r="F115" s="174">
        <f t="shared" si="72"/>
        <v>0</v>
      </c>
      <c r="G115" s="186">
        <v>0.05</v>
      </c>
      <c r="H115" s="186">
        <v>0.02</v>
      </c>
      <c r="I115" s="186">
        <v>0.05</v>
      </c>
      <c r="J115" s="187">
        <v>0.122</v>
      </c>
      <c r="K115" s="186">
        <v>0.1</v>
      </c>
      <c r="L115" s="171">
        <f t="shared" si="73"/>
        <v>0</v>
      </c>
      <c r="M115" s="171">
        <f t="shared" si="74"/>
        <v>0</v>
      </c>
      <c r="N115" s="171">
        <f t="shared" si="75"/>
        <v>0</v>
      </c>
      <c r="O115" s="171">
        <f t="shared" si="76"/>
        <v>0</v>
      </c>
      <c r="P115" s="171">
        <f t="shared" si="77"/>
        <v>0</v>
      </c>
      <c r="Q115" s="170">
        <f t="shared" si="78"/>
        <v>0</v>
      </c>
      <c r="R115" s="185">
        <v>0.05</v>
      </c>
      <c r="S115" s="185">
        <v>0.05</v>
      </c>
      <c r="T115" s="185">
        <v>0.05</v>
      </c>
      <c r="U115" s="184">
        <v>0.1</v>
      </c>
      <c r="V115" s="167">
        <f t="shared" si="79"/>
        <v>0</v>
      </c>
      <c r="W115" s="167">
        <f t="shared" si="80"/>
        <v>0</v>
      </c>
      <c r="X115" s="167">
        <f t="shared" si="81"/>
        <v>0</v>
      </c>
      <c r="Y115" s="167">
        <f t="shared" si="82"/>
        <v>0</v>
      </c>
      <c r="Z115" s="183">
        <f t="shared" si="83"/>
        <v>0</v>
      </c>
      <c r="AA115" s="182">
        <v>75</v>
      </c>
      <c r="AB115" s="181"/>
      <c r="AC115" s="180">
        <v>75</v>
      </c>
      <c r="AD115" s="193"/>
    </row>
    <row r="116" spans="1:30" ht="15.75">
      <c r="A116" s="221" t="s">
        <v>58</v>
      </c>
      <c r="B116" s="191"/>
      <c r="C116" s="190">
        <v>0</v>
      </c>
      <c r="D116" s="207" t="s">
        <v>3</v>
      </c>
      <c r="E116" s="188"/>
      <c r="F116" s="174">
        <f t="shared" si="72"/>
        <v>0</v>
      </c>
      <c r="G116" s="186">
        <v>0.05</v>
      </c>
      <c r="H116" s="186">
        <v>0.02</v>
      </c>
      <c r="I116" s="186">
        <v>0.05</v>
      </c>
      <c r="J116" s="187">
        <v>0.122</v>
      </c>
      <c r="K116" s="186">
        <v>0.1</v>
      </c>
      <c r="L116" s="171">
        <f t="shared" si="73"/>
        <v>0</v>
      </c>
      <c r="M116" s="171">
        <f t="shared" si="74"/>
        <v>0</v>
      </c>
      <c r="N116" s="171">
        <f t="shared" si="75"/>
        <v>0</v>
      </c>
      <c r="O116" s="171">
        <f t="shared" si="76"/>
        <v>0</v>
      </c>
      <c r="P116" s="171">
        <f t="shared" si="77"/>
        <v>0</v>
      </c>
      <c r="Q116" s="170">
        <f t="shared" si="78"/>
        <v>0</v>
      </c>
      <c r="R116" s="185">
        <v>0.05</v>
      </c>
      <c r="S116" s="185">
        <v>0.05</v>
      </c>
      <c r="T116" s="185">
        <v>0.05</v>
      </c>
      <c r="U116" s="184">
        <v>0.1</v>
      </c>
      <c r="V116" s="167">
        <f t="shared" si="79"/>
        <v>0</v>
      </c>
      <c r="W116" s="167">
        <f t="shared" si="80"/>
        <v>0</v>
      </c>
      <c r="X116" s="167">
        <f t="shared" si="81"/>
        <v>0</v>
      </c>
      <c r="Y116" s="167">
        <f t="shared" si="82"/>
        <v>0</v>
      </c>
      <c r="Z116" s="183">
        <f t="shared" si="83"/>
        <v>0</v>
      </c>
      <c r="AA116" s="182">
        <v>75</v>
      </c>
      <c r="AB116" s="181"/>
      <c r="AC116" s="180">
        <v>75</v>
      </c>
      <c r="AD116" s="193"/>
    </row>
    <row r="117" spans="1:30" ht="15.75">
      <c r="A117" s="221" t="s">
        <v>57</v>
      </c>
      <c r="B117" s="191"/>
      <c r="C117" s="190">
        <v>0</v>
      </c>
      <c r="D117" s="207" t="s">
        <v>3</v>
      </c>
      <c r="E117" s="188"/>
      <c r="F117" s="174">
        <f t="shared" si="72"/>
        <v>0</v>
      </c>
      <c r="G117" s="186">
        <v>0.05</v>
      </c>
      <c r="H117" s="186">
        <v>0.02</v>
      </c>
      <c r="I117" s="186">
        <v>0.05</v>
      </c>
      <c r="J117" s="187">
        <v>0.122</v>
      </c>
      <c r="K117" s="186">
        <v>0.1</v>
      </c>
      <c r="L117" s="171">
        <f t="shared" si="73"/>
        <v>0</v>
      </c>
      <c r="M117" s="171">
        <f t="shared" si="74"/>
        <v>0</v>
      </c>
      <c r="N117" s="171">
        <f t="shared" si="75"/>
        <v>0</v>
      </c>
      <c r="O117" s="171">
        <f t="shared" si="76"/>
        <v>0</v>
      </c>
      <c r="P117" s="171">
        <f t="shared" si="77"/>
        <v>0</v>
      </c>
      <c r="Q117" s="170">
        <f t="shared" si="78"/>
        <v>0</v>
      </c>
      <c r="R117" s="185">
        <v>0.05</v>
      </c>
      <c r="S117" s="185">
        <v>0.05</v>
      </c>
      <c r="T117" s="185">
        <v>0.05</v>
      </c>
      <c r="U117" s="184">
        <v>0.1</v>
      </c>
      <c r="V117" s="167">
        <f t="shared" si="79"/>
        <v>0</v>
      </c>
      <c r="W117" s="167">
        <f t="shared" si="80"/>
        <v>0</v>
      </c>
      <c r="X117" s="167">
        <f t="shared" si="81"/>
        <v>0</v>
      </c>
      <c r="Y117" s="167">
        <f t="shared" si="82"/>
        <v>0</v>
      </c>
      <c r="Z117" s="183">
        <f t="shared" si="83"/>
        <v>0</v>
      </c>
      <c r="AA117" s="182">
        <v>75</v>
      </c>
      <c r="AB117" s="181"/>
      <c r="AC117" s="180">
        <v>75</v>
      </c>
      <c r="AD117" s="193"/>
    </row>
    <row r="118" spans="1:30" ht="15.75">
      <c r="A118" s="221" t="s">
        <v>56</v>
      </c>
      <c r="B118" s="191"/>
      <c r="C118" s="190">
        <v>0</v>
      </c>
      <c r="D118" s="207" t="s">
        <v>3</v>
      </c>
      <c r="E118" s="188">
        <v>265</v>
      </c>
      <c r="F118" s="174">
        <f t="shared" si="72"/>
        <v>0</v>
      </c>
      <c r="G118" s="186">
        <v>0.05</v>
      </c>
      <c r="H118" s="186">
        <v>0.02</v>
      </c>
      <c r="I118" s="186">
        <v>0.05</v>
      </c>
      <c r="J118" s="187">
        <v>0.122</v>
      </c>
      <c r="K118" s="186">
        <v>0.1</v>
      </c>
      <c r="L118" s="171">
        <f t="shared" si="73"/>
        <v>0</v>
      </c>
      <c r="M118" s="171">
        <f t="shared" si="74"/>
        <v>0</v>
      </c>
      <c r="N118" s="171">
        <f t="shared" si="75"/>
        <v>0</v>
      </c>
      <c r="O118" s="171">
        <f t="shared" si="76"/>
        <v>0</v>
      </c>
      <c r="P118" s="171">
        <f t="shared" si="77"/>
        <v>0</v>
      </c>
      <c r="Q118" s="170">
        <f t="shared" si="78"/>
        <v>0</v>
      </c>
      <c r="R118" s="185">
        <v>0.05</v>
      </c>
      <c r="S118" s="185">
        <v>0.05</v>
      </c>
      <c r="T118" s="185">
        <v>0.05</v>
      </c>
      <c r="U118" s="184">
        <v>0.1</v>
      </c>
      <c r="V118" s="167">
        <f t="shared" si="79"/>
        <v>0</v>
      </c>
      <c r="W118" s="167">
        <f t="shared" si="80"/>
        <v>0</v>
      </c>
      <c r="X118" s="167">
        <f t="shared" si="81"/>
        <v>0</v>
      </c>
      <c r="Y118" s="167">
        <f t="shared" si="82"/>
        <v>0</v>
      </c>
      <c r="Z118" s="183">
        <f t="shared" si="83"/>
        <v>0</v>
      </c>
      <c r="AA118" s="182">
        <v>75</v>
      </c>
      <c r="AB118" s="181"/>
      <c r="AC118" s="180">
        <v>75</v>
      </c>
      <c r="AD118" s="193"/>
    </row>
    <row r="119" spans="1:30" ht="15.75">
      <c r="A119" s="221" t="s">
        <v>55</v>
      </c>
      <c r="B119" s="191"/>
      <c r="C119" s="190">
        <v>0</v>
      </c>
      <c r="D119" s="207" t="s">
        <v>3</v>
      </c>
      <c r="E119" s="188"/>
      <c r="F119" s="174">
        <f t="shared" si="72"/>
        <v>0</v>
      </c>
      <c r="G119" s="186">
        <v>0.05</v>
      </c>
      <c r="H119" s="186">
        <v>0.02</v>
      </c>
      <c r="I119" s="186">
        <v>0.05</v>
      </c>
      <c r="J119" s="187">
        <v>0.122</v>
      </c>
      <c r="K119" s="186">
        <v>0.1</v>
      </c>
      <c r="L119" s="171">
        <f t="shared" si="73"/>
        <v>0</v>
      </c>
      <c r="M119" s="171">
        <f t="shared" si="74"/>
        <v>0</v>
      </c>
      <c r="N119" s="171">
        <f t="shared" si="75"/>
        <v>0</v>
      </c>
      <c r="O119" s="171">
        <f t="shared" si="76"/>
        <v>0</v>
      </c>
      <c r="P119" s="171">
        <f t="shared" si="77"/>
        <v>0</v>
      </c>
      <c r="Q119" s="170">
        <f t="shared" si="78"/>
        <v>0</v>
      </c>
      <c r="R119" s="185">
        <v>0.05</v>
      </c>
      <c r="S119" s="185">
        <v>0.05</v>
      </c>
      <c r="T119" s="185">
        <v>0.05</v>
      </c>
      <c r="U119" s="184">
        <v>0.1</v>
      </c>
      <c r="V119" s="167">
        <f t="shared" si="79"/>
        <v>0</v>
      </c>
      <c r="W119" s="167">
        <f t="shared" si="80"/>
        <v>0</v>
      </c>
      <c r="X119" s="167">
        <f t="shared" si="81"/>
        <v>0</v>
      </c>
      <c r="Y119" s="167">
        <f t="shared" si="82"/>
        <v>0</v>
      </c>
      <c r="Z119" s="183">
        <f t="shared" si="83"/>
        <v>0</v>
      </c>
      <c r="AA119" s="182">
        <v>75</v>
      </c>
      <c r="AB119" s="181"/>
      <c r="AC119" s="180">
        <v>75</v>
      </c>
      <c r="AD119" s="193"/>
    </row>
    <row r="120" spans="1:30" ht="15.75">
      <c r="A120" s="221" t="s">
        <v>54</v>
      </c>
      <c r="B120" s="191"/>
      <c r="C120" s="190">
        <v>0</v>
      </c>
      <c r="D120" s="207" t="s">
        <v>3</v>
      </c>
      <c r="E120" s="188"/>
      <c r="F120" s="174">
        <f t="shared" si="72"/>
        <v>0</v>
      </c>
      <c r="G120" s="186">
        <v>0.05</v>
      </c>
      <c r="H120" s="186">
        <v>0.02</v>
      </c>
      <c r="I120" s="186">
        <v>0.05</v>
      </c>
      <c r="J120" s="187">
        <v>0.122</v>
      </c>
      <c r="K120" s="186">
        <v>0.1</v>
      </c>
      <c r="L120" s="171">
        <f t="shared" si="73"/>
        <v>0</v>
      </c>
      <c r="M120" s="171">
        <f t="shared" si="74"/>
        <v>0</v>
      </c>
      <c r="N120" s="171">
        <f t="shared" si="75"/>
        <v>0</v>
      </c>
      <c r="O120" s="171">
        <f t="shared" si="76"/>
        <v>0</v>
      </c>
      <c r="P120" s="171">
        <f t="shared" si="77"/>
        <v>0</v>
      </c>
      <c r="Q120" s="170">
        <f t="shared" si="78"/>
        <v>0</v>
      </c>
      <c r="R120" s="185">
        <v>0.05</v>
      </c>
      <c r="S120" s="185">
        <v>0.05</v>
      </c>
      <c r="T120" s="185">
        <v>0.05</v>
      </c>
      <c r="U120" s="184">
        <v>0.1</v>
      </c>
      <c r="V120" s="167">
        <f t="shared" si="79"/>
        <v>0</v>
      </c>
      <c r="W120" s="167">
        <f t="shared" si="80"/>
        <v>0</v>
      </c>
      <c r="X120" s="167">
        <f t="shared" si="81"/>
        <v>0</v>
      </c>
      <c r="Y120" s="167">
        <f t="shared" si="82"/>
        <v>0</v>
      </c>
      <c r="Z120" s="183">
        <f t="shared" si="83"/>
        <v>0</v>
      </c>
      <c r="AA120" s="182">
        <v>75</v>
      </c>
      <c r="AB120" s="181"/>
      <c r="AC120" s="180">
        <v>75</v>
      </c>
      <c r="AD120" s="193"/>
    </row>
    <row r="121" spans="1:30" ht="90">
      <c r="A121" s="219" t="s">
        <v>53</v>
      </c>
      <c r="B121" s="205"/>
      <c r="C121" s="204"/>
      <c r="D121" s="210"/>
      <c r="E121" s="209"/>
      <c r="F121" s="200"/>
      <c r="G121" s="200"/>
      <c r="H121" s="200"/>
      <c r="I121" s="200"/>
      <c r="J121" s="201"/>
      <c r="K121" s="200"/>
      <c r="L121" s="200"/>
      <c r="M121" s="200"/>
      <c r="N121" s="200"/>
      <c r="O121" s="200"/>
      <c r="P121" s="200"/>
      <c r="Q121" s="200"/>
      <c r="R121" s="199"/>
      <c r="S121" s="199"/>
      <c r="T121" s="199"/>
      <c r="U121" s="197"/>
      <c r="V121" s="197"/>
      <c r="W121" s="197"/>
      <c r="X121" s="197"/>
      <c r="Y121" s="197"/>
      <c r="Z121" s="198"/>
      <c r="AA121" s="218"/>
      <c r="AB121" s="196"/>
      <c r="AC121" s="195"/>
      <c r="AD121" s="194"/>
    </row>
    <row r="122" spans="1:30" ht="60">
      <c r="A122" s="217" t="s">
        <v>52</v>
      </c>
      <c r="B122" s="216"/>
      <c r="C122" s="215"/>
      <c r="D122" s="214"/>
      <c r="E122" s="213"/>
      <c r="F122" s="186"/>
      <c r="G122" s="186"/>
      <c r="H122" s="186"/>
      <c r="I122" s="186"/>
      <c r="J122" s="187"/>
      <c r="K122" s="186"/>
      <c r="L122" s="186"/>
      <c r="M122" s="186"/>
      <c r="N122" s="186"/>
      <c r="O122" s="186"/>
      <c r="P122" s="186"/>
      <c r="Q122" s="186"/>
      <c r="R122" s="185"/>
      <c r="S122" s="185"/>
      <c r="T122" s="185"/>
      <c r="U122" s="184"/>
      <c r="V122" s="184"/>
      <c r="W122" s="184"/>
      <c r="X122" s="184"/>
      <c r="Y122" s="184"/>
      <c r="Z122" s="212"/>
      <c r="AA122" s="182"/>
      <c r="AB122" s="181"/>
      <c r="AC122" s="180"/>
      <c r="AD122" s="211"/>
    </row>
    <row r="123" spans="1:30" ht="30">
      <c r="A123" s="192" t="s">
        <v>51</v>
      </c>
      <c r="B123" s="191"/>
      <c r="C123" s="190">
        <v>0</v>
      </c>
      <c r="D123" s="189" t="s">
        <v>3</v>
      </c>
      <c r="E123" s="188">
        <v>200</v>
      </c>
      <c r="F123" s="174">
        <f>E123*C123</f>
        <v>0</v>
      </c>
      <c r="G123" s="186">
        <v>0.05</v>
      </c>
      <c r="H123" s="186">
        <v>0.02</v>
      </c>
      <c r="I123" s="186">
        <v>0.05</v>
      </c>
      <c r="J123" s="187">
        <v>0.122</v>
      </c>
      <c r="K123" s="186">
        <v>0.1</v>
      </c>
      <c r="L123" s="171">
        <f>F123*G123</f>
        <v>0</v>
      </c>
      <c r="M123" s="171">
        <f>(F123+L123)*H123</f>
        <v>0</v>
      </c>
      <c r="N123" s="171">
        <f>(F123+L123+M123)*I123</f>
        <v>0</v>
      </c>
      <c r="O123" s="171">
        <f>(F123+L123+M123+N123)*J123</f>
        <v>0</v>
      </c>
      <c r="P123" s="171">
        <f>(F123+L123+M123+N123+O123)*K123</f>
        <v>0</v>
      </c>
      <c r="Q123" s="170">
        <f>F123+SUM(L123:P123)</f>
        <v>0</v>
      </c>
      <c r="R123" s="185">
        <v>0.05</v>
      </c>
      <c r="S123" s="185">
        <v>0.05</v>
      </c>
      <c r="T123" s="185">
        <v>0.05</v>
      </c>
      <c r="U123" s="184">
        <v>0.1</v>
      </c>
      <c r="V123" s="167">
        <f>Q123*R123</f>
        <v>0</v>
      </c>
      <c r="W123" s="167">
        <f>Q123*S123</f>
        <v>0</v>
      </c>
      <c r="X123" s="167">
        <f>Q123*T123</f>
        <v>0</v>
      </c>
      <c r="Y123" s="167">
        <f>U123*(V123+W123)</f>
        <v>0</v>
      </c>
      <c r="Z123" s="183">
        <f>Q123+SUM(V123:Y123)</f>
        <v>0</v>
      </c>
      <c r="AA123" s="182">
        <v>30</v>
      </c>
      <c r="AB123" s="181"/>
      <c r="AC123" s="180">
        <v>30</v>
      </c>
      <c r="AD123" s="193"/>
    </row>
    <row r="124" spans="1:30" ht="30">
      <c r="A124" s="192" t="s">
        <v>50</v>
      </c>
      <c r="B124" s="191"/>
      <c r="C124" s="190">
        <v>0</v>
      </c>
      <c r="D124" s="189" t="s">
        <v>3</v>
      </c>
      <c r="E124" s="188">
        <v>280</v>
      </c>
      <c r="F124" s="174">
        <f>E124*C124</f>
        <v>0</v>
      </c>
      <c r="G124" s="186">
        <v>0.05</v>
      </c>
      <c r="H124" s="186">
        <v>0.02</v>
      </c>
      <c r="I124" s="186">
        <v>0.05</v>
      </c>
      <c r="J124" s="187">
        <v>0.122</v>
      </c>
      <c r="K124" s="186">
        <v>0.1</v>
      </c>
      <c r="L124" s="171">
        <f>F124*G124</f>
        <v>0</v>
      </c>
      <c r="M124" s="171">
        <f>(F124+L124)*H124</f>
        <v>0</v>
      </c>
      <c r="N124" s="171">
        <f>(F124+L124+M124)*I124</f>
        <v>0</v>
      </c>
      <c r="O124" s="171">
        <f>(F124+L124+M124+N124)*J124</f>
        <v>0</v>
      </c>
      <c r="P124" s="171">
        <f>(F124+L124+M124+N124+O124)*K124</f>
        <v>0</v>
      </c>
      <c r="Q124" s="170">
        <f>F124+SUM(L124:P124)</f>
        <v>0</v>
      </c>
      <c r="R124" s="185">
        <v>0.05</v>
      </c>
      <c r="S124" s="185">
        <v>0.05</v>
      </c>
      <c r="T124" s="185">
        <v>0.05</v>
      </c>
      <c r="U124" s="184">
        <v>0.1</v>
      </c>
      <c r="V124" s="167">
        <f>Q124*R124</f>
        <v>0</v>
      </c>
      <c r="W124" s="167">
        <f>Q124*S124</f>
        <v>0</v>
      </c>
      <c r="X124" s="167">
        <f>Q124*T124</f>
        <v>0</v>
      </c>
      <c r="Y124" s="167">
        <f>U124*(V124+W124)</f>
        <v>0</v>
      </c>
      <c r="Z124" s="183">
        <f>Q124+SUM(V124:Y124)</f>
        <v>0</v>
      </c>
      <c r="AA124" s="182">
        <v>30</v>
      </c>
      <c r="AB124" s="181"/>
      <c r="AC124" s="180">
        <v>30</v>
      </c>
      <c r="AD124" s="193"/>
    </row>
    <row r="125" spans="1:30" ht="30">
      <c r="A125" s="192" t="s">
        <v>49</v>
      </c>
      <c r="B125" s="191"/>
      <c r="C125" s="190">
        <v>0</v>
      </c>
      <c r="D125" s="189" t="s">
        <v>3</v>
      </c>
      <c r="E125" s="188">
        <v>370</v>
      </c>
      <c r="F125" s="174">
        <f>E125*C125</f>
        <v>0</v>
      </c>
      <c r="G125" s="186">
        <v>0.05</v>
      </c>
      <c r="H125" s="186">
        <v>0.02</v>
      </c>
      <c r="I125" s="186">
        <v>0.05</v>
      </c>
      <c r="J125" s="187">
        <v>0.122</v>
      </c>
      <c r="K125" s="186">
        <v>0.1</v>
      </c>
      <c r="L125" s="171">
        <f>F125*G125</f>
        <v>0</v>
      </c>
      <c r="M125" s="171">
        <f>(F125+L125)*H125</f>
        <v>0</v>
      </c>
      <c r="N125" s="171">
        <f>(F125+L125+M125)*I125</f>
        <v>0</v>
      </c>
      <c r="O125" s="171">
        <f>(F125+L125+M125+N125)*J125</f>
        <v>0</v>
      </c>
      <c r="P125" s="171">
        <f>(F125+L125+M125+N125+O125)*K125</f>
        <v>0</v>
      </c>
      <c r="Q125" s="170">
        <f>F125+SUM(L125:P125)</f>
        <v>0</v>
      </c>
      <c r="R125" s="185">
        <v>0.05</v>
      </c>
      <c r="S125" s="185">
        <v>0.05</v>
      </c>
      <c r="T125" s="185">
        <v>0.05</v>
      </c>
      <c r="U125" s="184">
        <v>0.1</v>
      </c>
      <c r="V125" s="167">
        <f>Q125*R125</f>
        <v>0</v>
      </c>
      <c r="W125" s="167">
        <f>Q125*S125</f>
        <v>0</v>
      </c>
      <c r="X125" s="167">
        <f>Q125*T125</f>
        <v>0</v>
      </c>
      <c r="Y125" s="167">
        <f>U125*(V125+W125)</f>
        <v>0</v>
      </c>
      <c r="Z125" s="183">
        <f>Q125+SUM(V125:Y125)</f>
        <v>0</v>
      </c>
      <c r="AA125" s="182">
        <v>30</v>
      </c>
      <c r="AB125" s="181"/>
      <c r="AC125" s="180">
        <v>30</v>
      </c>
      <c r="AD125" s="193"/>
    </row>
    <row r="126" spans="1:30" ht="30">
      <c r="A126" s="192" t="s">
        <v>48</v>
      </c>
      <c r="B126" s="191"/>
      <c r="C126" s="190">
        <v>0</v>
      </c>
      <c r="D126" s="189" t="s">
        <v>3</v>
      </c>
      <c r="E126" s="188">
        <v>450</v>
      </c>
      <c r="F126" s="174">
        <f>E126*C126</f>
        <v>0</v>
      </c>
      <c r="G126" s="186">
        <v>0.05</v>
      </c>
      <c r="H126" s="186">
        <v>0.02</v>
      </c>
      <c r="I126" s="186">
        <v>0.05</v>
      </c>
      <c r="J126" s="187">
        <v>0.122</v>
      </c>
      <c r="K126" s="186">
        <v>0.1</v>
      </c>
      <c r="L126" s="171">
        <f>F126*G126</f>
        <v>0</v>
      </c>
      <c r="M126" s="171">
        <f>(F126+L126)*H126</f>
        <v>0</v>
      </c>
      <c r="N126" s="171">
        <f>(F126+L126+M126)*I126</f>
        <v>0</v>
      </c>
      <c r="O126" s="171">
        <f>(F126+L126+M126+N126)*J126</f>
        <v>0</v>
      </c>
      <c r="P126" s="171">
        <f>(F126+L126+M126+N126+O126)*K126</f>
        <v>0</v>
      </c>
      <c r="Q126" s="170">
        <f>F126+SUM(L126:P126)</f>
        <v>0</v>
      </c>
      <c r="R126" s="185">
        <v>0.05</v>
      </c>
      <c r="S126" s="185">
        <v>0.05</v>
      </c>
      <c r="T126" s="185">
        <v>0.05</v>
      </c>
      <c r="U126" s="184">
        <v>0.1</v>
      </c>
      <c r="V126" s="167">
        <f>Q126*R126</f>
        <v>0</v>
      </c>
      <c r="W126" s="167">
        <f>Q126*S126</f>
        <v>0</v>
      </c>
      <c r="X126" s="167">
        <f>Q126*T126</f>
        <v>0</v>
      </c>
      <c r="Y126" s="167">
        <f>U126*(V126+W126)</f>
        <v>0</v>
      </c>
      <c r="Z126" s="183">
        <f>Q126+SUM(V126:Y126)</f>
        <v>0</v>
      </c>
      <c r="AA126" s="182">
        <v>30</v>
      </c>
      <c r="AB126" s="181"/>
      <c r="AC126" s="180">
        <v>30</v>
      </c>
      <c r="AD126" s="193"/>
    </row>
    <row r="127" spans="1:30" ht="15.75">
      <c r="A127" s="192" t="s">
        <v>47</v>
      </c>
      <c r="B127" s="191"/>
      <c r="C127" s="190">
        <v>0</v>
      </c>
      <c r="D127" s="189" t="s">
        <v>3</v>
      </c>
      <c r="E127" s="188">
        <v>869</v>
      </c>
      <c r="F127" s="174">
        <f>E127*C127</f>
        <v>0</v>
      </c>
      <c r="G127" s="186">
        <v>0.05</v>
      </c>
      <c r="H127" s="186">
        <v>0.02</v>
      </c>
      <c r="I127" s="186">
        <v>0.05</v>
      </c>
      <c r="J127" s="187">
        <v>0.122</v>
      </c>
      <c r="K127" s="186">
        <v>0.1</v>
      </c>
      <c r="L127" s="171">
        <f>F127*G127</f>
        <v>0</v>
      </c>
      <c r="M127" s="171">
        <f>(F127+L127)*H127</f>
        <v>0</v>
      </c>
      <c r="N127" s="171">
        <f>(F127+L127+M127)*I127</f>
        <v>0</v>
      </c>
      <c r="O127" s="171">
        <f>(F127+L127+M127+N127)*J127</f>
        <v>0</v>
      </c>
      <c r="P127" s="171">
        <f>(F127+L127+M127+N127+O127)*K127</f>
        <v>0</v>
      </c>
      <c r="Q127" s="170">
        <f>F127+SUM(L127:P127)</f>
        <v>0</v>
      </c>
      <c r="R127" s="185">
        <v>0.05</v>
      </c>
      <c r="S127" s="185">
        <v>0.05</v>
      </c>
      <c r="T127" s="185">
        <v>0.05</v>
      </c>
      <c r="U127" s="184">
        <v>0.1</v>
      </c>
      <c r="V127" s="167">
        <f>Q127*R127</f>
        <v>0</v>
      </c>
      <c r="W127" s="167">
        <f>Q127*S127</f>
        <v>0</v>
      </c>
      <c r="X127" s="167">
        <f>Q127*T127</f>
        <v>0</v>
      </c>
      <c r="Y127" s="167">
        <f>U127*(V127+W127)</f>
        <v>0</v>
      </c>
      <c r="Z127" s="183">
        <f>Q127+SUM(V127:Y127)</f>
        <v>0</v>
      </c>
      <c r="AA127" s="182">
        <v>30</v>
      </c>
      <c r="AB127" s="181"/>
      <c r="AC127" s="180">
        <v>30</v>
      </c>
      <c r="AD127" s="193"/>
    </row>
    <row r="128" spans="1:30" ht="90">
      <c r="A128" s="219" t="s">
        <v>46</v>
      </c>
      <c r="B128" s="205"/>
      <c r="C128" s="204"/>
      <c r="D128" s="210"/>
      <c r="E128" s="209"/>
      <c r="F128" s="200"/>
      <c r="G128" s="200"/>
      <c r="H128" s="200"/>
      <c r="I128" s="200"/>
      <c r="J128" s="201"/>
      <c r="K128" s="200"/>
      <c r="L128" s="200"/>
      <c r="M128" s="200"/>
      <c r="N128" s="200"/>
      <c r="O128" s="200"/>
      <c r="P128" s="200"/>
      <c r="Q128" s="200"/>
      <c r="R128" s="199"/>
      <c r="S128" s="199"/>
      <c r="T128" s="199"/>
      <c r="U128" s="197"/>
      <c r="V128" s="197"/>
      <c r="W128" s="197"/>
      <c r="X128" s="197"/>
      <c r="Y128" s="197"/>
      <c r="Z128" s="198"/>
      <c r="AA128" s="218"/>
      <c r="AB128" s="196"/>
      <c r="AC128" s="195"/>
      <c r="AD128" s="194"/>
    </row>
    <row r="129" spans="1:30" ht="75">
      <c r="A129" s="217" t="s">
        <v>35</v>
      </c>
      <c r="B129" s="216"/>
      <c r="C129" s="215"/>
      <c r="D129" s="214"/>
      <c r="E129" s="213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5"/>
      <c r="S129" s="185"/>
      <c r="T129" s="185"/>
      <c r="U129" s="184"/>
      <c r="V129" s="184"/>
      <c r="W129" s="184"/>
      <c r="X129" s="184"/>
      <c r="Y129" s="184"/>
      <c r="Z129" s="212"/>
      <c r="AA129" s="182"/>
      <c r="AB129" s="181"/>
      <c r="AC129" s="180"/>
      <c r="AD129" s="211"/>
    </row>
    <row r="130" spans="1:30" ht="30">
      <c r="A130" s="220" t="s">
        <v>45</v>
      </c>
      <c r="B130" s="191"/>
      <c r="C130" s="190">
        <v>0</v>
      </c>
      <c r="D130" s="207" t="s">
        <v>3</v>
      </c>
      <c r="E130" s="188">
        <v>75</v>
      </c>
      <c r="F130" s="174">
        <f t="shared" ref="F130:F138" si="84">E130*C130</f>
        <v>0</v>
      </c>
      <c r="G130" s="186">
        <v>0.05</v>
      </c>
      <c r="H130" s="186">
        <v>0.02</v>
      </c>
      <c r="I130" s="186">
        <v>0.05</v>
      </c>
      <c r="J130" s="187">
        <v>0.122</v>
      </c>
      <c r="K130" s="186">
        <v>0.1</v>
      </c>
      <c r="L130" s="171">
        <f t="shared" ref="L130:L138" si="85">F130*G130</f>
        <v>0</v>
      </c>
      <c r="M130" s="171">
        <f t="shared" ref="M130:M138" si="86">(F130+L130)*H130</f>
        <v>0</v>
      </c>
      <c r="N130" s="171">
        <f t="shared" ref="N130:N138" si="87">(F130+L130+M130)*I130</f>
        <v>0</v>
      </c>
      <c r="O130" s="171">
        <f t="shared" ref="O130:O138" si="88">(F130+L130+M130+N130)*J130</f>
        <v>0</v>
      </c>
      <c r="P130" s="171">
        <f t="shared" ref="P130:P138" si="89">(F130+L130+M130+N130+O130)*K130</f>
        <v>0</v>
      </c>
      <c r="Q130" s="170">
        <f t="shared" ref="Q130:Q138" si="90">F130+SUM(L130:P130)</f>
        <v>0</v>
      </c>
      <c r="R130" s="185">
        <v>0.05</v>
      </c>
      <c r="S130" s="185">
        <v>0.05</v>
      </c>
      <c r="T130" s="185">
        <v>0.05</v>
      </c>
      <c r="U130" s="184">
        <v>0.1</v>
      </c>
      <c r="V130" s="167">
        <f t="shared" ref="V130:V138" si="91">Q130*R130</f>
        <v>0</v>
      </c>
      <c r="W130" s="167">
        <f t="shared" ref="W130:W138" si="92">Q130*S130</f>
        <v>0</v>
      </c>
      <c r="X130" s="167">
        <f t="shared" ref="X130:X138" si="93">Q130*T130</f>
        <v>0</v>
      </c>
      <c r="Y130" s="167">
        <f t="shared" ref="Y130:Y138" si="94">U130*(V130+W130)</f>
        <v>0</v>
      </c>
      <c r="Z130" s="183">
        <f t="shared" ref="Z130:Z138" si="95">Q130+SUM(V130:Y130)</f>
        <v>0</v>
      </c>
      <c r="AA130" s="182">
        <v>70</v>
      </c>
      <c r="AB130" s="181"/>
      <c r="AC130" s="180">
        <v>70</v>
      </c>
      <c r="AD130" s="193"/>
    </row>
    <row r="131" spans="1:30" ht="30">
      <c r="A131" s="220" t="s">
        <v>44</v>
      </c>
      <c r="B131" s="191"/>
      <c r="C131" s="190">
        <v>0</v>
      </c>
      <c r="D131" s="207" t="s">
        <v>3</v>
      </c>
      <c r="E131" s="188">
        <v>110</v>
      </c>
      <c r="F131" s="174">
        <f t="shared" si="84"/>
        <v>0</v>
      </c>
      <c r="G131" s="186">
        <v>0.05</v>
      </c>
      <c r="H131" s="186">
        <v>0.02</v>
      </c>
      <c r="I131" s="186">
        <v>0.05</v>
      </c>
      <c r="J131" s="187">
        <v>0.122</v>
      </c>
      <c r="K131" s="186">
        <v>0.1</v>
      </c>
      <c r="L131" s="171">
        <f t="shared" si="85"/>
        <v>0</v>
      </c>
      <c r="M131" s="171">
        <f t="shared" si="86"/>
        <v>0</v>
      </c>
      <c r="N131" s="171">
        <f t="shared" si="87"/>
        <v>0</v>
      </c>
      <c r="O131" s="171">
        <f t="shared" si="88"/>
        <v>0</v>
      </c>
      <c r="P131" s="171">
        <f t="shared" si="89"/>
        <v>0</v>
      </c>
      <c r="Q131" s="170">
        <f t="shared" si="90"/>
        <v>0</v>
      </c>
      <c r="R131" s="185">
        <v>0.05</v>
      </c>
      <c r="S131" s="185">
        <v>0.05</v>
      </c>
      <c r="T131" s="185">
        <v>0.05</v>
      </c>
      <c r="U131" s="184">
        <v>0.1</v>
      </c>
      <c r="V131" s="167">
        <f t="shared" si="91"/>
        <v>0</v>
      </c>
      <c r="W131" s="167">
        <f t="shared" si="92"/>
        <v>0</v>
      </c>
      <c r="X131" s="167">
        <f t="shared" si="93"/>
        <v>0</v>
      </c>
      <c r="Y131" s="167">
        <f t="shared" si="94"/>
        <v>0</v>
      </c>
      <c r="Z131" s="183">
        <f t="shared" si="95"/>
        <v>0</v>
      </c>
      <c r="AA131" s="182">
        <v>70</v>
      </c>
      <c r="AB131" s="181"/>
      <c r="AC131" s="180">
        <v>70</v>
      </c>
      <c r="AD131" s="193"/>
    </row>
    <row r="132" spans="1:30" ht="30">
      <c r="A132" s="220" t="s">
        <v>43</v>
      </c>
      <c r="B132" s="191"/>
      <c r="C132" s="190">
        <v>0</v>
      </c>
      <c r="D132" s="207" t="s">
        <v>3</v>
      </c>
      <c r="E132" s="188">
        <v>120</v>
      </c>
      <c r="F132" s="174">
        <f t="shared" si="84"/>
        <v>0</v>
      </c>
      <c r="G132" s="186">
        <v>0.05</v>
      </c>
      <c r="H132" s="186">
        <v>0.02</v>
      </c>
      <c r="I132" s="186">
        <v>0.05</v>
      </c>
      <c r="J132" s="187">
        <v>0.122</v>
      </c>
      <c r="K132" s="186">
        <v>0.1</v>
      </c>
      <c r="L132" s="171">
        <f t="shared" si="85"/>
        <v>0</v>
      </c>
      <c r="M132" s="171">
        <f t="shared" si="86"/>
        <v>0</v>
      </c>
      <c r="N132" s="171">
        <f t="shared" si="87"/>
        <v>0</v>
      </c>
      <c r="O132" s="171">
        <f t="shared" si="88"/>
        <v>0</v>
      </c>
      <c r="P132" s="171">
        <f t="shared" si="89"/>
        <v>0</v>
      </c>
      <c r="Q132" s="170">
        <f t="shared" si="90"/>
        <v>0</v>
      </c>
      <c r="R132" s="185">
        <v>0.05</v>
      </c>
      <c r="S132" s="185">
        <v>0.05</v>
      </c>
      <c r="T132" s="185">
        <v>0.05</v>
      </c>
      <c r="U132" s="184">
        <v>0.1</v>
      </c>
      <c r="V132" s="167">
        <f t="shared" si="91"/>
        <v>0</v>
      </c>
      <c r="W132" s="167">
        <f t="shared" si="92"/>
        <v>0</v>
      </c>
      <c r="X132" s="167">
        <f t="shared" si="93"/>
        <v>0</v>
      </c>
      <c r="Y132" s="167">
        <f t="shared" si="94"/>
        <v>0</v>
      </c>
      <c r="Z132" s="183">
        <f t="shared" si="95"/>
        <v>0</v>
      </c>
      <c r="AA132" s="182">
        <v>70</v>
      </c>
      <c r="AB132" s="181"/>
      <c r="AC132" s="180">
        <v>70</v>
      </c>
      <c r="AD132" s="193"/>
    </row>
    <row r="133" spans="1:30" ht="15.75">
      <c r="A133" s="220" t="s">
        <v>42</v>
      </c>
      <c r="B133" s="191"/>
      <c r="C133" s="190">
        <v>0</v>
      </c>
      <c r="D133" s="207" t="s">
        <v>3</v>
      </c>
      <c r="E133" s="188"/>
      <c r="F133" s="174">
        <f t="shared" si="84"/>
        <v>0</v>
      </c>
      <c r="G133" s="186">
        <v>0.05</v>
      </c>
      <c r="H133" s="186">
        <v>0.02</v>
      </c>
      <c r="I133" s="186">
        <v>0.05</v>
      </c>
      <c r="J133" s="187">
        <v>0.122</v>
      </c>
      <c r="K133" s="186">
        <v>0.1</v>
      </c>
      <c r="L133" s="171">
        <f t="shared" si="85"/>
        <v>0</v>
      </c>
      <c r="M133" s="171">
        <f t="shared" si="86"/>
        <v>0</v>
      </c>
      <c r="N133" s="171">
        <f t="shared" si="87"/>
        <v>0</v>
      </c>
      <c r="O133" s="171">
        <f t="shared" si="88"/>
        <v>0</v>
      </c>
      <c r="P133" s="171">
        <f t="shared" si="89"/>
        <v>0</v>
      </c>
      <c r="Q133" s="170">
        <f t="shared" si="90"/>
        <v>0</v>
      </c>
      <c r="R133" s="185">
        <v>0.05</v>
      </c>
      <c r="S133" s="185">
        <v>0.05</v>
      </c>
      <c r="T133" s="185">
        <v>0.05</v>
      </c>
      <c r="U133" s="184">
        <v>0.1</v>
      </c>
      <c r="V133" s="167">
        <f t="shared" si="91"/>
        <v>0</v>
      </c>
      <c r="W133" s="167">
        <f t="shared" si="92"/>
        <v>0</v>
      </c>
      <c r="X133" s="167">
        <f t="shared" si="93"/>
        <v>0</v>
      </c>
      <c r="Y133" s="167">
        <f t="shared" si="94"/>
        <v>0</v>
      </c>
      <c r="Z133" s="183">
        <f t="shared" si="95"/>
        <v>0</v>
      </c>
      <c r="AA133" s="182">
        <v>70</v>
      </c>
      <c r="AB133" s="181"/>
      <c r="AC133" s="180">
        <v>70</v>
      </c>
      <c r="AD133" s="193"/>
    </row>
    <row r="134" spans="1:30" ht="15.75">
      <c r="A134" s="220" t="s">
        <v>41</v>
      </c>
      <c r="B134" s="191"/>
      <c r="C134" s="190">
        <v>0</v>
      </c>
      <c r="D134" s="207" t="s">
        <v>3</v>
      </c>
      <c r="E134" s="188">
        <v>291</v>
      </c>
      <c r="F134" s="174">
        <f t="shared" si="84"/>
        <v>0</v>
      </c>
      <c r="G134" s="186">
        <v>0.05</v>
      </c>
      <c r="H134" s="186">
        <v>0.02</v>
      </c>
      <c r="I134" s="186">
        <v>0.05</v>
      </c>
      <c r="J134" s="187">
        <v>0.122</v>
      </c>
      <c r="K134" s="186">
        <v>0.1</v>
      </c>
      <c r="L134" s="171">
        <f t="shared" si="85"/>
        <v>0</v>
      </c>
      <c r="M134" s="171">
        <f t="shared" si="86"/>
        <v>0</v>
      </c>
      <c r="N134" s="171">
        <f t="shared" si="87"/>
        <v>0</v>
      </c>
      <c r="O134" s="171">
        <f t="shared" si="88"/>
        <v>0</v>
      </c>
      <c r="P134" s="171">
        <f t="shared" si="89"/>
        <v>0</v>
      </c>
      <c r="Q134" s="170">
        <f t="shared" si="90"/>
        <v>0</v>
      </c>
      <c r="R134" s="185">
        <v>0.05</v>
      </c>
      <c r="S134" s="185">
        <v>0.05</v>
      </c>
      <c r="T134" s="185">
        <v>0.05</v>
      </c>
      <c r="U134" s="184">
        <v>0.1</v>
      </c>
      <c r="V134" s="167">
        <f t="shared" si="91"/>
        <v>0</v>
      </c>
      <c r="W134" s="167">
        <f t="shared" si="92"/>
        <v>0</v>
      </c>
      <c r="X134" s="167">
        <f t="shared" si="93"/>
        <v>0</v>
      </c>
      <c r="Y134" s="167">
        <f t="shared" si="94"/>
        <v>0</v>
      </c>
      <c r="Z134" s="183">
        <f t="shared" si="95"/>
        <v>0</v>
      </c>
      <c r="AA134" s="182">
        <v>70</v>
      </c>
      <c r="AB134" s="181"/>
      <c r="AC134" s="180">
        <v>70</v>
      </c>
      <c r="AD134" s="193"/>
    </row>
    <row r="135" spans="1:30" ht="15.75">
      <c r="A135" s="220" t="s">
        <v>40</v>
      </c>
      <c r="B135" s="191"/>
      <c r="C135" s="190">
        <v>0</v>
      </c>
      <c r="D135" s="207" t="s">
        <v>3</v>
      </c>
      <c r="E135" s="188"/>
      <c r="F135" s="174">
        <f t="shared" si="84"/>
        <v>0</v>
      </c>
      <c r="G135" s="186">
        <v>0.05</v>
      </c>
      <c r="H135" s="186">
        <v>0.02</v>
      </c>
      <c r="I135" s="186">
        <v>0.05</v>
      </c>
      <c r="J135" s="187">
        <v>0.122</v>
      </c>
      <c r="K135" s="186">
        <v>0.1</v>
      </c>
      <c r="L135" s="171">
        <f t="shared" si="85"/>
        <v>0</v>
      </c>
      <c r="M135" s="171">
        <f t="shared" si="86"/>
        <v>0</v>
      </c>
      <c r="N135" s="171">
        <f t="shared" si="87"/>
        <v>0</v>
      </c>
      <c r="O135" s="171">
        <f t="shared" si="88"/>
        <v>0</v>
      </c>
      <c r="P135" s="171">
        <f t="shared" si="89"/>
        <v>0</v>
      </c>
      <c r="Q135" s="170">
        <f t="shared" si="90"/>
        <v>0</v>
      </c>
      <c r="R135" s="185">
        <v>0.05</v>
      </c>
      <c r="S135" s="185">
        <v>0.05</v>
      </c>
      <c r="T135" s="185">
        <v>0.05</v>
      </c>
      <c r="U135" s="184">
        <v>0.1</v>
      </c>
      <c r="V135" s="167">
        <f t="shared" si="91"/>
        <v>0</v>
      </c>
      <c r="W135" s="167">
        <f t="shared" si="92"/>
        <v>0</v>
      </c>
      <c r="X135" s="167">
        <f t="shared" si="93"/>
        <v>0</v>
      </c>
      <c r="Y135" s="167">
        <f t="shared" si="94"/>
        <v>0</v>
      </c>
      <c r="Z135" s="183">
        <f t="shared" si="95"/>
        <v>0</v>
      </c>
      <c r="AA135" s="182">
        <v>70</v>
      </c>
      <c r="AB135" s="181"/>
      <c r="AC135" s="180">
        <v>70</v>
      </c>
      <c r="AD135" s="193"/>
    </row>
    <row r="136" spans="1:30" ht="15.75">
      <c r="A136" s="220" t="s">
        <v>39</v>
      </c>
      <c r="B136" s="191"/>
      <c r="C136" s="190">
        <v>0</v>
      </c>
      <c r="D136" s="207" t="s">
        <v>3</v>
      </c>
      <c r="E136" s="188"/>
      <c r="F136" s="174">
        <f t="shared" si="84"/>
        <v>0</v>
      </c>
      <c r="G136" s="186">
        <v>0.05</v>
      </c>
      <c r="H136" s="186">
        <v>0.02</v>
      </c>
      <c r="I136" s="186">
        <v>0.05</v>
      </c>
      <c r="J136" s="187">
        <v>0.122</v>
      </c>
      <c r="K136" s="186">
        <v>0.1</v>
      </c>
      <c r="L136" s="171">
        <f t="shared" si="85"/>
        <v>0</v>
      </c>
      <c r="M136" s="171">
        <f t="shared" si="86"/>
        <v>0</v>
      </c>
      <c r="N136" s="171">
        <f t="shared" si="87"/>
        <v>0</v>
      </c>
      <c r="O136" s="171">
        <f t="shared" si="88"/>
        <v>0</v>
      </c>
      <c r="P136" s="171">
        <f t="shared" si="89"/>
        <v>0</v>
      </c>
      <c r="Q136" s="170">
        <f t="shared" si="90"/>
        <v>0</v>
      </c>
      <c r="R136" s="185">
        <v>0.05</v>
      </c>
      <c r="S136" s="185">
        <v>0.05</v>
      </c>
      <c r="T136" s="185">
        <v>0.05</v>
      </c>
      <c r="U136" s="184">
        <v>0.1</v>
      </c>
      <c r="V136" s="167">
        <f t="shared" si="91"/>
        <v>0</v>
      </c>
      <c r="W136" s="167">
        <f t="shared" si="92"/>
        <v>0</v>
      </c>
      <c r="X136" s="167">
        <f t="shared" si="93"/>
        <v>0</v>
      </c>
      <c r="Y136" s="167">
        <f t="shared" si="94"/>
        <v>0</v>
      </c>
      <c r="Z136" s="183">
        <f t="shared" si="95"/>
        <v>0</v>
      </c>
      <c r="AA136" s="182">
        <v>70</v>
      </c>
      <c r="AB136" s="181"/>
      <c r="AC136" s="180">
        <v>70</v>
      </c>
      <c r="AD136" s="193"/>
    </row>
    <row r="137" spans="1:30" ht="15.75">
      <c r="A137" s="220" t="s">
        <v>38</v>
      </c>
      <c r="B137" s="191"/>
      <c r="C137" s="190">
        <v>0</v>
      </c>
      <c r="D137" s="207" t="s">
        <v>3</v>
      </c>
      <c r="E137" s="188"/>
      <c r="F137" s="174">
        <f t="shared" si="84"/>
        <v>0</v>
      </c>
      <c r="G137" s="186">
        <v>0.05</v>
      </c>
      <c r="H137" s="186">
        <v>0.02</v>
      </c>
      <c r="I137" s="186">
        <v>0.05</v>
      </c>
      <c r="J137" s="187">
        <v>0.122</v>
      </c>
      <c r="K137" s="186">
        <v>0.1</v>
      </c>
      <c r="L137" s="171">
        <f t="shared" si="85"/>
        <v>0</v>
      </c>
      <c r="M137" s="171">
        <f t="shared" si="86"/>
        <v>0</v>
      </c>
      <c r="N137" s="171">
        <f t="shared" si="87"/>
        <v>0</v>
      </c>
      <c r="O137" s="171">
        <f t="shared" si="88"/>
        <v>0</v>
      </c>
      <c r="P137" s="171">
        <f t="shared" si="89"/>
        <v>0</v>
      </c>
      <c r="Q137" s="170">
        <f t="shared" si="90"/>
        <v>0</v>
      </c>
      <c r="R137" s="185">
        <v>0.05</v>
      </c>
      <c r="S137" s="185">
        <v>0.05</v>
      </c>
      <c r="T137" s="185">
        <v>0.05</v>
      </c>
      <c r="U137" s="184">
        <v>0.1</v>
      </c>
      <c r="V137" s="167">
        <f t="shared" si="91"/>
        <v>0</v>
      </c>
      <c r="W137" s="167">
        <f t="shared" si="92"/>
        <v>0</v>
      </c>
      <c r="X137" s="167">
        <f t="shared" si="93"/>
        <v>0</v>
      </c>
      <c r="Y137" s="167">
        <f t="shared" si="94"/>
        <v>0</v>
      </c>
      <c r="Z137" s="183">
        <f t="shared" si="95"/>
        <v>0</v>
      </c>
      <c r="AA137" s="182">
        <v>70</v>
      </c>
      <c r="AB137" s="181"/>
      <c r="AC137" s="180">
        <v>70</v>
      </c>
      <c r="AD137" s="193"/>
    </row>
    <row r="138" spans="1:30" ht="15.75">
      <c r="A138" s="220" t="s">
        <v>37</v>
      </c>
      <c r="B138" s="191"/>
      <c r="C138" s="190">
        <v>0</v>
      </c>
      <c r="D138" s="207" t="s">
        <v>3</v>
      </c>
      <c r="E138" s="188"/>
      <c r="F138" s="174">
        <f t="shared" si="84"/>
        <v>0</v>
      </c>
      <c r="G138" s="186">
        <v>0.05</v>
      </c>
      <c r="H138" s="186">
        <v>0.02</v>
      </c>
      <c r="I138" s="186">
        <v>0.05</v>
      </c>
      <c r="J138" s="187">
        <v>0.122</v>
      </c>
      <c r="K138" s="186">
        <v>0.1</v>
      </c>
      <c r="L138" s="171">
        <f t="shared" si="85"/>
        <v>0</v>
      </c>
      <c r="M138" s="171">
        <f t="shared" si="86"/>
        <v>0</v>
      </c>
      <c r="N138" s="171">
        <f t="shared" si="87"/>
        <v>0</v>
      </c>
      <c r="O138" s="171">
        <f t="shared" si="88"/>
        <v>0</v>
      </c>
      <c r="P138" s="171">
        <f t="shared" si="89"/>
        <v>0</v>
      </c>
      <c r="Q138" s="170">
        <f t="shared" si="90"/>
        <v>0</v>
      </c>
      <c r="R138" s="185">
        <v>0.05</v>
      </c>
      <c r="S138" s="185">
        <v>0.05</v>
      </c>
      <c r="T138" s="185">
        <v>0.05</v>
      </c>
      <c r="U138" s="184">
        <v>0.1</v>
      </c>
      <c r="V138" s="167">
        <f t="shared" si="91"/>
        <v>0</v>
      </c>
      <c r="W138" s="167">
        <f t="shared" si="92"/>
        <v>0</v>
      </c>
      <c r="X138" s="167">
        <f t="shared" si="93"/>
        <v>0</v>
      </c>
      <c r="Y138" s="167">
        <f t="shared" si="94"/>
        <v>0</v>
      </c>
      <c r="Z138" s="183">
        <f t="shared" si="95"/>
        <v>0</v>
      </c>
      <c r="AA138" s="182">
        <v>70</v>
      </c>
      <c r="AB138" s="181"/>
      <c r="AC138" s="180">
        <v>70</v>
      </c>
      <c r="AD138" s="193"/>
    </row>
    <row r="139" spans="1:30" ht="72">
      <c r="A139" s="219" t="s">
        <v>36</v>
      </c>
      <c r="B139" s="205"/>
      <c r="C139" s="204"/>
      <c r="D139" s="210"/>
      <c r="E139" s="209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199"/>
      <c r="S139" s="199"/>
      <c r="T139" s="199"/>
      <c r="U139" s="197"/>
      <c r="V139" s="197"/>
      <c r="W139" s="197"/>
      <c r="X139" s="197"/>
      <c r="Y139" s="197"/>
      <c r="Z139" s="198"/>
      <c r="AA139" s="218"/>
      <c r="AB139" s="196"/>
      <c r="AC139" s="195"/>
      <c r="AD139" s="194"/>
    </row>
    <row r="140" spans="1:30" ht="75">
      <c r="A140" s="217" t="s">
        <v>35</v>
      </c>
      <c r="B140" s="216"/>
      <c r="C140" s="215"/>
      <c r="D140" s="214"/>
      <c r="E140" s="213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5"/>
      <c r="S140" s="185"/>
      <c r="T140" s="185"/>
      <c r="U140" s="184"/>
      <c r="V140" s="184"/>
      <c r="W140" s="184"/>
      <c r="X140" s="184"/>
      <c r="Y140" s="184"/>
      <c r="Z140" s="212"/>
      <c r="AA140" s="182"/>
      <c r="AB140" s="181"/>
      <c r="AC140" s="180"/>
      <c r="AD140" s="211"/>
    </row>
    <row r="141" spans="1:30" ht="18">
      <c r="A141" s="206" t="s">
        <v>34</v>
      </c>
      <c r="B141" s="205"/>
      <c r="C141" s="204"/>
      <c r="D141" s="210"/>
      <c r="E141" s="209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199"/>
      <c r="S141" s="199"/>
      <c r="T141" s="199"/>
      <c r="U141" s="197"/>
      <c r="V141" s="197"/>
      <c r="W141" s="197"/>
      <c r="X141" s="197"/>
      <c r="Y141" s="197"/>
      <c r="Z141" s="198"/>
      <c r="AA141" s="197"/>
      <c r="AB141" s="196"/>
      <c r="AC141" s="195"/>
      <c r="AD141" s="194"/>
    </row>
    <row r="142" spans="1:30" ht="15.75">
      <c r="A142" s="208" t="s">
        <v>33</v>
      </c>
      <c r="B142" s="191"/>
      <c r="C142" s="190">
        <v>0</v>
      </c>
      <c r="D142" s="207" t="s">
        <v>3</v>
      </c>
      <c r="E142" s="188"/>
      <c r="F142" s="174">
        <f t="shared" ref="F142:F152" si="96">E142*C142</f>
        <v>0</v>
      </c>
      <c r="G142" s="186">
        <v>0.05</v>
      </c>
      <c r="H142" s="186">
        <v>0.02</v>
      </c>
      <c r="I142" s="186">
        <v>0.05</v>
      </c>
      <c r="J142" s="187">
        <v>0.122</v>
      </c>
      <c r="K142" s="186">
        <v>0.1</v>
      </c>
      <c r="L142" s="171">
        <f t="shared" ref="L142:L152" si="97">F142*G142</f>
        <v>0</v>
      </c>
      <c r="M142" s="171">
        <f t="shared" ref="M142:M152" si="98">(F142+L142)*H142</f>
        <v>0</v>
      </c>
      <c r="N142" s="171">
        <f t="shared" ref="N142:N152" si="99">(F142+L142+M142)*I142</f>
        <v>0</v>
      </c>
      <c r="O142" s="171">
        <f t="shared" ref="O142:O152" si="100">(F142+L142+M142+N142)*J142</f>
        <v>0</v>
      </c>
      <c r="P142" s="171">
        <f t="shared" ref="P142:P152" si="101">(F142+L142+M142+N142+O142)*K142</f>
        <v>0</v>
      </c>
      <c r="Q142" s="170">
        <f t="shared" ref="Q142:Q152" si="102">F142+SUM(L142:P142)</f>
        <v>0</v>
      </c>
      <c r="R142" s="185">
        <v>0.05</v>
      </c>
      <c r="S142" s="185">
        <v>0.05</v>
      </c>
      <c r="T142" s="185">
        <v>0.05</v>
      </c>
      <c r="U142" s="184">
        <v>0.1</v>
      </c>
      <c r="V142" s="167">
        <f t="shared" ref="V142:V152" si="103">Q142*R142</f>
        <v>0</v>
      </c>
      <c r="W142" s="167">
        <f t="shared" ref="W142:W152" si="104">Q142*S142</f>
        <v>0</v>
      </c>
      <c r="X142" s="167">
        <f t="shared" ref="X142:X152" si="105">Q142*T142</f>
        <v>0</v>
      </c>
      <c r="Y142" s="167">
        <f t="shared" ref="Y142:Y152" si="106">U142*(V142+W142)</f>
        <v>0</v>
      </c>
      <c r="Z142" s="183">
        <f t="shared" ref="Z142:Z152" si="107">Q142+SUM(V142:Y142)</f>
        <v>0</v>
      </c>
      <c r="AA142" s="182">
        <v>70</v>
      </c>
      <c r="AB142" s="181"/>
      <c r="AC142" s="180">
        <v>70</v>
      </c>
      <c r="AD142" s="193"/>
    </row>
    <row r="143" spans="1:30" ht="30">
      <c r="A143" s="208" t="s">
        <v>32</v>
      </c>
      <c r="B143" s="191"/>
      <c r="C143" s="190">
        <v>0</v>
      </c>
      <c r="D143" s="207" t="s">
        <v>3</v>
      </c>
      <c r="E143" s="188">
        <v>65</v>
      </c>
      <c r="F143" s="174">
        <f t="shared" si="96"/>
        <v>0</v>
      </c>
      <c r="G143" s="186">
        <v>0.05</v>
      </c>
      <c r="H143" s="186">
        <v>0.02</v>
      </c>
      <c r="I143" s="186">
        <v>0.05</v>
      </c>
      <c r="J143" s="187">
        <v>0.122</v>
      </c>
      <c r="K143" s="186">
        <v>0.1</v>
      </c>
      <c r="L143" s="171">
        <f t="shared" si="97"/>
        <v>0</v>
      </c>
      <c r="M143" s="171">
        <f t="shared" si="98"/>
        <v>0</v>
      </c>
      <c r="N143" s="171">
        <f t="shared" si="99"/>
        <v>0</v>
      </c>
      <c r="O143" s="171">
        <f t="shared" si="100"/>
        <v>0</v>
      </c>
      <c r="P143" s="171">
        <f t="shared" si="101"/>
        <v>0</v>
      </c>
      <c r="Q143" s="170">
        <f t="shared" si="102"/>
        <v>0</v>
      </c>
      <c r="R143" s="185">
        <v>0.05</v>
      </c>
      <c r="S143" s="185">
        <v>0.05</v>
      </c>
      <c r="T143" s="185">
        <v>0.05</v>
      </c>
      <c r="U143" s="184">
        <v>0.1</v>
      </c>
      <c r="V143" s="167">
        <f t="shared" si="103"/>
        <v>0</v>
      </c>
      <c r="W143" s="167">
        <f t="shared" si="104"/>
        <v>0</v>
      </c>
      <c r="X143" s="167">
        <f t="shared" si="105"/>
        <v>0</v>
      </c>
      <c r="Y143" s="167">
        <f t="shared" si="106"/>
        <v>0</v>
      </c>
      <c r="Z143" s="183">
        <f t="shared" si="107"/>
        <v>0</v>
      </c>
      <c r="AA143" s="182">
        <v>70</v>
      </c>
      <c r="AB143" s="181"/>
      <c r="AC143" s="180">
        <v>70</v>
      </c>
      <c r="AD143" s="193"/>
    </row>
    <row r="144" spans="1:30" ht="30">
      <c r="A144" s="208" t="s">
        <v>31</v>
      </c>
      <c r="B144" s="191"/>
      <c r="C144" s="190">
        <v>0</v>
      </c>
      <c r="D144" s="207" t="s">
        <v>3</v>
      </c>
      <c r="E144" s="188">
        <v>70</v>
      </c>
      <c r="F144" s="174">
        <f t="shared" si="96"/>
        <v>0</v>
      </c>
      <c r="G144" s="186">
        <v>0.05</v>
      </c>
      <c r="H144" s="186">
        <v>0.02</v>
      </c>
      <c r="I144" s="186">
        <v>0.05</v>
      </c>
      <c r="J144" s="187">
        <v>0.122</v>
      </c>
      <c r="K144" s="186">
        <v>0.1</v>
      </c>
      <c r="L144" s="171">
        <f t="shared" si="97"/>
        <v>0</v>
      </c>
      <c r="M144" s="171">
        <f t="shared" si="98"/>
        <v>0</v>
      </c>
      <c r="N144" s="171">
        <f t="shared" si="99"/>
        <v>0</v>
      </c>
      <c r="O144" s="171">
        <f t="shared" si="100"/>
        <v>0</v>
      </c>
      <c r="P144" s="171">
        <f t="shared" si="101"/>
        <v>0</v>
      </c>
      <c r="Q144" s="170">
        <f t="shared" si="102"/>
        <v>0</v>
      </c>
      <c r="R144" s="185">
        <v>0.05</v>
      </c>
      <c r="S144" s="185">
        <v>0.05</v>
      </c>
      <c r="T144" s="185">
        <v>0.05</v>
      </c>
      <c r="U144" s="184">
        <v>0.1</v>
      </c>
      <c r="V144" s="167">
        <f t="shared" si="103"/>
        <v>0</v>
      </c>
      <c r="W144" s="167">
        <f t="shared" si="104"/>
        <v>0</v>
      </c>
      <c r="X144" s="167">
        <f t="shared" si="105"/>
        <v>0</v>
      </c>
      <c r="Y144" s="167">
        <f t="shared" si="106"/>
        <v>0</v>
      </c>
      <c r="Z144" s="183">
        <f t="shared" si="107"/>
        <v>0</v>
      </c>
      <c r="AA144" s="182">
        <v>70</v>
      </c>
      <c r="AB144" s="181"/>
      <c r="AC144" s="180">
        <v>70</v>
      </c>
      <c r="AD144" s="193"/>
    </row>
    <row r="145" spans="1:30" ht="15.75">
      <c r="A145" s="208" t="s">
        <v>30</v>
      </c>
      <c r="B145" s="191"/>
      <c r="C145" s="190">
        <v>0</v>
      </c>
      <c r="D145" s="207" t="s">
        <v>3</v>
      </c>
      <c r="E145" s="188">
        <v>254</v>
      </c>
      <c r="F145" s="174">
        <f t="shared" si="96"/>
        <v>0</v>
      </c>
      <c r="G145" s="186">
        <v>0.05</v>
      </c>
      <c r="H145" s="186">
        <v>0.02</v>
      </c>
      <c r="I145" s="186">
        <v>0.05</v>
      </c>
      <c r="J145" s="187">
        <v>0.122</v>
      </c>
      <c r="K145" s="186">
        <v>0.1</v>
      </c>
      <c r="L145" s="171">
        <f t="shared" si="97"/>
        <v>0</v>
      </c>
      <c r="M145" s="171">
        <f t="shared" si="98"/>
        <v>0</v>
      </c>
      <c r="N145" s="171">
        <f t="shared" si="99"/>
        <v>0</v>
      </c>
      <c r="O145" s="171">
        <f t="shared" si="100"/>
        <v>0</v>
      </c>
      <c r="P145" s="171">
        <f t="shared" si="101"/>
        <v>0</v>
      </c>
      <c r="Q145" s="170">
        <f t="shared" si="102"/>
        <v>0</v>
      </c>
      <c r="R145" s="185">
        <v>0.05</v>
      </c>
      <c r="S145" s="185">
        <v>0.05</v>
      </c>
      <c r="T145" s="185">
        <v>0.05</v>
      </c>
      <c r="U145" s="184">
        <v>0.1</v>
      </c>
      <c r="V145" s="167">
        <f t="shared" si="103"/>
        <v>0</v>
      </c>
      <c r="W145" s="167">
        <f t="shared" si="104"/>
        <v>0</v>
      </c>
      <c r="X145" s="167">
        <f t="shared" si="105"/>
        <v>0</v>
      </c>
      <c r="Y145" s="167">
        <f t="shared" si="106"/>
        <v>0</v>
      </c>
      <c r="Z145" s="183">
        <f t="shared" si="107"/>
        <v>0</v>
      </c>
      <c r="AA145" s="182">
        <v>70</v>
      </c>
      <c r="AB145" s="181"/>
      <c r="AC145" s="180">
        <v>70</v>
      </c>
      <c r="AD145" s="193"/>
    </row>
    <row r="146" spans="1:30" ht="15.75">
      <c r="A146" s="208" t="s">
        <v>29</v>
      </c>
      <c r="B146" s="191"/>
      <c r="C146" s="190">
        <v>0</v>
      </c>
      <c r="D146" s="207" t="s">
        <v>3</v>
      </c>
      <c r="E146" s="188"/>
      <c r="F146" s="174">
        <f t="shared" si="96"/>
        <v>0</v>
      </c>
      <c r="G146" s="186">
        <v>0.05</v>
      </c>
      <c r="H146" s="186">
        <v>0.02</v>
      </c>
      <c r="I146" s="186">
        <v>0.05</v>
      </c>
      <c r="J146" s="187">
        <v>0.122</v>
      </c>
      <c r="K146" s="186">
        <v>0.1</v>
      </c>
      <c r="L146" s="171">
        <f t="shared" si="97"/>
        <v>0</v>
      </c>
      <c r="M146" s="171">
        <f t="shared" si="98"/>
        <v>0</v>
      </c>
      <c r="N146" s="171">
        <f t="shared" si="99"/>
        <v>0</v>
      </c>
      <c r="O146" s="171">
        <f t="shared" si="100"/>
        <v>0</v>
      </c>
      <c r="P146" s="171">
        <f t="shared" si="101"/>
        <v>0</v>
      </c>
      <c r="Q146" s="170">
        <f t="shared" si="102"/>
        <v>0</v>
      </c>
      <c r="R146" s="185">
        <v>0.05</v>
      </c>
      <c r="S146" s="185">
        <v>0.05</v>
      </c>
      <c r="T146" s="185">
        <v>0.05</v>
      </c>
      <c r="U146" s="184">
        <v>0.1</v>
      </c>
      <c r="V146" s="167">
        <f t="shared" si="103"/>
        <v>0</v>
      </c>
      <c r="W146" s="167">
        <f t="shared" si="104"/>
        <v>0</v>
      </c>
      <c r="X146" s="167">
        <f t="shared" si="105"/>
        <v>0</v>
      </c>
      <c r="Y146" s="167">
        <f t="shared" si="106"/>
        <v>0</v>
      </c>
      <c r="Z146" s="183">
        <f t="shared" si="107"/>
        <v>0</v>
      </c>
      <c r="AA146" s="182">
        <v>70</v>
      </c>
      <c r="AB146" s="181"/>
      <c r="AC146" s="180">
        <v>70</v>
      </c>
      <c r="AD146" s="193"/>
    </row>
    <row r="147" spans="1:30" ht="15.75">
      <c r="A147" s="208" t="s">
        <v>28</v>
      </c>
      <c r="B147" s="191"/>
      <c r="C147" s="190">
        <v>0</v>
      </c>
      <c r="D147" s="207" t="s">
        <v>3</v>
      </c>
      <c r="E147" s="188"/>
      <c r="F147" s="174">
        <f t="shared" si="96"/>
        <v>0</v>
      </c>
      <c r="G147" s="186">
        <v>0.05</v>
      </c>
      <c r="H147" s="186">
        <v>0.02</v>
      </c>
      <c r="I147" s="186">
        <v>0.05</v>
      </c>
      <c r="J147" s="187">
        <v>0.122</v>
      </c>
      <c r="K147" s="186">
        <v>0.1</v>
      </c>
      <c r="L147" s="171">
        <f t="shared" si="97"/>
        <v>0</v>
      </c>
      <c r="M147" s="171">
        <f t="shared" si="98"/>
        <v>0</v>
      </c>
      <c r="N147" s="171">
        <f t="shared" si="99"/>
        <v>0</v>
      </c>
      <c r="O147" s="171">
        <f t="shared" si="100"/>
        <v>0</v>
      </c>
      <c r="P147" s="171">
        <f t="shared" si="101"/>
        <v>0</v>
      </c>
      <c r="Q147" s="170">
        <f t="shared" si="102"/>
        <v>0</v>
      </c>
      <c r="R147" s="185">
        <v>0.05</v>
      </c>
      <c r="S147" s="185">
        <v>0.05</v>
      </c>
      <c r="T147" s="185">
        <v>0.05</v>
      </c>
      <c r="U147" s="184">
        <v>0.1</v>
      </c>
      <c r="V147" s="167">
        <f t="shared" si="103"/>
        <v>0</v>
      </c>
      <c r="W147" s="167">
        <f t="shared" si="104"/>
        <v>0</v>
      </c>
      <c r="X147" s="167">
        <f t="shared" si="105"/>
        <v>0</v>
      </c>
      <c r="Y147" s="167">
        <f t="shared" si="106"/>
        <v>0</v>
      </c>
      <c r="Z147" s="183">
        <f t="shared" si="107"/>
        <v>0</v>
      </c>
      <c r="AA147" s="182">
        <v>70</v>
      </c>
      <c r="AB147" s="181"/>
      <c r="AC147" s="180">
        <v>70</v>
      </c>
      <c r="AD147" s="193"/>
    </row>
    <row r="148" spans="1:30" ht="15.75">
      <c r="A148" s="208" t="s">
        <v>27</v>
      </c>
      <c r="B148" s="191"/>
      <c r="C148" s="190">
        <v>0</v>
      </c>
      <c r="D148" s="207" t="s">
        <v>3</v>
      </c>
      <c r="E148" s="188"/>
      <c r="F148" s="174">
        <f t="shared" si="96"/>
        <v>0</v>
      </c>
      <c r="G148" s="186">
        <v>0.05</v>
      </c>
      <c r="H148" s="186">
        <v>0.02</v>
      </c>
      <c r="I148" s="186">
        <v>0.05</v>
      </c>
      <c r="J148" s="187">
        <v>0.122</v>
      </c>
      <c r="K148" s="186">
        <v>0.1</v>
      </c>
      <c r="L148" s="171">
        <f t="shared" si="97"/>
        <v>0</v>
      </c>
      <c r="M148" s="171">
        <f t="shared" si="98"/>
        <v>0</v>
      </c>
      <c r="N148" s="171">
        <f t="shared" si="99"/>
        <v>0</v>
      </c>
      <c r="O148" s="171">
        <f t="shared" si="100"/>
        <v>0</v>
      </c>
      <c r="P148" s="171">
        <f t="shared" si="101"/>
        <v>0</v>
      </c>
      <c r="Q148" s="170">
        <f t="shared" si="102"/>
        <v>0</v>
      </c>
      <c r="R148" s="185">
        <v>0.05</v>
      </c>
      <c r="S148" s="185">
        <v>0.05</v>
      </c>
      <c r="T148" s="185">
        <v>0.05</v>
      </c>
      <c r="U148" s="184">
        <v>0.1</v>
      </c>
      <c r="V148" s="167">
        <f t="shared" si="103"/>
        <v>0</v>
      </c>
      <c r="W148" s="167">
        <f t="shared" si="104"/>
        <v>0</v>
      </c>
      <c r="X148" s="167">
        <f t="shared" si="105"/>
        <v>0</v>
      </c>
      <c r="Y148" s="167">
        <f t="shared" si="106"/>
        <v>0</v>
      </c>
      <c r="Z148" s="183">
        <f t="shared" si="107"/>
        <v>0</v>
      </c>
      <c r="AA148" s="182">
        <v>70</v>
      </c>
      <c r="AB148" s="181"/>
      <c r="AC148" s="180">
        <v>70</v>
      </c>
      <c r="AD148" s="193"/>
    </row>
    <row r="149" spans="1:30" ht="15.75">
      <c r="A149" s="208" t="s">
        <v>26</v>
      </c>
      <c r="B149" s="191"/>
      <c r="C149" s="190">
        <v>0</v>
      </c>
      <c r="D149" s="207" t="s">
        <v>3</v>
      </c>
      <c r="E149" s="188"/>
      <c r="F149" s="174">
        <f t="shared" si="96"/>
        <v>0</v>
      </c>
      <c r="G149" s="186">
        <v>0.05</v>
      </c>
      <c r="H149" s="186">
        <v>0.02</v>
      </c>
      <c r="I149" s="186">
        <v>0.05</v>
      </c>
      <c r="J149" s="187">
        <v>0.122</v>
      </c>
      <c r="K149" s="186">
        <v>0.1</v>
      </c>
      <c r="L149" s="171">
        <f t="shared" si="97"/>
        <v>0</v>
      </c>
      <c r="M149" s="171">
        <f t="shared" si="98"/>
        <v>0</v>
      </c>
      <c r="N149" s="171">
        <f t="shared" si="99"/>
        <v>0</v>
      </c>
      <c r="O149" s="171">
        <f t="shared" si="100"/>
        <v>0</v>
      </c>
      <c r="P149" s="171">
        <f t="shared" si="101"/>
        <v>0</v>
      </c>
      <c r="Q149" s="170">
        <f t="shared" si="102"/>
        <v>0</v>
      </c>
      <c r="R149" s="185">
        <v>0.05</v>
      </c>
      <c r="S149" s="185">
        <v>0.05</v>
      </c>
      <c r="T149" s="185">
        <v>0.05</v>
      </c>
      <c r="U149" s="184">
        <v>0.1</v>
      </c>
      <c r="V149" s="167">
        <f t="shared" si="103"/>
        <v>0</v>
      </c>
      <c r="W149" s="167">
        <f t="shared" si="104"/>
        <v>0</v>
      </c>
      <c r="X149" s="167">
        <f t="shared" si="105"/>
        <v>0</v>
      </c>
      <c r="Y149" s="167">
        <f t="shared" si="106"/>
        <v>0</v>
      </c>
      <c r="Z149" s="183">
        <f t="shared" si="107"/>
        <v>0</v>
      </c>
      <c r="AA149" s="182">
        <v>70</v>
      </c>
      <c r="AB149" s="181"/>
      <c r="AC149" s="180">
        <v>70</v>
      </c>
      <c r="AD149" s="193"/>
    </row>
    <row r="150" spans="1:30" ht="15.75">
      <c r="A150" s="208" t="s">
        <v>25</v>
      </c>
      <c r="B150" s="191"/>
      <c r="C150" s="190">
        <v>0</v>
      </c>
      <c r="D150" s="207" t="s">
        <v>3</v>
      </c>
      <c r="E150" s="188"/>
      <c r="F150" s="174">
        <f t="shared" si="96"/>
        <v>0</v>
      </c>
      <c r="G150" s="186">
        <v>0.05</v>
      </c>
      <c r="H150" s="186">
        <v>0.02</v>
      </c>
      <c r="I150" s="186">
        <v>0.05</v>
      </c>
      <c r="J150" s="187">
        <v>0.122</v>
      </c>
      <c r="K150" s="186">
        <v>0.1</v>
      </c>
      <c r="L150" s="171">
        <f t="shared" si="97"/>
        <v>0</v>
      </c>
      <c r="M150" s="171">
        <f t="shared" si="98"/>
        <v>0</v>
      </c>
      <c r="N150" s="171">
        <f t="shared" si="99"/>
        <v>0</v>
      </c>
      <c r="O150" s="171">
        <f t="shared" si="100"/>
        <v>0</v>
      </c>
      <c r="P150" s="171">
        <f t="shared" si="101"/>
        <v>0</v>
      </c>
      <c r="Q150" s="170">
        <f t="shared" si="102"/>
        <v>0</v>
      </c>
      <c r="R150" s="185">
        <v>0.05</v>
      </c>
      <c r="S150" s="185">
        <v>0.05</v>
      </c>
      <c r="T150" s="185">
        <v>0.05</v>
      </c>
      <c r="U150" s="184">
        <v>0.1</v>
      </c>
      <c r="V150" s="167">
        <f t="shared" si="103"/>
        <v>0</v>
      </c>
      <c r="W150" s="167">
        <f t="shared" si="104"/>
        <v>0</v>
      </c>
      <c r="X150" s="167">
        <f t="shared" si="105"/>
        <v>0</v>
      </c>
      <c r="Y150" s="167">
        <f t="shared" si="106"/>
        <v>0</v>
      </c>
      <c r="Z150" s="183">
        <f t="shared" si="107"/>
        <v>0</v>
      </c>
      <c r="AA150" s="182">
        <v>70</v>
      </c>
      <c r="AB150" s="181"/>
      <c r="AC150" s="180">
        <v>70</v>
      </c>
      <c r="AD150" s="193"/>
    </row>
    <row r="151" spans="1:30" ht="15.75">
      <c r="A151" s="208" t="s">
        <v>24</v>
      </c>
      <c r="B151" s="191"/>
      <c r="C151" s="190">
        <v>0</v>
      </c>
      <c r="D151" s="207" t="s">
        <v>3</v>
      </c>
      <c r="E151" s="188"/>
      <c r="F151" s="174">
        <f t="shared" si="96"/>
        <v>0</v>
      </c>
      <c r="G151" s="186">
        <v>0.05</v>
      </c>
      <c r="H151" s="186">
        <v>0.02</v>
      </c>
      <c r="I151" s="186">
        <v>0.05</v>
      </c>
      <c r="J151" s="187">
        <v>0.122</v>
      </c>
      <c r="K151" s="186">
        <v>0.1</v>
      </c>
      <c r="L151" s="171">
        <f t="shared" si="97"/>
        <v>0</v>
      </c>
      <c r="M151" s="171">
        <f t="shared" si="98"/>
        <v>0</v>
      </c>
      <c r="N151" s="171">
        <f t="shared" si="99"/>
        <v>0</v>
      </c>
      <c r="O151" s="171">
        <f t="shared" si="100"/>
        <v>0</v>
      </c>
      <c r="P151" s="171">
        <f t="shared" si="101"/>
        <v>0</v>
      </c>
      <c r="Q151" s="170">
        <f t="shared" si="102"/>
        <v>0</v>
      </c>
      <c r="R151" s="185">
        <v>0.05</v>
      </c>
      <c r="S151" s="185">
        <v>0.05</v>
      </c>
      <c r="T151" s="185">
        <v>0.05</v>
      </c>
      <c r="U151" s="184">
        <v>0.1</v>
      </c>
      <c r="V151" s="167">
        <f t="shared" si="103"/>
        <v>0</v>
      </c>
      <c r="W151" s="167">
        <f t="shared" si="104"/>
        <v>0</v>
      </c>
      <c r="X151" s="167">
        <f t="shared" si="105"/>
        <v>0</v>
      </c>
      <c r="Y151" s="167">
        <f t="shared" si="106"/>
        <v>0</v>
      </c>
      <c r="Z151" s="183">
        <f t="shared" si="107"/>
        <v>0</v>
      </c>
      <c r="AA151" s="182">
        <v>70</v>
      </c>
      <c r="AB151" s="181"/>
      <c r="AC151" s="180">
        <v>70</v>
      </c>
      <c r="AD151" s="193"/>
    </row>
    <row r="152" spans="1:30" ht="15.75">
      <c r="A152" s="208" t="s">
        <v>23</v>
      </c>
      <c r="B152" s="191"/>
      <c r="C152" s="190">
        <v>0</v>
      </c>
      <c r="D152" s="207" t="s">
        <v>3</v>
      </c>
      <c r="E152" s="188"/>
      <c r="F152" s="174">
        <f t="shared" si="96"/>
        <v>0</v>
      </c>
      <c r="G152" s="186">
        <v>0.05</v>
      </c>
      <c r="H152" s="186">
        <v>0.02</v>
      </c>
      <c r="I152" s="186">
        <v>0.05</v>
      </c>
      <c r="J152" s="187">
        <v>0.122</v>
      </c>
      <c r="K152" s="186">
        <v>0.1</v>
      </c>
      <c r="L152" s="171">
        <f t="shared" si="97"/>
        <v>0</v>
      </c>
      <c r="M152" s="171">
        <f t="shared" si="98"/>
        <v>0</v>
      </c>
      <c r="N152" s="171">
        <f t="shared" si="99"/>
        <v>0</v>
      </c>
      <c r="O152" s="171">
        <f t="shared" si="100"/>
        <v>0</v>
      </c>
      <c r="P152" s="171">
        <f t="shared" si="101"/>
        <v>0</v>
      </c>
      <c r="Q152" s="170">
        <f t="shared" si="102"/>
        <v>0</v>
      </c>
      <c r="R152" s="185">
        <v>0.05</v>
      </c>
      <c r="S152" s="185">
        <v>0.05</v>
      </c>
      <c r="T152" s="185">
        <v>0.05</v>
      </c>
      <c r="U152" s="184">
        <v>0.1</v>
      </c>
      <c r="V152" s="167">
        <f t="shared" si="103"/>
        <v>0</v>
      </c>
      <c r="W152" s="167">
        <f t="shared" si="104"/>
        <v>0</v>
      </c>
      <c r="X152" s="167">
        <f t="shared" si="105"/>
        <v>0</v>
      </c>
      <c r="Y152" s="167">
        <f t="shared" si="106"/>
        <v>0</v>
      </c>
      <c r="Z152" s="183">
        <f t="shared" si="107"/>
        <v>0</v>
      </c>
      <c r="AA152" s="182">
        <v>70</v>
      </c>
      <c r="AB152" s="181"/>
      <c r="AC152" s="180">
        <v>70</v>
      </c>
      <c r="AD152" s="193"/>
    </row>
    <row r="153" spans="1:30" ht="18">
      <c r="A153" s="206" t="s">
        <v>22</v>
      </c>
      <c r="B153" s="205"/>
      <c r="C153" s="204"/>
      <c r="D153" s="210"/>
      <c r="E153" s="209"/>
      <c r="F153" s="200"/>
      <c r="G153" s="200"/>
      <c r="H153" s="200"/>
      <c r="I153" s="200"/>
      <c r="J153" s="201"/>
      <c r="K153" s="200"/>
      <c r="L153" s="200"/>
      <c r="M153" s="200"/>
      <c r="N153" s="200"/>
      <c r="O153" s="200"/>
      <c r="P153" s="200"/>
      <c r="Q153" s="200"/>
      <c r="R153" s="199"/>
      <c r="S153" s="199"/>
      <c r="T153" s="199"/>
      <c r="U153" s="197"/>
      <c r="V153" s="197"/>
      <c r="W153" s="197"/>
      <c r="X153" s="197"/>
      <c r="Y153" s="197"/>
      <c r="Z153" s="198"/>
      <c r="AA153" s="197"/>
      <c r="AB153" s="197"/>
      <c r="AC153" s="195"/>
      <c r="AD153" s="194"/>
    </row>
    <row r="154" spans="1:30" ht="30">
      <c r="A154" s="208" t="s">
        <v>21</v>
      </c>
      <c r="B154" s="191"/>
      <c r="C154" s="190">
        <v>0</v>
      </c>
      <c r="D154" s="207" t="s">
        <v>3</v>
      </c>
      <c r="E154" s="188">
        <v>65</v>
      </c>
      <c r="F154" s="174">
        <f t="shared" ref="F154:F163" si="108">E154*C154</f>
        <v>0</v>
      </c>
      <c r="G154" s="186">
        <v>0.05</v>
      </c>
      <c r="H154" s="186">
        <v>0.02</v>
      </c>
      <c r="I154" s="186">
        <v>0.05</v>
      </c>
      <c r="J154" s="187">
        <v>0.122</v>
      </c>
      <c r="K154" s="186">
        <v>0.1</v>
      </c>
      <c r="L154" s="171">
        <f t="shared" ref="L154:L163" si="109">F154*G154</f>
        <v>0</v>
      </c>
      <c r="M154" s="171">
        <f t="shared" ref="M154:M163" si="110">(F154+L154)*H154</f>
        <v>0</v>
      </c>
      <c r="N154" s="171">
        <f t="shared" ref="N154:N163" si="111">(F154+L154+M154)*I154</f>
        <v>0</v>
      </c>
      <c r="O154" s="171">
        <f t="shared" ref="O154:O163" si="112">(F154+L154+M154+N154)*J154</f>
        <v>0</v>
      </c>
      <c r="P154" s="171">
        <f t="shared" ref="P154:P163" si="113">(F154+L154+M154+N154+O154)*K154</f>
        <v>0</v>
      </c>
      <c r="Q154" s="170">
        <f t="shared" ref="Q154:Q163" si="114">F154+SUM(L154:P154)</f>
        <v>0</v>
      </c>
      <c r="R154" s="185">
        <v>0.05</v>
      </c>
      <c r="S154" s="185">
        <v>0.05</v>
      </c>
      <c r="T154" s="185">
        <v>0.05</v>
      </c>
      <c r="U154" s="184">
        <v>0.1</v>
      </c>
      <c r="V154" s="167">
        <f t="shared" ref="V154:V163" si="115">Q154*R154</f>
        <v>0</v>
      </c>
      <c r="W154" s="167">
        <f t="shared" ref="W154:W163" si="116">Q154*S154</f>
        <v>0</v>
      </c>
      <c r="X154" s="167">
        <f t="shared" ref="X154:X163" si="117">Q154*T154</f>
        <v>0</v>
      </c>
      <c r="Y154" s="167">
        <f t="shared" ref="Y154:Y163" si="118">U154*(V154+W154)</f>
        <v>0</v>
      </c>
      <c r="Z154" s="183">
        <f t="shared" ref="Z154:Z163" si="119">Q154+SUM(V154:Y154)</f>
        <v>0</v>
      </c>
      <c r="AA154" s="182">
        <v>70</v>
      </c>
      <c r="AB154" s="181"/>
      <c r="AC154" s="180">
        <v>70</v>
      </c>
      <c r="AD154" s="193"/>
    </row>
    <row r="155" spans="1:30" ht="30">
      <c r="A155" s="208" t="s">
        <v>20</v>
      </c>
      <c r="B155" s="191"/>
      <c r="C155" s="190">
        <v>0</v>
      </c>
      <c r="D155" s="207" t="s">
        <v>3</v>
      </c>
      <c r="E155" s="188">
        <v>70</v>
      </c>
      <c r="F155" s="174">
        <f t="shared" si="108"/>
        <v>0</v>
      </c>
      <c r="G155" s="186">
        <v>0.05</v>
      </c>
      <c r="H155" s="186">
        <v>0.02</v>
      </c>
      <c r="I155" s="186">
        <v>0.05</v>
      </c>
      <c r="J155" s="187">
        <v>0.122</v>
      </c>
      <c r="K155" s="186">
        <v>0.1</v>
      </c>
      <c r="L155" s="171">
        <f t="shared" si="109"/>
        <v>0</v>
      </c>
      <c r="M155" s="171">
        <f t="shared" si="110"/>
        <v>0</v>
      </c>
      <c r="N155" s="171">
        <f t="shared" si="111"/>
        <v>0</v>
      </c>
      <c r="O155" s="171">
        <f t="shared" si="112"/>
        <v>0</v>
      </c>
      <c r="P155" s="171">
        <f t="shared" si="113"/>
        <v>0</v>
      </c>
      <c r="Q155" s="170">
        <f t="shared" si="114"/>
        <v>0</v>
      </c>
      <c r="R155" s="185">
        <v>0.05</v>
      </c>
      <c r="S155" s="185">
        <v>0.05</v>
      </c>
      <c r="T155" s="185">
        <v>0.05</v>
      </c>
      <c r="U155" s="184">
        <v>0.1</v>
      </c>
      <c r="V155" s="167">
        <f t="shared" si="115"/>
        <v>0</v>
      </c>
      <c r="W155" s="167">
        <f t="shared" si="116"/>
        <v>0</v>
      </c>
      <c r="X155" s="167">
        <f t="shared" si="117"/>
        <v>0</v>
      </c>
      <c r="Y155" s="167">
        <f t="shared" si="118"/>
        <v>0</v>
      </c>
      <c r="Z155" s="183">
        <f t="shared" si="119"/>
        <v>0</v>
      </c>
      <c r="AA155" s="182">
        <v>70</v>
      </c>
      <c r="AB155" s="181"/>
      <c r="AC155" s="180">
        <v>70</v>
      </c>
      <c r="AD155" s="193"/>
    </row>
    <row r="156" spans="1:30" ht="15.75">
      <c r="A156" s="208" t="s">
        <v>19</v>
      </c>
      <c r="B156" s="191"/>
      <c r="C156" s="190">
        <v>0</v>
      </c>
      <c r="D156" s="207" t="s">
        <v>3</v>
      </c>
      <c r="E156" s="188"/>
      <c r="F156" s="174">
        <f t="shared" si="108"/>
        <v>0</v>
      </c>
      <c r="G156" s="186">
        <v>0.05</v>
      </c>
      <c r="H156" s="186">
        <v>0.02</v>
      </c>
      <c r="I156" s="186">
        <v>0.05</v>
      </c>
      <c r="J156" s="187">
        <v>0.122</v>
      </c>
      <c r="K156" s="186">
        <v>0.1</v>
      </c>
      <c r="L156" s="171">
        <f t="shared" si="109"/>
        <v>0</v>
      </c>
      <c r="M156" s="171">
        <f t="shared" si="110"/>
        <v>0</v>
      </c>
      <c r="N156" s="171">
        <f t="shared" si="111"/>
        <v>0</v>
      </c>
      <c r="O156" s="171">
        <f t="shared" si="112"/>
        <v>0</v>
      </c>
      <c r="P156" s="171">
        <f t="shared" si="113"/>
        <v>0</v>
      </c>
      <c r="Q156" s="170">
        <f t="shared" si="114"/>
        <v>0</v>
      </c>
      <c r="R156" s="185">
        <v>0.05</v>
      </c>
      <c r="S156" s="185">
        <v>0.05</v>
      </c>
      <c r="T156" s="185">
        <v>0.05</v>
      </c>
      <c r="U156" s="184">
        <v>0.1</v>
      </c>
      <c r="V156" s="167">
        <f t="shared" si="115"/>
        <v>0</v>
      </c>
      <c r="W156" s="167">
        <f t="shared" si="116"/>
        <v>0</v>
      </c>
      <c r="X156" s="167">
        <f t="shared" si="117"/>
        <v>0</v>
      </c>
      <c r="Y156" s="167">
        <f t="shared" si="118"/>
        <v>0</v>
      </c>
      <c r="Z156" s="183">
        <f t="shared" si="119"/>
        <v>0</v>
      </c>
      <c r="AA156" s="182">
        <v>70</v>
      </c>
      <c r="AB156" s="181"/>
      <c r="AC156" s="180">
        <v>70</v>
      </c>
      <c r="AD156" s="193"/>
    </row>
    <row r="157" spans="1:30" ht="15.75">
      <c r="A157" s="208" t="s">
        <v>18</v>
      </c>
      <c r="B157" s="191"/>
      <c r="C157" s="190">
        <v>0</v>
      </c>
      <c r="D157" s="207" t="s">
        <v>3</v>
      </c>
      <c r="E157" s="188"/>
      <c r="F157" s="174">
        <f t="shared" si="108"/>
        <v>0</v>
      </c>
      <c r="G157" s="186">
        <v>0.05</v>
      </c>
      <c r="H157" s="186">
        <v>0.02</v>
      </c>
      <c r="I157" s="186">
        <v>0.05</v>
      </c>
      <c r="J157" s="187">
        <v>0.122</v>
      </c>
      <c r="K157" s="186">
        <v>0.1</v>
      </c>
      <c r="L157" s="171">
        <f t="shared" si="109"/>
        <v>0</v>
      </c>
      <c r="M157" s="171">
        <f t="shared" si="110"/>
        <v>0</v>
      </c>
      <c r="N157" s="171">
        <f t="shared" si="111"/>
        <v>0</v>
      </c>
      <c r="O157" s="171">
        <f t="shared" si="112"/>
        <v>0</v>
      </c>
      <c r="P157" s="171">
        <f t="shared" si="113"/>
        <v>0</v>
      </c>
      <c r="Q157" s="170">
        <f t="shared" si="114"/>
        <v>0</v>
      </c>
      <c r="R157" s="185">
        <v>0.05</v>
      </c>
      <c r="S157" s="185">
        <v>0.05</v>
      </c>
      <c r="T157" s="185">
        <v>0.05</v>
      </c>
      <c r="U157" s="184">
        <v>0.1</v>
      </c>
      <c r="V157" s="167">
        <f t="shared" si="115"/>
        <v>0</v>
      </c>
      <c r="W157" s="167">
        <f t="shared" si="116"/>
        <v>0</v>
      </c>
      <c r="X157" s="167">
        <f t="shared" si="117"/>
        <v>0</v>
      </c>
      <c r="Y157" s="167">
        <f t="shared" si="118"/>
        <v>0</v>
      </c>
      <c r="Z157" s="183">
        <f t="shared" si="119"/>
        <v>0</v>
      </c>
      <c r="AA157" s="182">
        <v>70</v>
      </c>
      <c r="AB157" s="181"/>
      <c r="AC157" s="180">
        <v>70</v>
      </c>
      <c r="AD157" s="193"/>
    </row>
    <row r="158" spans="1:30" ht="15.75">
      <c r="A158" s="208" t="s">
        <v>17</v>
      </c>
      <c r="B158" s="191"/>
      <c r="C158" s="190">
        <v>0</v>
      </c>
      <c r="D158" s="207" t="s">
        <v>3</v>
      </c>
      <c r="E158" s="188"/>
      <c r="F158" s="174">
        <f t="shared" si="108"/>
        <v>0</v>
      </c>
      <c r="G158" s="186">
        <v>0.05</v>
      </c>
      <c r="H158" s="186">
        <v>0.02</v>
      </c>
      <c r="I158" s="186">
        <v>0.05</v>
      </c>
      <c r="J158" s="187">
        <v>0.122</v>
      </c>
      <c r="K158" s="186">
        <v>0.1</v>
      </c>
      <c r="L158" s="171">
        <f t="shared" si="109"/>
        <v>0</v>
      </c>
      <c r="M158" s="171">
        <f t="shared" si="110"/>
        <v>0</v>
      </c>
      <c r="N158" s="171">
        <f t="shared" si="111"/>
        <v>0</v>
      </c>
      <c r="O158" s="171">
        <f t="shared" si="112"/>
        <v>0</v>
      </c>
      <c r="P158" s="171">
        <f t="shared" si="113"/>
        <v>0</v>
      </c>
      <c r="Q158" s="170">
        <f t="shared" si="114"/>
        <v>0</v>
      </c>
      <c r="R158" s="185">
        <v>0.05</v>
      </c>
      <c r="S158" s="185">
        <v>0.05</v>
      </c>
      <c r="T158" s="185">
        <v>0.05</v>
      </c>
      <c r="U158" s="184">
        <v>0.1</v>
      </c>
      <c r="V158" s="167">
        <f t="shared" si="115"/>
        <v>0</v>
      </c>
      <c r="W158" s="167">
        <f t="shared" si="116"/>
        <v>0</v>
      </c>
      <c r="X158" s="167">
        <f t="shared" si="117"/>
        <v>0</v>
      </c>
      <c r="Y158" s="167">
        <f t="shared" si="118"/>
        <v>0</v>
      </c>
      <c r="Z158" s="183">
        <f t="shared" si="119"/>
        <v>0</v>
      </c>
      <c r="AA158" s="182">
        <v>70</v>
      </c>
      <c r="AB158" s="181"/>
      <c r="AC158" s="180">
        <v>70</v>
      </c>
      <c r="AD158" s="193"/>
    </row>
    <row r="159" spans="1:30" ht="15.75">
      <c r="A159" s="208" t="s">
        <v>16</v>
      </c>
      <c r="B159" s="191"/>
      <c r="C159" s="190">
        <v>0</v>
      </c>
      <c r="D159" s="207" t="s">
        <v>3</v>
      </c>
      <c r="E159" s="188"/>
      <c r="F159" s="174">
        <f t="shared" si="108"/>
        <v>0</v>
      </c>
      <c r="G159" s="186">
        <v>0.05</v>
      </c>
      <c r="H159" s="186">
        <v>0.02</v>
      </c>
      <c r="I159" s="186">
        <v>0.05</v>
      </c>
      <c r="J159" s="187">
        <v>0.122</v>
      </c>
      <c r="K159" s="186">
        <v>0.1</v>
      </c>
      <c r="L159" s="171">
        <f t="shared" si="109"/>
        <v>0</v>
      </c>
      <c r="M159" s="171">
        <f t="shared" si="110"/>
        <v>0</v>
      </c>
      <c r="N159" s="171">
        <f t="shared" si="111"/>
        <v>0</v>
      </c>
      <c r="O159" s="171">
        <f t="shared" si="112"/>
        <v>0</v>
      </c>
      <c r="P159" s="171">
        <f t="shared" si="113"/>
        <v>0</v>
      </c>
      <c r="Q159" s="170">
        <f t="shared" si="114"/>
        <v>0</v>
      </c>
      <c r="R159" s="185">
        <v>0.05</v>
      </c>
      <c r="S159" s="185">
        <v>0.05</v>
      </c>
      <c r="T159" s="185">
        <v>0.05</v>
      </c>
      <c r="U159" s="184">
        <v>0.1</v>
      </c>
      <c r="V159" s="167">
        <f t="shared" si="115"/>
        <v>0</v>
      </c>
      <c r="W159" s="167">
        <f t="shared" si="116"/>
        <v>0</v>
      </c>
      <c r="X159" s="167">
        <f t="shared" si="117"/>
        <v>0</v>
      </c>
      <c r="Y159" s="167">
        <f t="shared" si="118"/>
        <v>0</v>
      </c>
      <c r="Z159" s="183">
        <f t="shared" si="119"/>
        <v>0</v>
      </c>
      <c r="AA159" s="182">
        <v>70</v>
      </c>
      <c r="AB159" s="181"/>
      <c r="AC159" s="180">
        <v>70</v>
      </c>
      <c r="AD159" s="193"/>
    </row>
    <row r="160" spans="1:30" ht="15.75">
      <c r="A160" s="208" t="s">
        <v>15</v>
      </c>
      <c r="B160" s="191"/>
      <c r="C160" s="190">
        <v>0</v>
      </c>
      <c r="D160" s="207" t="s">
        <v>3</v>
      </c>
      <c r="E160" s="188"/>
      <c r="F160" s="174">
        <f t="shared" si="108"/>
        <v>0</v>
      </c>
      <c r="G160" s="186">
        <v>0.05</v>
      </c>
      <c r="H160" s="186">
        <v>0.02</v>
      </c>
      <c r="I160" s="186">
        <v>0.05</v>
      </c>
      <c r="J160" s="187">
        <v>0.122</v>
      </c>
      <c r="K160" s="186">
        <v>0.1</v>
      </c>
      <c r="L160" s="171">
        <f t="shared" si="109"/>
        <v>0</v>
      </c>
      <c r="M160" s="171">
        <f t="shared" si="110"/>
        <v>0</v>
      </c>
      <c r="N160" s="171">
        <f t="shared" si="111"/>
        <v>0</v>
      </c>
      <c r="O160" s="171">
        <f t="shared" si="112"/>
        <v>0</v>
      </c>
      <c r="P160" s="171">
        <f t="shared" si="113"/>
        <v>0</v>
      </c>
      <c r="Q160" s="170">
        <f t="shared" si="114"/>
        <v>0</v>
      </c>
      <c r="R160" s="185">
        <v>0.05</v>
      </c>
      <c r="S160" s="185">
        <v>0.05</v>
      </c>
      <c r="T160" s="185">
        <v>0.05</v>
      </c>
      <c r="U160" s="184">
        <v>0.1</v>
      </c>
      <c r="V160" s="167">
        <f t="shared" si="115"/>
        <v>0</v>
      </c>
      <c r="W160" s="167">
        <f t="shared" si="116"/>
        <v>0</v>
      </c>
      <c r="X160" s="167">
        <f t="shared" si="117"/>
        <v>0</v>
      </c>
      <c r="Y160" s="167">
        <f t="shared" si="118"/>
        <v>0</v>
      </c>
      <c r="Z160" s="183">
        <f t="shared" si="119"/>
        <v>0</v>
      </c>
      <c r="AA160" s="182">
        <v>70</v>
      </c>
      <c r="AB160" s="181"/>
      <c r="AC160" s="180">
        <v>70</v>
      </c>
      <c r="AD160" s="193"/>
    </row>
    <row r="161" spans="1:30" ht="15.75">
      <c r="A161" s="208" t="s">
        <v>14</v>
      </c>
      <c r="B161" s="191"/>
      <c r="C161" s="190">
        <v>0</v>
      </c>
      <c r="D161" s="207" t="s">
        <v>3</v>
      </c>
      <c r="E161" s="188"/>
      <c r="F161" s="174">
        <f t="shared" si="108"/>
        <v>0</v>
      </c>
      <c r="G161" s="186">
        <v>0.05</v>
      </c>
      <c r="H161" s="186">
        <v>0.02</v>
      </c>
      <c r="I161" s="186">
        <v>0.05</v>
      </c>
      <c r="J161" s="187">
        <v>0.122</v>
      </c>
      <c r="K161" s="186">
        <v>0.1</v>
      </c>
      <c r="L161" s="171">
        <f t="shared" si="109"/>
        <v>0</v>
      </c>
      <c r="M161" s="171">
        <f t="shared" si="110"/>
        <v>0</v>
      </c>
      <c r="N161" s="171">
        <f t="shared" si="111"/>
        <v>0</v>
      </c>
      <c r="O161" s="171">
        <f t="shared" si="112"/>
        <v>0</v>
      </c>
      <c r="P161" s="171">
        <f t="shared" si="113"/>
        <v>0</v>
      </c>
      <c r="Q161" s="170">
        <f t="shared" si="114"/>
        <v>0</v>
      </c>
      <c r="R161" s="185">
        <v>0.05</v>
      </c>
      <c r="S161" s="185">
        <v>0.05</v>
      </c>
      <c r="T161" s="185">
        <v>0.05</v>
      </c>
      <c r="U161" s="184">
        <v>0.1</v>
      </c>
      <c r="V161" s="167">
        <f t="shared" si="115"/>
        <v>0</v>
      </c>
      <c r="W161" s="167">
        <f t="shared" si="116"/>
        <v>0</v>
      </c>
      <c r="X161" s="167">
        <f t="shared" si="117"/>
        <v>0</v>
      </c>
      <c r="Y161" s="167">
        <f t="shared" si="118"/>
        <v>0</v>
      </c>
      <c r="Z161" s="183">
        <f t="shared" si="119"/>
        <v>0</v>
      </c>
      <c r="AA161" s="182">
        <v>70</v>
      </c>
      <c r="AB161" s="181"/>
      <c r="AC161" s="180">
        <v>70</v>
      </c>
      <c r="AD161" s="193"/>
    </row>
    <row r="162" spans="1:30" ht="15.75">
      <c r="A162" s="208" t="s">
        <v>13</v>
      </c>
      <c r="B162" s="191"/>
      <c r="C162" s="190">
        <v>0</v>
      </c>
      <c r="D162" s="207" t="s">
        <v>3</v>
      </c>
      <c r="E162" s="188"/>
      <c r="F162" s="174">
        <f t="shared" si="108"/>
        <v>0</v>
      </c>
      <c r="G162" s="186">
        <v>0.05</v>
      </c>
      <c r="H162" s="186">
        <v>0.02</v>
      </c>
      <c r="I162" s="186">
        <v>0.05</v>
      </c>
      <c r="J162" s="187">
        <v>0.122</v>
      </c>
      <c r="K162" s="186">
        <v>0.1</v>
      </c>
      <c r="L162" s="171">
        <f t="shared" si="109"/>
        <v>0</v>
      </c>
      <c r="M162" s="171">
        <f t="shared" si="110"/>
        <v>0</v>
      </c>
      <c r="N162" s="171">
        <f t="shared" si="111"/>
        <v>0</v>
      </c>
      <c r="O162" s="171">
        <f t="shared" si="112"/>
        <v>0</v>
      </c>
      <c r="P162" s="171">
        <f t="shared" si="113"/>
        <v>0</v>
      </c>
      <c r="Q162" s="170">
        <f t="shared" si="114"/>
        <v>0</v>
      </c>
      <c r="R162" s="185">
        <v>0.05</v>
      </c>
      <c r="S162" s="185">
        <v>0.05</v>
      </c>
      <c r="T162" s="185">
        <v>0.05</v>
      </c>
      <c r="U162" s="184">
        <v>0.1</v>
      </c>
      <c r="V162" s="167">
        <f t="shared" si="115"/>
        <v>0</v>
      </c>
      <c r="W162" s="167">
        <f t="shared" si="116"/>
        <v>0</v>
      </c>
      <c r="X162" s="167">
        <f t="shared" si="117"/>
        <v>0</v>
      </c>
      <c r="Y162" s="167">
        <f t="shared" si="118"/>
        <v>0</v>
      </c>
      <c r="Z162" s="183">
        <f t="shared" si="119"/>
        <v>0</v>
      </c>
      <c r="AA162" s="182">
        <v>70</v>
      </c>
      <c r="AB162" s="181"/>
      <c r="AC162" s="180">
        <v>70</v>
      </c>
      <c r="AD162" s="193"/>
    </row>
    <row r="163" spans="1:30" ht="15.75">
      <c r="A163" s="208" t="s">
        <v>12</v>
      </c>
      <c r="B163" s="191"/>
      <c r="C163" s="190">
        <v>0</v>
      </c>
      <c r="D163" s="207" t="s">
        <v>3</v>
      </c>
      <c r="E163" s="188"/>
      <c r="F163" s="174">
        <f t="shared" si="108"/>
        <v>0</v>
      </c>
      <c r="G163" s="186">
        <v>0.05</v>
      </c>
      <c r="H163" s="186">
        <v>0.02</v>
      </c>
      <c r="I163" s="186">
        <v>0.05</v>
      </c>
      <c r="J163" s="187">
        <v>0.122</v>
      </c>
      <c r="K163" s="186">
        <v>0.1</v>
      </c>
      <c r="L163" s="171">
        <f t="shared" si="109"/>
        <v>0</v>
      </c>
      <c r="M163" s="171">
        <f t="shared" si="110"/>
        <v>0</v>
      </c>
      <c r="N163" s="171">
        <f t="shared" si="111"/>
        <v>0</v>
      </c>
      <c r="O163" s="171">
        <f t="shared" si="112"/>
        <v>0</v>
      </c>
      <c r="P163" s="171">
        <f t="shared" si="113"/>
        <v>0</v>
      </c>
      <c r="Q163" s="170">
        <f t="shared" si="114"/>
        <v>0</v>
      </c>
      <c r="R163" s="185">
        <v>0.05</v>
      </c>
      <c r="S163" s="185">
        <v>0.05</v>
      </c>
      <c r="T163" s="185">
        <v>0.05</v>
      </c>
      <c r="U163" s="184">
        <v>0.1</v>
      </c>
      <c r="V163" s="167">
        <f t="shared" si="115"/>
        <v>0</v>
      </c>
      <c r="W163" s="167">
        <f t="shared" si="116"/>
        <v>0</v>
      </c>
      <c r="X163" s="167">
        <f t="shared" si="117"/>
        <v>0</v>
      </c>
      <c r="Y163" s="167">
        <f t="shared" si="118"/>
        <v>0</v>
      </c>
      <c r="Z163" s="183">
        <f t="shared" si="119"/>
        <v>0</v>
      </c>
      <c r="AA163" s="182">
        <v>70</v>
      </c>
      <c r="AB163" s="181"/>
      <c r="AC163" s="180">
        <v>70</v>
      </c>
      <c r="AD163" s="193"/>
    </row>
    <row r="164" spans="1:30" ht="18">
      <c r="A164" s="206" t="s">
        <v>11</v>
      </c>
      <c r="B164" s="205"/>
      <c r="C164" s="204"/>
      <c r="D164" s="203"/>
      <c r="E164" s="202"/>
      <c r="F164" s="200"/>
      <c r="G164" s="200"/>
      <c r="H164" s="200"/>
      <c r="I164" s="200"/>
      <c r="J164" s="201"/>
      <c r="K164" s="200"/>
      <c r="L164" s="200"/>
      <c r="M164" s="200"/>
      <c r="N164" s="200"/>
      <c r="O164" s="200"/>
      <c r="P164" s="200"/>
      <c r="Q164" s="200"/>
      <c r="R164" s="199"/>
      <c r="S164" s="199"/>
      <c r="T164" s="199"/>
      <c r="U164" s="197"/>
      <c r="V164" s="197"/>
      <c r="W164" s="197"/>
      <c r="X164" s="197"/>
      <c r="Y164" s="197"/>
      <c r="Z164" s="198"/>
      <c r="AA164" s="197"/>
      <c r="AB164" s="196"/>
      <c r="AC164" s="195"/>
      <c r="AD164" s="194"/>
    </row>
    <row r="165" spans="1:30" ht="15.75">
      <c r="A165" s="192" t="s">
        <v>10</v>
      </c>
      <c r="B165" s="191"/>
      <c r="C165" s="190">
        <v>1</v>
      </c>
      <c r="D165" s="189" t="s">
        <v>5</v>
      </c>
      <c r="E165" s="188">
        <v>20000</v>
      </c>
      <c r="F165" s="174">
        <f t="shared" ref="F165:F170" si="120">E165*C165</f>
        <v>20000</v>
      </c>
      <c r="G165" s="186">
        <v>0.05</v>
      </c>
      <c r="H165" s="186">
        <v>0.02</v>
      </c>
      <c r="I165" s="186">
        <v>0.05</v>
      </c>
      <c r="J165" s="187">
        <v>0.122</v>
      </c>
      <c r="K165" s="186">
        <v>0.1</v>
      </c>
      <c r="L165" s="171">
        <f t="shared" ref="L165:L170" si="121">F165*G165</f>
        <v>1000</v>
      </c>
      <c r="M165" s="171">
        <f t="shared" ref="M165:M170" si="122">(F165+L165)*H165</f>
        <v>420</v>
      </c>
      <c r="N165" s="171">
        <f t="shared" ref="N165:N170" si="123">(F165+L165+M165)*I165</f>
        <v>1071</v>
      </c>
      <c r="O165" s="171">
        <f t="shared" ref="O165:O170" si="124">(F165+L165+M165+N165)*J165</f>
        <v>2743.902</v>
      </c>
      <c r="P165" s="171">
        <f t="shared" ref="P165:P170" si="125">(F165+L165+M165+N165+O165)*K165</f>
        <v>2523.4902000000002</v>
      </c>
      <c r="Q165" s="170">
        <f t="shared" ref="Q165:Q170" si="126">F165+SUM(L165:P165)</f>
        <v>27758.392200000002</v>
      </c>
      <c r="R165" s="185">
        <v>0.05</v>
      </c>
      <c r="S165" s="185">
        <v>0.05</v>
      </c>
      <c r="T165" s="185">
        <v>0.05</v>
      </c>
      <c r="U165" s="184">
        <v>0.1</v>
      </c>
      <c r="V165" s="167">
        <f t="shared" ref="V165:V170" si="127">Q165*R165</f>
        <v>1387.9196100000001</v>
      </c>
      <c r="W165" s="167">
        <f t="shared" ref="W165:W170" si="128">Q165*S165</f>
        <v>1387.9196100000001</v>
      </c>
      <c r="X165" s="167">
        <f t="shared" ref="X165:X170" si="129">Q165*T165</f>
        <v>1387.9196100000001</v>
      </c>
      <c r="Y165" s="167">
        <f t="shared" ref="Y165:Y170" si="130">U165*(V165+W165)</f>
        <v>277.58392200000003</v>
      </c>
      <c r="Z165" s="183">
        <f t="shared" ref="Z165:Z170" si="131">Q165+SUM(V165:Y165)</f>
        <v>32199.734952000003</v>
      </c>
      <c r="AA165" s="182">
        <v>35</v>
      </c>
      <c r="AB165" s="181"/>
      <c r="AC165" s="180">
        <v>35</v>
      </c>
      <c r="AD165" s="193"/>
    </row>
    <row r="166" spans="1:30" ht="30">
      <c r="A166" s="192" t="s">
        <v>9</v>
      </c>
      <c r="B166" s="191"/>
      <c r="C166" s="190">
        <v>0</v>
      </c>
      <c r="D166" s="189" t="s">
        <v>5</v>
      </c>
      <c r="E166" s="188">
        <v>52250</v>
      </c>
      <c r="F166" s="174">
        <f t="shared" si="120"/>
        <v>0</v>
      </c>
      <c r="G166" s="186">
        <v>0.05</v>
      </c>
      <c r="H166" s="186">
        <v>0.02</v>
      </c>
      <c r="I166" s="186">
        <v>0.05</v>
      </c>
      <c r="J166" s="187">
        <v>0.122</v>
      </c>
      <c r="K166" s="186">
        <v>0.1</v>
      </c>
      <c r="L166" s="171">
        <f t="shared" si="121"/>
        <v>0</v>
      </c>
      <c r="M166" s="171">
        <f t="shared" si="122"/>
        <v>0</v>
      </c>
      <c r="N166" s="171">
        <f t="shared" si="123"/>
        <v>0</v>
      </c>
      <c r="O166" s="171">
        <f t="shared" si="124"/>
        <v>0</v>
      </c>
      <c r="P166" s="171">
        <f t="shared" si="125"/>
        <v>0</v>
      </c>
      <c r="Q166" s="170">
        <f t="shared" si="126"/>
        <v>0</v>
      </c>
      <c r="R166" s="185">
        <v>0.05</v>
      </c>
      <c r="S166" s="185">
        <v>0.05</v>
      </c>
      <c r="T166" s="185">
        <v>0.05</v>
      </c>
      <c r="U166" s="184">
        <v>0.1</v>
      </c>
      <c r="V166" s="167">
        <f t="shared" si="127"/>
        <v>0</v>
      </c>
      <c r="W166" s="167">
        <f t="shared" si="128"/>
        <v>0</v>
      </c>
      <c r="X166" s="167">
        <f t="shared" si="129"/>
        <v>0</v>
      </c>
      <c r="Y166" s="167">
        <f t="shared" si="130"/>
        <v>0</v>
      </c>
      <c r="Z166" s="183">
        <f t="shared" si="131"/>
        <v>0</v>
      </c>
      <c r="AA166" s="182">
        <v>75</v>
      </c>
      <c r="AB166" s="181"/>
      <c r="AC166" s="180">
        <v>75</v>
      </c>
      <c r="AD166" s="193"/>
    </row>
    <row r="167" spans="1:30" ht="30">
      <c r="A167" s="192" t="s">
        <v>8</v>
      </c>
      <c r="B167" s="191"/>
      <c r="C167" s="190">
        <v>7</v>
      </c>
      <c r="D167" s="189" t="s">
        <v>5</v>
      </c>
      <c r="E167" s="188">
        <v>17500</v>
      </c>
      <c r="F167" s="174">
        <f t="shared" si="120"/>
        <v>122500</v>
      </c>
      <c r="G167" s="186">
        <v>0.05</v>
      </c>
      <c r="H167" s="186">
        <v>0.02</v>
      </c>
      <c r="I167" s="186">
        <v>0.05</v>
      </c>
      <c r="J167" s="187">
        <v>0.122</v>
      </c>
      <c r="K167" s="186">
        <v>0.1</v>
      </c>
      <c r="L167" s="171">
        <f t="shared" si="121"/>
        <v>6125</v>
      </c>
      <c r="M167" s="171">
        <f t="shared" si="122"/>
        <v>2572.5</v>
      </c>
      <c r="N167" s="171">
        <f t="shared" si="123"/>
        <v>6559.875</v>
      </c>
      <c r="O167" s="171">
        <f t="shared" si="124"/>
        <v>16806.39975</v>
      </c>
      <c r="P167" s="171">
        <f t="shared" si="125"/>
        <v>15456.377475000001</v>
      </c>
      <c r="Q167" s="170">
        <f t="shared" si="126"/>
        <v>170020.152225</v>
      </c>
      <c r="R167" s="185">
        <v>0.05</v>
      </c>
      <c r="S167" s="185">
        <v>0.05</v>
      </c>
      <c r="T167" s="185">
        <v>0.05</v>
      </c>
      <c r="U167" s="184">
        <v>0.1</v>
      </c>
      <c r="V167" s="167">
        <f t="shared" si="127"/>
        <v>8501.007611250001</v>
      </c>
      <c r="W167" s="167">
        <f t="shared" si="128"/>
        <v>8501.007611250001</v>
      </c>
      <c r="X167" s="167">
        <f t="shared" si="129"/>
        <v>8501.007611250001</v>
      </c>
      <c r="Y167" s="167">
        <f t="shared" si="130"/>
        <v>1700.2015222500004</v>
      </c>
      <c r="Z167" s="183">
        <f t="shared" si="131"/>
        <v>197223.37658099999</v>
      </c>
      <c r="AA167" s="182">
        <v>25</v>
      </c>
      <c r="AB167" s="181"/>
      <c r="AC167" s="180">
        <v>25</v>
      </c>
      <c r="AD167" s="193"/>
    </row>
    <row r="168" spans="1:30" ht="15.75">
      <c r="A168" s="192" t="s">
        <v>7</v>
      </c>
      <c r="B168" s="191"/>
      <c r="C168" s="190">
        <v>0</v>
      </c>
      <c r="D168" s="189" t="s">
        <v>5</v>
      </c>
      <c r="E168" s="188">
        <v>120000</v>
      </c>
      <c r="F168" s="174">
        <f t="shared" si="120"/>
        <v>0</v>
      </c>
      <c r="G168" s="186">
        <v>0.05</v>
      </c>
      <c r="H168" s="186">
        <v>0.02</v>
      </c>
      <c r="I168" s="186">
        <v>0.05</v>
      </c>
      <c r="J168" s="187">
        <v>0.122</v>
      </c>
      <c r="K168" s="186">
        <v>0.1</v>
      </c>
      <c r="L168" s="171">
        <f t="shared" si="121"/>
        <v>0</v>
      </c>
      <c r="M168" s="171">
        <f t="shared" si="122"/>
        <v>0</v>
      </c>
      <c r="N168" s="171">
        <f t="shared" si="123"/>
        <v>0</v>
      </c>
      <c r="O168" s="171">
        <f t="shared" si="124"/>
        <v>0</v>
      </c>
      <c r="P168" s="171">
        <f t="shared" si="125"/>
        <v>0</v>
      </c>
      <c r="Q168" s="170">
        <f t="shared" si="126"/>
        <v>0</v>
      </c>
      <c r="R168" s="185">
        <v>0.05</v>
      </c>
      <c r="S168" s="185">
        <v>0.05</v>
      </c>
      <c r="T168" s="185">
        <v>0.05</v>
      </c>
      <c r="U168" s="184">
        <v>0.1</v>
      </c>
      <c r="V168" s="167">
        <f t="shared" si="127"/>
        <v>0</v>
      </c>
      <c r="W168" s="167">
        <f t="shared" si="128"/>
        <v>0</v>
      </c>
      <c r="X168" s="167">
        <f t="shared" si="129"/>
        <v>0</v>
      </c>
      <c r="Y168" s="167">
        <f t="shared" si="130"/>
        <v>0</v>
      </c>
      <c r="Z168" s="183">
        <f t="shared" si="131"/>
        <v>0</v>
      </c>
      <c r="AA168" s="182">
        <v>25</v>
      </c>
      <c r="AB168" s="181"/>
      <c r="AC168" s="180">
        <v>25</v>
      </c>
      <c r="AD168" s="193"/>
    </row>
    <row r="169" spans="1:30" ht="15.75">
      <c r="A169" s="192" t="s">
        <v>6</v>
      </c>
      <c r="B169" s="191"/>
      <c r="C169" s="190">
        <v>0</v>
      </c>
      <c r="D169" s="189" t="s">
        <v>5</v>
      </c>
      <c r="E169" s="188">
        <v>18000</v>
      </c>
      <c r="F169" s="174">
        <f t="shared" si="120"/>
        <v>0</v>
      </c>
      <c r="G169" s="186">
        <v>0.05</v>
      </c>
      <c r="H169" s="186">
        <v>0.02</v>
      </c>
      <c r="I169" s="186">
        <v>0.05</v>
      </c>
      <c r="J169" s="187">
        <v>0.122</v>
      </c>
      <c r="K169" s="186">
        <v>0.1</v>
      </c>
      <c r="L169" s="171">
        <f t="shared" si="121"/>
        <v>0</v>
      </c>
      <c r="M169" s="171">
        <f t="shared" si="122"/>
        <v>0</v>
      </c>
      <c r="N169" s="171">
        <f t="shared" si="123"/>
        <v>0</v>
      </c>
      <c r="O169" s="171">
        <f t="shared" si="124"/>
        <v>0</v>
      </c>
      <c r="P169" s="171">
        <f t="shared" si="125"/>
        <v>0</v>
      </c>
      <c r="Q169" s="170">
        <f t="shared" si="126"/>
        <v>0</v>
      </c>
      <c r="R169" s="185">
        <v>0.05</v>
      </c>
      <c r="S169" s="185">
        <v>0.05</v>
      </c>
      <c r="T169" s="185">
        <v>0.05</v>
      </c>
      <c r="U169" s="184">
        <v>0.1</v>
      </c>
      <c r="V169" s="167">
        <f t="shared" si="127"/>
        <v>0</v>
      </c>
      <c r="W169" s="167">
        <f t="shared" si="128"/>
        <v>0</v>
      </c>
      <c r="X169" s="167">
        <f t="shared" si="129"/>
        <v>0</v>
      </c>
      <c r="Y169" s="167">
        <f t="shared" si="130"/>
        <v>0</v>
      </c>
      <c r="Z169" s="183">
        <f t="shared" si="131"/>
        <v>0</v>
      </c>
      <c r="AA169" s="182">
        <v>25</v>
      </c>
      <c r="AB169" s="181"/>
      <c r="AC169" s="180">
        <v>25</v>
      </c>
      <c r="AD169" s="162"/>
    </row>
    <row r="170" spans="1:30" ht="30.75" thickBot="1">
      <c r="A170" s="179" t="s">
        <v>4</v>
      </c>
      <c r="B170" s="178"/>
      <c r="C170" s="177">
        <v>0</v>
      </c>
      <c r="D170" s="176" t="s">
        <v>3</v>
      </c>
      <c r="E170" s="175">
        <v>400</v>
      </c>
      <c r="F170" s="174">
        <f t="shared" si="120"/>
        <v>0</v>
      </c>
      <c r="G170" s="172">
        <v>0.05</v>
      </c>
      <c r="H170" s="172">
        <v>0.02</v>
      </c>
      <c r="I170" s="172">
        <v>0.05</v>
      </c>
      <c r="J170" s="173">
        <v>0.122</v>
      </c>
      <c r="K170" s="172">
        <v>0.1</v>
      </c>
      <c r="L170" s="171">
        <f t="shared" si="121"/>
        <v>0</v>
      </c>
      <c r="M170" s="171">
        <f t="shared" si="122"/>
        <v>0</v>
      </c>
      <c r="N170" s="171">
        <f t="shared" si="123"/>
        <v>0</v>
      </c>
      <c r="O170" s="171">
        <f t="shared" si="124"/>
        <v>0</v>
      </c>
      <c r="P170" s="171">
        <f t="shared" si="125"/>
        <v>0</v>
      </c>
      <c r="Q170" s="170">
        <f t="shared" si="126"/>
        <v>0</v>
      </c>
      <c r="R170" s="169">
        <v>0.05</v>
      </c>
      <c r="S170" s="169">
        <v>0.05</v>
      </c>
      <c r="T170" s="169">
        <v>0.05</v>
      </c>
      <c r="U170" s="168">
        <v>0.1</v>
      </c>
      <c r="V170" s="167">
        <f t="shared" si="127"/>
        <v>0</v>
      </c>
      <c r="W170" s="167">
        <f t="shared" si="128"/>
        <v>0</v>
      </c>
      <c r="X170" s="167">
        <f t="shared" si="129"/>
        <v>0</v>
      </c>
      <c r="Y170" s="167">
        <f t="shared" si="130"/>
        <v>0</v>
      </c>
      <c r="Z170" s="166">
        <f t="shared" si="131"/>
        <v>0</v>
      </c>
      <c r="AA170" s="165">
        <v>25</v>
      </c>
      <c r="AB170" s="164"/>
      <c r="AC170" s="163">
        <v>25</v>
      </c>
      <c r="AD170" s="162"/>
    </row>
    <row r="171" spans="1:30" ht="18.75" thickBot="1">
      <c r="A171" s="161" t="s">
        <v>2</v>
      </c>
      <c r="B171" s="160"/>
      <c r="C171" s="159"/>
      <c r="D171" s="158"/>
      <c r="E171" s="157"/>
      <c r="F171" s="156">
        <f>SUM(F7:F170)</f>
        <v>5186600</v>
      </c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6">
        <f>SUM(Q7:Q170)</f>
        <v>7198583.8492259998</v>
      </c>
      <c r="R171" s="153"/>
      <c r="S171" s="153"/>
      <c r="T171" s="153"/>
      <c r="U171" s="153"/>
      <c r="V171" s="155"/>
      <c r="W171" s="154" t="s">
        <v>0</v>
      </c>
      <c r="X171" s="153">
        <f>SUM(X7:X170)</f>
        <v>359929.1924613</v>
      </c>
      <c r="Y171" s="152"/>
      <c r="Z171" s="151">
        <f>SUM(Z7:Z170)</f>
        <v>8350357.2651021592</v>
      </c>
      <c r="AA171" s="132"/>
      <c r="AB171" s="108"/>
      <c r="AC171" s="150">
        <v>64.352517985611513</v>
      </c>
      <c r="AD171" s="130"/>
    </row>
    <row r="172" spans="1:30" ht="15.75">
      <c r="A172" s="149"/>
      <c r="B172" s="148"/>
      <c r="C172" s="147"/>
      <c r="D172" s="146"/>
      <c r="E172" s="145"/>
      <c r="G172" s="144"/>
      <c r="H172" s="144"/>
      <c r="I172" s="144"/>
      <c r="J172" s="144"/>
      <c r="K172" s="143"/>
      <c r="L172" s="142"/>
      <c r="M172" s="142"/>
      <c r="N172" s="142"/>
      <c r="O172" s="142"/>
      <c r="P172" s="142"/>
      <c r="Q172" s="141"/>
      <c r="R172" s="140"/>
      <c r="S172" s="139"/>
      <c r="T172" s="138" t="s">
        <v>1</v>
      </c>
      <c r="U172" s="137">
        <f>SUM(V7:V170)+SUM(Y7:Y170)</f>
        <v>431915.03095356002</v>
      </c>
      <c r="V172" s="136"/>
      <c r="W172" s="134"/>
      <c r="X172" s="135"/>
      <c r="Y172" s="134"/>
      <c r="Z172" s="133"/>
      <c r="AA172" s="132"/>
      <c r="AB172" s="108"/>
      <c r="AC172" s="131"/>
      <c r="AD172" s="130"/>
    </row>
    <row r="173" spans="1:30" ht="15.75">
      <c r="A173" s="122"/>
      <c r="B173" s="121"/>
      <c r="C173" s="120"/>
      <c r="D173" s="119"/>
      <c r="E173" s="118"/>
      <c r="G173" s="117"/>
      <c r="H173" s="117"/>
      <c r="I173" s="117"/>
      <c r="J173" s="117"/>
      <c r="K173" s="129"/>
      <c r="L173" s="128"/>
      <c r="M173" s="128"/>
      <c r="N173" s="128"/>
      <c r="O173" s="128"/>
      <c r="P173" s="128"/>
      <c r="Q173" s="127"/>
      <c r="R173" s="126"/>
      <c r="S173" s="125"/>
      <c r="T173" s="124" t="s">
        <v>0</v>
      </c>
      <c r="U173" s="123">
        <f>X171</f>
        <v>359929.1924613</v>
      </c>
      <c r="V173" s="111"/>
      <c r="W173" s="111"/>
      <c r="X173" s="111"/>
      <c r="Y173" s="111"/>
      <c r="Z173" s="110"/>
      <c r="AA173" s="109"/>
      <c r="AB173" s="108"/>
      <c r="AC173" s="107"/>
      <c r="AD173" s="106"/>
    </row>
    <row r="174" spans="1:30" ht="15.75">
      <c r="A174" s="122"/>
      <c r="B174" s="121"/>
      <c r="C174" s="120"/>
      <c r="D174" s="119"/>
      <c r="E174" s="118"/>
      <c r="G174" s="117"/>
      <c r="H174" s="117"/>
      <c r="I174" s="117"/>
      <c r="J174" s="117"/>
      <c r="K174" s="117"/>
      <c r="L174" s="116"/>
      <c r="M174" s="116"/>
      <c r="N174" s="116"/>
      <c r="O174" s="116"/>
      <c r="P174" s="116"/>
      <c r="R174" s="115"/>
      <c r="S174" s="114"/>
      <c r="T174" s="113"/>
      <c r="U174" s="112"/>
      <c r="V174" s="111"/>
      <c r="W174" s="111"/>
      <c r="X174" s="111"/>
      <c r="Y174" s="111"/>
      <c r="Z174" s="110"/>
      <c r="AA174" s="109"/>
      <c r="AB174" s="108"/>
      <c r="AC174" s="107"/>
      <c r="AD174" s="106"/>
    </row>
    <row r="175" spans="1:30" s="80" customFormat="1">
      <c r="A175" s="65"/>
      <c r="B175" s="62"/>
      <c r="C175" s="79"/>
      <c r="D175" s="78"/>
      <c r="E175" s="91"/>
      <c r="G175" s="90"/>
      <c r="H175" s="90"/>
      <c r="I175" s="90"/>
      <c r="J175" s="90"/>
      <c r="K175" s="90"/>
      <c r="L175" s="89"/>
      <c r="M175" s="89"/>
      <c r="N175" s="89"/>
      <c r="O175" s="89"/>
      <c r="P175" s="89"/>
      <c r="R175" s="87"/>
      <c r="S175" s="87"/>
      <c r="T175" s="87"/>
      <c r="U175" s="87"/>
      <c r="V175" s="87"/>
      <c r="W175" s="87"/>
      <c r="X175" s="87"/>
      <c r="Y175" s="87"/>
      <c r="Z175" s="103"/>
      <c r="AA175" s="85"/>
      <c r="AB175" s="84"/>
      <c r="AC175" s="83"/>
      <c r="AD175" s="66"/>
    </row>
    <row r="176" spans="1:30" s="80" customFormat="1" ht="18">
      <c r="A176" s="65"/>
      <c r="B176" s="62"/>
      <c r="C176" s="79"/>
      <c r="D176" s="78"/>
      <c r="E176" s="91"/>
      <c r="G176" s="90"/>
      <c r="H176" s="90"/>
      <c r="I176" s="90"/>
      <c r="J176" s="90"/>
      <c r="K176" s="90"/>
      <c r="L176" s="89"/>
      <c r="M176" s="89"/>
      <c r="N176" s="89"/>
      <c r="O176" s="89"/>
      <c r="P176" s="89"/>
      <c r="R176" s="87"/>
      <c r="S176" s="87"/>
      <c r="T176" s="87"/>
      <c r="U176" s="105"/>
      <c r="V176" s="87"/>
      <c r="W176" s="87"/>
      <c r="X176" s="87"/>
      <c r="Y176" s="87"/>
      <c r="Z176" s="104"/>
      <c r="AA176" s="98"/>
      <c r="AB176" s="84"/>
      <c r="AC176" s="83"/>
      <c r="AD176" s="66"/>
    </row>
    <row r="177" spans="1:30" s="80" customFormat="1">
      <c r="A177" s="65"/>
      <c r="B177" s="62"/>
      <c r="C177" s="79"/>
      <c r="D177" s="78"/>
      <c r="E177" s="91"/>
      <c r="G177" s="90"/>
      <c r="H177" s="90"/>
      <c r="I177" s="90"/>
      <c r="J177" s="90"/>
      <c r="K177" s="90"/>
      <c r="L177" s="89"/>
      <c r="M177" s="89"/>
      <c r="N177" s="89"/>
      <c r="O177" s="89"/>
      <c r="P177" s="89"/>
      <c r="R177" s="87"/>
      <c r="S177" s="87"/>
      <c r="T177" s="87"/>
      <c r="U177" s="87"/>
      <c r="V177" s="87"/>
      <c r="W177" s="87"/>
      <c r="X177" s="87"/>
      <c r="Y177" s="87"/>
      <c r="Z177" s="103"/>
      <c r="AA177" s="98"/>
      <c r="AB177" s="84"/>
      <c r="AC177" s="83"/>
      <c r="AD177" s="66"/>
    </row>
    <row r="178" spans="1:30" s="80" customFormat="1" ht="18">
      <c r="A178" s="102"/>
      <c r="B178" s="62"/>
      <c r="C178" s="79"/>
      <c r="D178" s="78"/>
      <c r="E178" s="91"/>
      <c r="G178" s="82"/>
      <c r="H178" s="90"/>
      <c r="I178" s="90"/>
      <c r="J178" s="99"/>
      <c r="K178" s="90"/>
      <c r="L178" s="89"/>
      <c r="M178" s="89"/>
      <c r="N178" s="89"/>
      <c r="O178" s="89"/>
      <c r="P178" s="89"/>
      <c r="R178" s="87"/>
      <c r="S178" s="87"/>
      <c r="T178" s="87"/>
      <c r="U178" s="87"/>
      <c r="V178" s="87"/>
      <c r="W178" s="87"/>
      <c r="X178" s="87"/>
      <c r="Y178" s="87"/>
      <c r="Z178" s="96"/>
      <c r="AA178" s="98"/>
      <c r="AB178" s="84"/>
      <c r="AC178" s="83"/>
      <c r="AD178" s="66"/>
    </row>
    <row r="179" spans="1:30" s="80" customFormat="1" ht="18">
      <c r="A179" s="65"/>
      <c r="B179" s="62"/>
      <c r="C179" s="79"/>
      <c r="D179" s="78"/>
      <c r="E179" s="91"/>
      <c r="G179" s="343"/>
      <c r="H179" s="344"/>
      <c r="I179" s="344"/>
      <c r="J179" s="344"/>
      <c r="K179" s="90"/>
      <c r="L179" s="89"/>
      <c r="M179" s="89"/>
      <c r="N179" s="89"/>
      <c r="O179" s="89"/>
      <c r="P179" s="89"/>
      <c r="R179" s="87"/>
      <c r="S179" s="87"/>
      <c r="T179" s="87"/>
      <c r="U179" s="87"/>
      <c r="V179" s="87"/>
      <c r="W179" s="87"/>
      <c r="X179" s="87"/>
      <c r="Y179" s="87"/>
      <c r="Z179" s="96"/>
      <c r="AA179" s="98"/>
      <c r="AB179" s="84"/>
      <c r="AC179" s="83"/>
      <c r="AD179" s="66"/>
    </row>
    <row r="180" spans="1:30" s="80" customFormat="1" ht="18">
      <c r="A180" s="65"/>
      <c r="B180" s="62"/>
      <c r="C180" s="79"/>
      <c r="D180" s="78"/>
      <c r="E180" s="91"/>
      <c r="G180" s="101"/>
      <c r="H180" s="90"/>
      <c r="I180" s="90"/>
      <c r="J180" s="99"/>
      <c r="K180" s="90"/>
      <c r="L180" s="89"/>
      <c r="M180" s="89"/>
      <c r="N180" s="89"/>
      <c r="O180" s="89"/>
      <c r="P180" s="89"/>
      <c r="R180" s="87"/>
      <c r="S180" s="87"/>
      <c r="T180" s="87"/>
      <c r="U180" s="100"/>
      <c r="V180" s="87"/>
      <c r="W180" s="87"/>
      <c r="X180" s="87"/>
      <c r="Y180" s="87"/>
      <c r="Z180" s="96"/>
      <c r="AA180" s="98"/>
      <c r="AB180" s="84"/>
      <c r="AC180" s="83"/>
      <c r="AD180" s="66"/>
    </row>
    <row r="181" spans="1:30" s="80" customFormat="1" ht="18">
      <c r="A181" s="65"/>
      <c r="B181" s="62"/>
      <c r="C181" s="79"/>
      <c r="D181" s="78"/>
      <c r="E181" s="91"/>
      <c r="G181" s="82"/>
      <c r="H181" s="90"/>
      <c r="I181" s="90"/>
      <c r="J181" s="99"/>
      <c r="K181" s="90"/>
      <c r="L181" s="89"/>
      <c r="M181" s="89"/>
      <c r="N181" s="89"/>
      <c r="O181" s="89"/>
      <c r="P181" s="89"/>
      <c r="R181" s="87"/>
      <c r="S181" s="87"/>
      <c r="T181" s="87"/>
      <c r="U181" s="87"/>
      <c r="V181" s="87"/>
      <c r="W181" s="87"/>
      <c r="X181" s="87"/>
      <c r="Y181" s="87"/>
      <c r="Z181" s="96"/>
      <c r="AA181" s="98"/>
      <c r="AB181" s="84"/>
      <c r="AC181" s="83"/>
      <c r="AD181" s="66"/>
    </row>
    <row r="182" spans="1:30" s="80" customFormat="1" ht="18">
      <c r="A182" s="65"/>
      <c r="B182" s="62"/>
      <c r="C182" s="79"/>
      <c r="D182" s="78"/>
      <c r="E182" s="91"/>
      <c r="G182" s="82"/>
      <c r="H182" s="90"/>
      <c r="I182" s="90"/>
      <c r="J182" s="95"/>
      <c r="K182" s="90"/>
      <c r="L182" s="89"/>
      <c r="M182" s="89"/>
      <c r="N182" s="89"/>
      <c r="O182" s="89"/>
      <c r="P182" s="89"/>
      <c r="R182" s="87"/>
      <c r="S182" s="87"/>
      <c r="T182" s="87"/>
      <c r="U182" s="87"/>
      <c r="V182" s="87"/>
      <c r="W182" s="87"/>
      <c r="X182" s="87"/>
      <c r="Y182" s="87"/>
      <c r="Z182" s="96"/>
      <c r="AA182" s="85"/>
      <c r="AB182" s="84"/>
      <c r="AC182" s="83"/>
      <c r="AD182" s="66"/>
    </row>
    <row r="183" spans="1:30" s="80" customFormat="1" ht="18">
      <c r="A183" s="65"/>
      <c r="B183" s="62"/>
      <c r="C183" s="79"/>
      <c r="D183" s="78"/>
      <c r="E183" s="91"/>
      <c r="G183" s="82"/>
      <c r="H183" s="90"/>
      <c r="I183" s="90"/>
      <c r="J183" s="95"/>
      <c r="K183" s="90"/>
      <c r="L183" s="89"/>
      <c r="M183" s="89"/>
      <c r="N183" s="89"/>
      <c r="O183" s="89"/>
      <c r="P183" s="89"/>
      <c r="R183" s="87"/>
      <c r="S183" s="87"/>
      <c r="T183" s="87"/>
      <c r="U183" s="97"/>
      <c r="V183" s="87"/>
      <c r="W183" s="87"/>
      <c r="X183" s="87"/>
      <c r="Y183" s="87"/>
      <c r="Z183" s="96"/>
      <c r="AA183" s="85"/>
      <c r="AB183" s="84"/>
      <c r="AC183" s="83"/>
      <c r="AD183" s="66"/>
    </row>
    <row r="184" spans="1:30" s="80" customFormat="1" ht="18">
      <c r="A184" s="65"/>
      <c r="B184" s="62"/>
      <c r="C184" s="79"/>
      <c r="D184" s="78"/>
      <c r="E184" s="91"/>
      <c r="G184" s="82"/>
      <c r="H184" s="90"/>
      <c r="I184" s="90"/>
      <c r="J184" s="95"/>
      <c r="K184" s="90"/>
      <c r="L184" s="89"/>
      <c r="M184" s="89"/>
      <c r="N184" s="89"/>
      <c r="O184" s="89"/>
      <c r="P184" s="89"/>
      <c r="R184" s="87"/>
      <c r="S184" s="87"/>
      <c r="T184" s="87"/>
      <c r="U184" s="97"/>
      <c r="V184" s="87"/>
      <c r="W184" s="87"/>
      <c r="X184" s="87"/>
      <c r="Y184" s="87"/>
      <c r="Z184" s="96"/>
      <c r="AA184" s="85"/>
      <c r="AB184" s="84"/>
      <c r="AC184" s="83"/>
      <c r="AD184" s="66"/>
    </row>
    <row r="185" spans="1:30" s="80" customFormat="1" ht="18">
      <c r="A185" s="65"/>
      <c r="B185" s="62"/>
      <c r="C185" s="79"/>
      <c r="D185" s="78"/>
      <c r="E185" s="91"/>
      <c r="G185" s="82"/>
      <c r="H185" s="90"/>
      <c r="I185" s="90"/>
      <c r="J185" s="95"/>
      <c r="K185" s="90"/>
      <c r="L185" s="89"/>
      <c r="M185" s="89"/>
      <c r="N185" s="89"/>
      <c r="O185" s="89"/>
      <c r="P185" s="89"/>
      <c r="R185" s="87"/>
      <c r="S185" s="87"/>
      <c r="T185" s="87"/>
      <c r="U185" s="87"/>
      <c r="V185" s="87"/>
      <c r="W185" s="87"/>
      <c r="X185" s="87"/>
      <c r="Y185" s="87"/>
      <c r="Z185" s="96"/>
      <c r="AA185" s="85"/>
      <c r="AB185" s="84"/>
      <c r="AC185" s="83"/>
      <c r="AD185" s="66"/>
    </row>
    <row r="186" spans="1:30" s="80" customFormat="1" ht="20.25">
      <c r="A186" s="65"/>
      <c r="B186" s="62"/>
      <c r="C186" s="79"/>
      <c r="D186" s="78"/>
      <c r="E186" s="91"/>
      <c r="G186" s="82"/>
      <c r="H186" s="90"/>
      <c r="I186" s="90"/>
      <c r="J186" s="95"/>
      <c r="K186" s="90"/>
      <c r="L186" s="89"/>
      <c r="M186" s="89"/>
      <c r="N186" s="89"/>
      <c r="O186" s="89"/>
      <c r="P186" s="89"/>
      <c r="R186" s="87"/>
      <c r="S186" s="87"/>
      <c r="T186" s="87"/>
      <c r="U186" s="94"/>
      <c r="V186" s="93"/>
      <c r="W186" s="93"/>
      <c r="X186" s="93"/>
      <c r="Y186" s="93"/>
      <c r="Z186" s="92"/>
      <c r="AA186" s="85"/>
      <c r="AB186" s="84"/>
      <c r="AC186" s="83"/>
      <c r="AD186" s="66"/>
    </row>
    <row r="187" spans="1:30" s="80" customFormat="1" ht="18">
      <c r="A187" s="65"/>
      <c r="B187" s="62"/>
      <c r="C187" s="79"/>
      <c r="D187" s="78"/>
      <c r="E187" s="91"/>
      <c r="G187" s="90"/>
      <c r="H187" s="90"/>
      <c r="I187" s="90"/>
      <c r="J187" s="90"/>
      <c r="K187" s="90"/>
      <c r="L187" s="89"/>
      <c r="M187" s="89"/>
      <c r="N187" s="89"/>
      <c r="O187" s="89"/>
      <c r="P187" s="89"/>
      <c r="R187" s="87"/>
      <c r="S187" s="87"/>
      <c r="T187" s="87"/>
      <c r="U187" s="88"/>
      <c r="V187" s="87"/>
      <c r="W187" s="87"/>
      <c r="X187" s="87"/>
      <c r="Y187" s="87"/>
      <c r="Z187" s="86"/>
      <c r="AA187" s="85"/>
      <c r="AB187" s="84"/>
      <c r="AC187" s="83"/>
      <c r="AD187" s="66"/>
    </row>
    <row r="188" spans="1:30" s="80" customFormat="1" ht="18">
      <c r="A188" s="45"/>
      <c r="B188" s="62"/>
      <c r="C188" s="79"/>
      <c r="D188" s="78"/>
      <c r="E188" s="64"/>
      <c r="G188" s="58"/>
      <c r="H188" s="58"/>
      <c r="I188" s="58"/>
      <c r="J188" s="58"/>
      <c r="K188" s="81"/>
      <c r="L188" s="57"/>
      <c r="M188" s="57"/>
      <c r="N188" s="57"/>
      <c r="O188" s="57"/>
      <c r="P188" s="57"/>
      <c r="R188" s="56"/>
      <c r="S188" s="56"/>
      <c r="T188" s="56"/>
      <c r="U188" s="56"/>
      <c r="V188" s="56"/>
      <c r="W188" s="56"/>
      <c r="X188" s="56"/>
      <c r="Y188" s="56"/>
      <c r="Z188" s="55"/>
      <c r="AA188" s="54"/>
      <c r="AB188" s="53"/>
      <c r="AC188" s="34"/>
      <c r="AD188" s="66"/>
    </row>
    <row r="189" spans="1:30" s="80" customFormat="1" ht="18">
      <c r="A189" s="45"/>
      <c r="B189" s="62"/>
      <c r="C189" s="79"/>
      <c r="D189" s="78"/>
      <c r="E189" s="64"/>
      <c r="G189" s="58"/>
      <c r="H189" s="58"/>
      <c r="I189" s="58"/>
      <c r="J189" s="58"/>
      <c r="K189" s="81"/>
      <c r="L189" s="57"/>
      <c r="M189" s="57"/>
      <c r="N189" s="57"/>
      <c r="O189" s="57"/>
      <c r="P189" s="57"/>
      <c r="R189" s="56"/>
      <c r="S189" s="56"/>
      <c r="T189" s="56"/>
      <c r="U189" s="56"/>
      <c r="V189" s="56"/>
      <c r="W189" s="56"/>
      <c r="X189" s="56"/>
      <c r="Y189" s="56"/>
      <c r="Z189" s="55"/>
      <c r="AA189" s="54"/>
      <c r="AB189" s="53"/>
      <c r="AC189" s="34"/>
      <c r="AD189" s="66"/>
    </row>
    <row r="190" spans="1:30" s="80" customFormat="1">
      <c r="A190" s="45"/>
      <c r="B190" s="62"/>
      <c r="C190" s="79"/>
      <c r="D190" s="78"/>
      <c r="E190" s="64"/>
      <c r="G190" s="58"/>
      <c r="H190" s="58"/>
      <c r="I190" s="58"/>
      <c r="J190" s="58"/>
      <c r="K190" s="58"/>
      <c r="L190" s="57"/>
      <c r="M190" s="57"/>
      <c r="N190" s="57"/>
      <c r="O190" s="57"/>
      <c r="P190" s="57"/>
      <c r="R190" s="56"/>
      <c r="S190" s="56"/>
      <c r="T190" s="56"/>
      <c r="U190" s="56"/>
      <c r="V190" s="56"/>
      <c r="W190" s="56"/>
      <c r="X190" s="56"/>
      <c r="Y190" s="56"/>
      <c r="Z190" s="55"/>
      <c r="AA190" s="54"/>
      <c r="AB190" s="53"/>
      <c r="AC190" s="34"/>
      <c r="AD190" s="66"/>
    </row>
    <row r="191" spans="1:30" s="80" customFormat="1" ht="18">
      <c r="A191" s="45"/>
      <c r="B191" s="62"/>
      <c r="C191" s="79"/>
      <c r="D191" s="78"/>
      <c r="E191" s="64"/>
      <c r="G191" s="82"/>
      <c r="H191" s="58"/>
      <c r="I191" s="58"/>
      <c r="J191" s="58"/>
      <c r="K191" s="58"/>
      <c r="L191" s="57"/>
      <c r="M191" s="57"/>
      <c r="N191" s="57"/>
      <c r="O191" s="57"/>
      <c r="P191" s="57"/>
      <c r="R191" s="56"/>
      <c r="S191" s="56"/>
      <c r="T191" s="56"/>
      <c r="U191" s="56"/>
      <c r="V191" s="56"/>
      <c r="W191" s="56"/>
      <c r="X191" s="56"/>
      <c r="Y191" s="56"/>
      <c r="Z191" s="55"/>
      <c r="AA191" s="54"/>
      <c r="AB191" s="53"/>
      <c r="AC191" s="34"/>
      <c r="AD191" s="66"/>
    </row>
    <row r="192" spans="1:30" s="80" customFormat="1" ht="18">
      <c r="A192" s="45"/>
      <c r="B192" s="62"/>
      <c r="C192" s="79"/>
      <c r="D192" s="78"/>
      <c r="E192" s="64"/>
      <c r="G192" s="82"/>
      <c r="H192" s="58"/>
      <c r="I192" s="58"/>
      <c r="J192" s="58"/>
      <c r="K192" s="58"/>
      <c r="L192" s="57"/>
      <c r="M192" s="57"/>
      <c r="N192" s="57"/>
      <c r="O192" s="57"/>
      <c r="P192" s="57"/>
      <c r="R192" s="56"/>
      <c r="S192" s="56"/>
      <c r="T192" s="56"/>
      <c r="U192" s="56"/>
      <c r="V192" s="56"/>
      <c r="W192" s="56"/>
      <c r="X192" s="56"/>
      <c r="Y192" s="56"/>
      <c r="Z192" s="55"/>
      <c r="AA192" s="54"/>
      <c r="AB192" s="53"/>
      <c r="AC192" s="34"/>
      <c r="AD192" s="66"/>
    </row>
    <row r="193" spans="1:30" s="80" customFormat="1" ht="18">
      <c r="A193" s="45"/>
      <c r="B193" s="62"/>
      <c r="C193" s="79"/>
      <c r="D193" s="78"/>
      <c r="E193" s="64"/>
      <c r="G193" s="82"/>
      <c r="H193" s="58"/>
      <c r="I193" s="58"/>
      <c r="J193" s="58"/>
      <c r="K193" s="58"/>
      <c r="L193" s="57"/>
      <c r="M193" s="57"/>
      <c r="N193" s="57"/>
      <c r="O193" s="57"/>
      <c r="P193" s="57"/>
      <c r="R193" s="56"/>
      <c r="S193" s="56"/>
      <c r="T193" s="56"/>
      <c r="U193" s="56"/>
      <c r="V193" s="56"/>
      <c r="W193" s="56"/>
      <c r="X193" s="56"/>
      <c r="Y193" s="56"/>
      <c r="Z193" s="55"/>
      <c r="AA193" s="54"/>
      <c r="AB193" s="53"/>
      <c r="AC193" s="34"/>
      <c r="AD193" s="66"/>
    </row>
    <row r="194" spans="1:30" s="80" customFormat="1" ht="18">
      <c r="A194" s="45"/>
      <c r="B194" s="62"/>
      <c r="C194" s="79"/>
      <c r="D194" s="78"/>
      <c r="E194" s="64"/>
      <c r="G194" s="82"/>
      <c r="H194" s="58"/>
      <c r="I194" s="58"/>
      <c r="J194" s="58"/>
      <c r="K194" s="58"/>
      <c r="L194" s="57"/>
      <c r="M194" s="57"/>
      <c r="N194" s="57"/>
      <c r="O194" s="57"/>
      <c r="P194" s="57"/>
      <c r="R194" s="56"/>
      <c r="S194" s="56"/>
      <c r="T194" s="56"/>
      <c r="U194" s="56"/>
      <c r="V194" s="56"/>
      <c r="W194" s="56"/>
      <c r="X194" s="56"/>
      <c r="Y194" s="56"/>
      <c r="Z194" s="55"/>
      <c r="AA194" s="54"/>
      <c r="AB194" s="53"/>
      <c r="AC194" s="34"/>
      <c r="AD194" s="66"/>
    </row>
    <row r="195" spans="1:30" s="80" customFormat="1">
      <c r="A195" s="45"/>
      <c r="B195" s="62"/>
      <c r="C195" s="79"/>
      <c r="D195" s="78"/>
      <c r="E195" s="64"/>
      <c r="G195" s="58"/>
      <c r="H195" s="58"/>
      <c r="I195" s="58"/>
      <c r="J195" s="58"/>
      <c r="K195" s="58"/>
      <c r="L195" s="57"/>
      <c r="M195" s="57"/>
      <c r="N195" s="57"/>
      <c r="O195" s="57"/>
      <c r="P195" s="57"/>
      <c r="R195" s="56"/>
      <c r="S195" s="56"/>
      <c r="T195" s="56"/>
      <c r="U195" s="56"/>
      <c r="V195" s="56"/>
      <c r="W195" s="56"/>
      <c r="X195" s="56"/>
      <c r="Y195" s="56"/>
      <c r="Z195" s="55"/>
      <c r="AA195" s="67"/>
      <c r="AB195" s="53"/>
      <c r="AC195" s="34"/>
      <c r="AD195" s="66"/>
    </row>
    <row r="196" spans="1:30" s="80" customFormat="1" ht="18">
      <c r="A196" s="45"/>
      <c r="B196" s="62"/>
      <c r="C196" s="79"/>
      <c r="D196" s="78"/>
      <c r="E196" s="64"/>
      <c r="G196" s="58"/>
      <c r="H196" s="58"/>
      <c r="I196" s="58"/>
      <c r="J196" s="58"/>
      <c r="K196" s="81"/>
      <c r="L196" s="57"/>
      <c r="M196" s="57"/>
      <c r="N196" s="57"/>
      <c r="O196" s="57"/>
      <c r="P196" s="57"/>
      <c r="R196" s="56"/>
      <c r="S196" s="56"/>
      <c r="T196" s="56"/>
      <c r="U196" s="56"/>
      <c r="V196" s="56"/>
      <c r="W196" s="56"/>
      <c r="X196" s="56"/>
      <c r="Y196" s="56"/>
      <c r="Z196" s="55"/>
      <c r="AA196" s="67"/>
      <c r="AB196" s="53"/>
      <c r="AC196" s="34"/>
      <c r="AD196" s="66"/>
    </row>
    <row r="197" spans="1:30" s="80" customFormat="1" ht="18">
      <c r="A197" s="45"/>
      <c r="B197" s="62"/>
      <c r="C197" s="79"/>
      <c r="D197" s="78"/>
      <c r="E197" s="64"/>
      <c r="G197" s="58"/>
      <c r="H197" s="58"/>
      <c r="I197" s="58"/>
      <c r="J197" s="58"/>
      <c r="K197" s="81"/>
      <c r="L197" s="57"/>
      <c r="M197" s="57"/>
      <c r="N197" s="57"/>
      <c r="O197" s="57"/>
      <c r="P197" s="57"/>
      <c r="R197" s="56"/>
      <c r="S197" s="56"/>
      <c r="T197" s="56"/>
      <c r="U197" s="56"/>
      <c r="V197" s="56"/>
      <c r="W197" s="56"/>
      <c r="X197" s="56"/>
      <c r="Y197" s="56"/>
      <c r="Z197" s="55"/>
      <c r="AA197" s="67"/>
      <c r="AB197" s="53"/>
      <c r="AC197" s="34"/>
      <c r="AD197" s="66"/>
    </row>
    <row r="198" spans="1:30" s="80" customFormat="1">
      <c r="A198" s="45"/>
      <c r="B198" s="62"/>
      <c r="C198" s="79"/>
      <c r="D198" s="78"/>
      <c r="E198" s="64"/>
      <c r="G198" s="58"/>
      <c r="H198" s="58"/>
      <c r="I198" s="58"/>
      <c r="J198" s="58"/>
      <c r="K198" s="58"/>
      <c r="L198" s="57"/>
      <c r="M198" s="57"/>
      <c r="N198" s="57"/>
      <c r="O198" s="57"/>
      <c r="P198" s="57"/>
      <c r="R198" s="56"/>
      <c r="S198" s="56"/>
      <c r="T198" s="56"/>
      <c r="U198" s="56"/>
      <c r="V198" s="56"/>
      <c r="W198" s="56"/>
      <c r="X198" s="56"/>
      <c r="Y198" s="56"/>
      <c r="Z198" s="55"/>
      <c r="AA198" s="67"/>
      <c r="AB198" s="53"/>
      <c r="AC198" s="34"/>
      <c r="AD198" s="66"/>
    </row>
    <row r="199" spans="1:30" s="80" customFormat="1" ht="18">
      <c r="A199" s="45"/>
      <c r="B199" s="62"/>
      <c r="C199" s="79"/>
      <c r="D199" s="78"/>
      <c r="E199" s="64"/>
      <c r="G199" s="58"/>
      <c r="H199" s="58"/>
      <c r="I199" s="58"/>
      <c r="J199" s="58"/>
      <c r="K199" s="81"/>
      <c r="L199" s="57"/>
      <c r="M199" s="57"/>
      <c r="N199" s="57"/>
      <c r="O199" s="57"/>
      <c r="P199" s="57"/>
      <c r="R199" s="56"/>
      <c r="S199" s="56"/>
      <c r="T199" s="56"/>
      <c r="U199" s="56"/>
      <c r="V199" s="56"/>
      <c r="W199" s="56"/>
      <c r="X199" s="56"/>
      <c r="Y199" s="56"/>
      <c r="Z199" s="55"/>
      <c r="AA199" s="67"/>
      <c r="AB199" s="53"/>
      <c r="AC199" s="34"/>
      <c r="AD199" s="66"/>
    </row>
    <row r="200" spans="1:30">
      <c r="A200" s="45"/>
      <c r="B200" s="62"/>
      <c r="C200" s="79"/>
      <c r="D200" s="78"/>
      <c r="E200" s="64"/>
      <c r="G200" s="58"/>
      <c r="H200" s="58"/>
      <c r="I200" s="58"/>
      <c r="J200" s="58"/>
      <c r="K200" s="58"/>
      <c r="L200" s="57"/>
      <c r="M200" s="57"/>
      <c r="N200" s="57"/>
      <c r="O200" s="57"/>
      <c r="P200" s="57"/>
      <c r="R200" s="56"/>
      <c r="S200" s="56"/>
      <c r="T200" s="56"/>
      <c r="U200" s="56"/>
      <c r="V200" s="56"/>
      <c r="W200" s="56"/>
      <c r="X200" s="56"/>
      <c r="Y200" s="56"/>
      <c r="Z200" s="55"/>
      <c r="AA200" s="67"/>
      <c r="AB200" s="53"/>
      <c r="AC200" s="34"/>
      <c r="AD200" s="66"/>
    </row>
    <row r="201" spans="1:30">
      <c r="A201" s="45"/>
      <c r="B201" s="62"/>
      <c r="C201" s="79"/>
      <c r="D201" s="78"/>
      <c r="E201" s="64"/>
      <c r="G201" s="58"/>
      <c r="H201" s="58"/>
      <c r="I201" s="58"/>
      <c r="J201" s="58"/>
      <c r="K201" s="58"/>
      <c r="L201" s="57"/>
      <c r="M201" s="57"/>
      <c r="N201" s="57"/>
      <c r="O201" s="57"/>
      <c r="P201" s="57"/>
      <c r="R201" s="56"/>
      <c r="S201" s="56"/>
      <c r="T201" s="56"/>
      <c r="U201" s="56"/>
      <c r="V201" s="56"/>
      <c r="W201" s="56"/>
      <c r="X201" s="56"/>
      <c r="Y201" s="56"/>
      <c r="Z201" s="55"/>
      <c r="AA201" s="54"/>
      <c r="AB201" s="53"/>
      <c r="AC201" s="34"/>
      <c r="AD201" s="66"/>
    </row>
    <row r="202" spans="1:30">
      <c r="A202" s="45"/>
      <c r="B202" s="62"/>
      <c r="C202" s="79"/>
      <c r="D202" s="78"/>
      <c r="E202" s="64"/>
      <c r="G202" s="58"/>
      <c r="H202" s="58"/>
      <c r="I202" s="58"/>
      <c r="J202" s="58"/>
      <c r="K202" s="58"/>
      <c r="L202" s="57"/>
      <c r="M202" s="57"/>
      <c r="N202" s="57"/>
      <c r="O202" s="57"/>
      <c r="P202" s="57"/>
      <c r="R202" s="56"/>
      <c r="S202" s="56"/>
      <c r="T202" s="56"/>
      <c r="U202" s="56"/>
      <c r="V202" s="56"/>
      <c r="W202" s="56"/>
      <c r="X202" s="56"/>
      <c r="Y202" s="56"/>
      <c r="Z202" s="55"/>
      <c r="AA202" s="54"/>
      <c r="AB202" s="53"/>
      <c r="AC202" s="34"/>
      <c r="AD202" s="66"/>
    </row>
    <row r="203" spans="1:30">
      <c r="A203" s="45"/>
      <c r="B203" s="62"/>
      <c r="C203" s="79"/>
      <c r="D203" s="78"/>
      <c r="E203" s="64"/>
      <c r="G203" s="58"/>
      <c r="H203" s="58"/>
      <c r="I203" s="58"/>
      <c r="J203" s="58"/>
      <c r="K203" s="58"/>
      <c r="L203" s="57"/>
      <c r="M203" s="57"/>
      <c r="N203" s="57"/>
      <c r="O203" s="57"/>
      <c r="P203" s="57"/>
      <c r="R203" s="56"/>
      <c r="S203" s="56"/>
      <c r="T203" s="56"/>
      <c r="U203" s="56"/>
      <c r="V203" s="56"/>
      <c r="W203" s="56"/>
      <c r="X203" s="56"/>
      <c r="Y203" s="56"/>
      <c r="Z203" s="55"/>
      <c r="AA203" s="54"/>
      <c r="AB203" s="53"/>
      <c r="AC203" s="34"/>
      <c r="AD203" s="66"/>
    </row>
    <row r="204" spans="1:30">
      <c r="A204" s="45"/>
      <c r="B204" s="62"/>
      <c r="C204" s="79"/>
      <c r="D204" s="78"/>
      <c r="E204" s="64"/>
      <c r="G204" s="58"/>
      <c r="H204" s="58"/>
      <c r="I204" s="58"/>
      <c r="J204" s="58"/>
      <c r="K204" s="58"/>
      <c r="L204" s="57"/>
      <c r="M204" s="57"/>
      <c r="N204" s="57"/>
      <c r="O204" s="57"/>
      <c r="P204" s="57"/>
      <c r="R204" s="56"/>
      <c r="S204" s="56"/>
      <c r="T204" s="56"/>
      <c r="U204" s="56"/>
      <c r="V204" s="56"/>
      <c r="W204" s="56"/>
      <c r="X204" s="56"/>
      <c r="Y204" s="56"/>
      <c r="Z204" s="55"/>
      <c r="AA204" s="54"/>
      <c r="AB204" s="53"/>
      <c r="AC204" s="34"/>
      <c r="AD204" s="66"/>
    </row>
    <row r="205" spans="1:30">
      <c r="A205" s="45"/>
      <c r="B205" s="62"/>
      <c r="C205" s="79"/>
      <c r="D205" s="78"/>
      <c r="E205" s="64"/>
      <c r="G205" s="58"/>
      <c r="H205" s="58"/>
      <c r="I205" s="58"/>
      <c r="J205" s="58"/>
      <c r="K205" s="58"/>
      <c r="L205" s="57"/>
      <c r="M205" s="57"/>
      <c r="N205" s="57"/>
      <c r="O205" s="57"/>
      <c r="P205" s="57"/>
      <c r="R205" s="56"/>
      <c r="S205" s="56"/>
      <c r="T205" s="56"/>
      <c r="U205" s="56"/>
      <c r="V205" s="56"/>
      <c r="W205" s="56"/>
      <c r="X205" s="56"/>
      <c r="Y205" s="56"/>
      <c r="Z205" s="55"/>
      <c r="AA205" s="54"/>
      <c r="AB205" s="53"/>
      <c r="AC205" s="34"/>
      <c r="AD205" s="66"/>
    </row>
    <row r="206" spans="1:30">
      <c r="A206" s="45"/>
      <c r="B206" s="62"/>
      <c r="C206" s="79"/>
      <c r="D206" s="78"/>
      <c r="E206" s="64"/>
      <c r="G206" s="58"/>
      <c r="H206" s="58"/>
      <c r="I206" s="58"/>
      <c r="J206" s="58"/>
      <c r="K206" s="58"/>
      <c r="L206" s="57"/>
      <c r="M206" s="57"/>
      <c r="N206" s="57"/>
      <c r="O206" s="57"/>
      <c r="P206" s="57"/>
      <c r="R206" s="56"/>
      <c r="S206" s="56"/>
      <c r="T206" s="56"/>
      <c r="U206" s="56"/>
      <c r="V206" s="56"/>
      <c r="W206" s="56"/>
      <c r="X206" s="56"/>
      <c r="Y206" s="56"/>
      <c r="Z206" s="55"/>
      <c r="AA206" s="54"/>
      <c r="AB206" s="53"/>
      <c r="AC206" s="34"/>
      <c r="AD206" s="66"/>
    </row>
    <row r="207" spans="1:30">
      <c r="A207" s="45"/>
      <c r="B207" s="62"/>
      <c r="C207" s="79"/>
      <c r="D207" s="78"/>
      <c r="E207" s="64"/>
      <c r="G207" s="58"/>
      <c r="H207" s="58"/>
      <c r="I207" s="58"/>
      <c r="J207" s="58"/>
      <c r="K207" s="58"/>
      <c r="L207" s="57"/>
      <c r="M207" s="57"/>
      <c r="N207" s="57"/>
      <c r="O207" s="57"/>
      <c r="P207" s="57"/>
      <c r="R207" s="56"/>
      <c r="S207" s="56"/>
      <c r="T207" s="56"/>
      <c r="U207" s="56"/>
      <c r="V207" s="56"/>
      <c r="W207" s="56"/>
      <c r="X207" s="56"/>
      <c r="Y207" s="56"/>
      <c r="Z207" s="55"/>
      <c r="AA207" s="54"/>
      <c r="AB207" s="53"/>
      <c r="AC207" s="34"/>
      <c r="AD207" s="66"/>
    </row>
    <row r="208" spans="1:30">
      <c r="A208" s="45"/>
      <c r="B208" s="62"/>
      <c r="C208" s="79"/>
      <c r="D208" s="78"/>
      <c r="E208" s="64"/>
      <c r="G208" s="58"/>
      <c r="H208" s="58"/>
      <c r="I208" s="58"/>
      <c r="J208" s="58"/>
      <c r="K208" s="58"/>
      <c r="L208" s="57"/>
      <c r="M208" s="57"/>
      <c r="N208" s="57"/>
      <c r="O208" s="57"/>
      <c r="P208" s="57"/>
      <c r="R208" s="56"/>
      <c r="S208" s="56"/>
      <c r="T208" s="56"/>
      <c r="U208" s="56"/>
      <c r="V208" s="56"/>
      <c r="W208" s="56"/>
      <c r="X208" s="56"/>
      <c r="Y208" s="56"/>
      <c r="Z208" s="55"/>
      <c r="AA208" s="54"/>
      <c r="AB208" s="53"/>
      <c r="AC208" s="34"/>
      <c r="AD208" s="66"/>
    </row>
    <row r="209" spans="1:30">
      <c r="A209" s="45"/>
      <c r="B209" s="62"/>
      <c r="C209" s="79"/>
      <c r="D209" s="78"/>
      <c r="E209" s="64"/>
      <c r="G209" s="58"/>
      <c r="H209" s="58"/>
      <c r="I209" s="58"/>
      <c r="J209" s="58"/>
      <c r="K209" s="58"/>
      <c r="L209" s="57"/>
      <c r="M209" s="57"/>
      <c r="N209" s="57"/>
      <c r="O209" s="57"/>
      <c r="P209" s="57"/>
      <c r="R209" s="56"/>
      <c r="S209" s="56"/>
      <c r="T209" s="56"/>
      <c r="U209" s="56"/>
      <c r="V209" s="56"/>
      <c r="W209" s="56"/>
      <c r="X209" s="56"/>
      <c r="Y209" s="56"/>
      <c r="Z209" s="55"/>
      <c r="AA209" s="54"/>
      <c r="AB209" s="53"/>
      <c r="AC209" s="34"/>
      <c r="AD209" s="66"/>
    </row>
    <row r="210" spans="1:30">
      <c r="A210" s="45"/>
      <c r="B210" s="62"/>
      <c r="C210" s="79"/>
      <c r="D210" s="78"/>
      <c r="E210" s="64"/>
      <c r="G210" s="58"/>
      <c r="H210" s="58"/>
      <c r="I210" s="58"/>
      <c r="J210" s="58"/>
      <c r="K210" s="58"/>
      <c r="L210" s="57"/>
      <c r="M210" s="57"/>
      <c r="N210" s="57"/>
      <c r="O210" s="57"/>
      <c r="P210" s="57"/>
      <c r="R210" s="56"/>
      <c r="S210" s="56"/>
      <c r="T210" s="56"/>
      <c r="U210" s="56"/>
      <c r="V210" s="56"/>
      <c r="W210" s="56"/>
      <c r="X210" s="56"/>
      <c r="Y210" s="56"/>
      <c r="Z210" s="55"/>
      <c r="AA210" s="54"/>
      <c r="AB210" s="53"/>
      <c r="AC210" s="34"/>
      <c r="AD210" s="66"/>
    </row>
    <row r="211" spans="1:30">
      <c r="A211" s="45"/>
      <c r="B211" s="62"/>
      <c r="C211" s="79"/>
      <c r="D211" s="78"/>
      <c r="E211" s="64"/>
      <c r="G211" s="58"/>
      <c r="H211" s="58"/>
      <c r="I211" s="58"/>
      <c r="J211" s="58"/>
      <c r="K211" s="58"/>
      <c r="L211" s="57"/>
      <c r="M211" s="57"/>
      <c r="N211" s="57"/>
      <c r="O211" s="57"/>
      <c r="P211" s="57"/>
      <c r="R211" s="56"/>
      <c r="S211" s="56"/>
      <c r="T211" s="56"/>
      <c r="U211" s="56"/>
      <c r="V211" s="56"/>
      <c r="W211" s="56"/>
      <c r="X211" s="56"/>
      <c r="Y211" s="56"/>
      <c r="Z211" s="55"/>
      <c r="AA211" s="54"/>
      <c r="AB211" s="53"/>
      <c r="AC211" s="34"/>
      <c r="AD211" s="66"/>
    </row>
    <row r="212" spans="1:30">
      <c r="A212" s="45"/>
      <c r="B212" s="62"/>
      <c r="C212" s="79"/>
      <c r="D212" s="78"/>
      <c r="E212" s="64"/>
      <c r="G212" s="58"/>
      <c r="H212" s="58"/>
      <c r="I212" s="58"/>
      <c r="J212" s="58"/>
      <c r="K212" s="58"/>
      <c r="L212" s="57"/>
      <c r="M212" s="57"/>
      <c r="N212" s="57"/>
      <c r="O212" s="57"/>
      <c r="P212" s="57"/>
      <c r="R212" s="56"/>
      <c r="S212" s="56"/>
      <c r="T212" s="56"/>
      <c r="U212" s="56"/>
      <c r="V212" s="56"/>
      <c r="W212" s="56"/>
      <c r="X212" s="56"/>
      <c r="Y212" s="56"/>
      <c r="Z212" s="55"/>
      <c r="AA212" s="54"/>
      <c r="AB212" s="53"/>
      <c r="AC212" s="34"/>
      <c r="AD212" s="66"/>
    </row>
    <row r="213" spans="1:30">
      <c r="A213" s="70"/>
      <c r="B213" s="62"/>
      <c r="C213" s="79"/>
      <c r="D213" s="78"/>
      <c r="E213" s="64"/>
      <c r="G213" s="58"/>
      <c r="H213" s="58"/>
      <c r="I213" s="58"/>
      <c r="J213" s="58"/>
      <c r="K213" s="58"/>
      <c r="L213" s="57"/>
      <c r="M213" s="57"/>
      <c r="N213" s="57"/>
      <c r="O213" s="57"/>
      <c r="P213" s="57"/>
      <c r="R213" s="56"/>
      <c r="S213" s="56"/>
      <c r="T213" s="56"/>
      <c r="U213" s="56"/>
      <c r="V213" s="56"/>
      <c r="W213" s="56"/>
      <c r="X213" s="56"/>
      <c r="Y213" s="56"/>
      <c r="Z213" s="55"/>
      <c r="AA213" s="54"/>
      <c r="AB213" s="53"/>
      <c r="AC213" s="34"/>
      <c r="AD213" s="66"/>
    </row>
    <row r="214" spans="1:30">
      <c r="A214" s="70"/>
      <c r="B214" s="62"/>
      <c r="C214" s="79"/>
      <c r="D214" s="78"/>
      <c r="E214" s="64"/>
      <c r="G214" s="58"/>
      <c r="H214" s="58"/>
      <c r="I214" s="58"/>
      <c r="J214" s="58"/>
      <c r="K214" s="58"/>
      <c r="L214" s="57"/>
      <c r="M214" s="57"/>
      <c r="N214" s="57"/>
      <c r="O214" s="57"/>
      <c r="P214" s="57"/>
      <c r="R214" s="56"/>
      <c r="S214" s="56"/>
      <c r="T214" s="56"/>
      <c r="U214" s="56"/>
      <c r="V214" s="56"/>
      <c r="W214" s="56"/>
      <c r="X214" s="56"/>
      <c r="Y214" s="56"/>
      <c r="Z214" s="55"/>
      <c r="AA214" s="54"/>
      <c r="AB214" s="53"/>
      <c r="AC214" s="34"/>
      <c r="AD214" s="66"/>
    </row>
    <row r="215" spans="1:30">
      <c r="A215" s="70"/>
      <c r="B215" s="62"/>
      <c r="C215" s="79"/>
      <c r="D215" s="78"/>
      <c r="E215" s="64"/>
      <c r="G215" s="58"/>
      <c r="H215" s="58"/>
      <c r="I215" s="58"/>
      <c r="J215" s="58"/>
      <c r="K215" s="58"/>
      <c r="L215" s="57"/>
      <c r="M215" s="57"/>
      <c r="N215" s="57"/>
      <c r="O215" s="57"/>
      <c r="P215" s="57"/>
      <c r="R215" s="56"/>
      <c r="S215" s="56"/>
      <c r="T215" s="56"/>
      <c r="U215" s="56"/>
      <c r="V215" s="56"/>
      <c r="W215" s="56"/>
      <c r="X215" s="56"/>
      <c r="Y215" s="56"/>
      <c r="Z215" s="55"/>
      <c r="AA215" s="54"/>
      <c r="AB215" s="53"/>
      <c r="AC215" s="34"/>
      <c r="AD215" s="66"/>
    </row>
    <row r="216" spans="1:30">
      <c r="A216" s="70"/>
      <c r="B216" s="62"/>
      <c r="C216" s="79"/>
      <c r="D216" s="78"/>
      <c r="E216" s="64"/>
      <c r="G216" s="58"/>
      <c r="H216" s="58"/>
      <c r="I216" s="58"/>
      <c r="J216" s="58"/>
      <c r="K216" s="58"/>
      <c r="L216" s="57"/>
      <c r="M216" s="57"/>
      <c r="N216" s="57"/>
      <c r="O216" s="57"/>
      <c r="P216" s="57"/>
      <c r="R216" s="56"/>
      <c r="S216" s="56"/>
      <c r="T216" s="56"/>
      <c r="U216" s="56"/>
      <c r="V216" s="56"/>
      <c r="W216" s="56"/>
      <c r="X216" s="56"/>
      <c r="Y216" s="56"/>
      <c r="Z216" s="55"/>
      <c r="AA216" s="54"/>
      <c r="AB216" s="53"/>
      <c r="AC216" s="34"/>
      <c r="AD216" s="66"/>
    </row>
    <row r="217" spans="1:30">
      <c r="A217" s="70"/>
      <c r="B217" s="62"/>
      <c r="C217" s="79"/>
      <c r="D217" s="78"/>
      <c r="E217" s="64"/>
      <c r="G217" s="58"/>
      <c r="H217" s="58"/>
      <c r="I217" s="58"/>
      <c r="J217" s="58"/>
      <c r="K217" s="58"/>
      <c r="L217" s="57"/>
      <c r="M217" s="57"/>
      <c r="N217" s="57"/>
      <c r="O217" s="57"/>
      <c r="P217" s="57"/>
      <c r="R217" s="56"/>
      <c r="S217" s="56"/>
      <c r="T217" s="56"/>
      <c r="U217" s="56"/>
      <c r="V217" s="56"/>
      <c r="W217" s="56"/>
      <c r="X217" s="56"/>
      <c r="Y217" s="56"/>
      <c r="Z217" s="55"/>
      <c r="AA217" s="54"/>
      <c r="AB217" s="53"/>
      <c r="AC217" s="34"/>
      <c r="AD217" s="66"/>
    </row>
    <row r="218" spans="1:30">
      <c r="A218" s="70"/>
      <c r="B218" s="62"/>
      <c r="C218" s="79"/>
      <c r="D218" s="78"/>
      <c r="E218" s="64"/>
      <c r="G218" s="58"/>
      <c r="H218" s="58"/>
      <c r="I218" s="58"/>
      <c r="J218" s="58"/>
      <c r="K218" s="58"/>
      <c r="L218" s="57"/>
      <c r="M218" s="57"/>
      <c r="N218" s="57"/>
      <c r="O218" s="57"/>
      <c r="P218" s="57"/>
      <c r="R218" s="56"/>
      <c r="S218" s="56"/>
      <c r="T218" s="56"/>
      <c r="U218" s="56"/>
      <c r="V218" s="56"/>
      <c r="W218" s="56"/>
      <c r="X218" s="56"/>
      <c r="Y218" s="56"/>
      <c r="Z218" s="55"/>
      <c r="AA218" s="54"/>
      <c r="AB218" s="53"/>
      <c r="AC218" s="34"/>
      <c r="AD218" s="66"/>
    </row>
    <row r="219" spans="1:30">
      <c r="A219" s="70"/>
      <c r="B219" s="62"/>
      <c r="C219" s="79"/>
      <c r="D219" s="78"/>
      <c r="E219" s="64"/>
      <c r="G219" s="58"/>
      <c r="H219" s="58"/>
      <c r="I219" s="58"/>
      <c r="J219" s="58"/>
      <c r="K219" s="58"/>
      <c r="L219" s="57"/>
      <c r="M219" s="57"/>
      <c r="N219" s="57"/>
      <c r="O219" s="57"/>
      <c r="P219" s="57"/>
      <c r="R219" s="56"/>
      <c r="S219" s="56"/>
      <c r="T219" s="56"/>
      <c r="U219" s="56"/>
      <c r="V219" s="56"/>
      <c r="W219" s="56"/>
      <c r="X219" s="56"/>
      <c r="Y219" s="56"/>
      <c r="Z219" s="55"/>
      <c r="AA219" s="54"/>
      <c r="AB219" s="53"/>
      <c r="AC219" s="34"/>
      <c r="AD219" s="66"/>
    </row>
    <row r="220" spans="1:30">
      <c r="A220" s="70"/>
      <c r="B220" s="62"/>
      <c r="C220" s="79"/>
      <c r="D220" s="78"/>
      <c r="E220" s="64"/>
      <c r="G220" s="58"/>
      <c r="H220" s="58"/>
      <c r="I220" s="58"/>
      <c r="J220" s="58"/>
      <c r="K220" s="58"/>
      <c r="L220" s="57"/>
      <c r="M220" s="57"/>
      <c r="N220" s="57"/>
      <c r="O220" s="57"/>
      <c r="P220" s="57"/>
      <c r="R220" s="56"/>
      <c r="S220" s="56"/>
      <c r="T220" s="56"/>
      <c r="U220" s="56"/>
      <c r="V220" s="56"/>
      <c r="W220" s="56"/>
      <c r="X220" s="56"/>
      <c r="Y220" s="56"/>
      <c r="Z220" s="55"/>
      <c r="AA220" s="54"/>
      <c r="AB220" s="53"/>
      <c r="AC220" s="34"/>
      <c r="AD220" s="66"/>
    </row>
    <row r="221" spans="1:30">
      <c r="A221" s="70"/>
      <c r="B221" s="62"/>
      <c r="C221" s="79"/>
      <c r="D221" s="78"/>
      <c r="E221" s="64"/>
      <c r="G221" s="58"/>
      <c r="H221" s="58"/>
      <c r="I221" s="58"/>
      <c r="J221" s="58"/>
      <c r="K221" s="58"/>
      <c r="L221" s="57"/>
      <c r="M221" s="57"/>
      <c r="N221" s="57"/>
      <c r="O221" s="57"/>
      <c r="P221" s="57"/>
      <c r="R221" s="56"/>
      <c r="S221" s="56"/>
      <c r="T221" s="56"/>
      <c r="U221" s="56"/>
      <c r="V221" s="56"/>
      <c r="W221" s="56"/>
      <c r="X221" s="56"/>
      <c r="Y221" s="56"/>
      <c r="Z221" s="55"/>
      <c r="AA221" s="54"/>
      <c r="AB221" s="53"/>
      <c r="AC221" s="34"/>
      <c r="AD221" s="66"/>
    </row>
    <row r="222" spans="1:30">
      <c r="A222" s="70"/>
      <c r="B222" s="62"/>
      <c r="C222" s="79"/>
      <c r="D222" s="78"/>
      <c r="E222" s="64"/>
      <c r="G222" s="58"/>
      <c r="H222" s="58"/>
      <c r="I222" s="58"/>
      <c r="J222" s="58"/>
      <c r="K222" s="58"/>
      <c r="L222" s="57"/>
      <c r="M222" s="57"/>
      <c r="N222" s="57"/>
      <c r="O222" s="57"/>
      <c r="P222" s="57"/>
      <c r="R222" s="56"/>
      <c r="S222" s="56"/>
      <c r="T222" s="56"/>
      <c r="U222" s="56"/>
      <c r="V222" s="56"/>
      <c r="W222" s="56"/>
      <c r="X222" s="56"/>
      <c r="Y222" s="56"/>
      <c r="Z222" s="55"/>
      <c r="AA222" s="54"/>
      <c r="AB222" s="53"/>
      <c r="AC222" s="34"/>
      <c r="AD222" s="66"/>
    </row>
    <row r="223" spans="1:30">
      <c r="A223" s="70"/>
      <c r="B223" s="62"/>
      <c r="C223" s="79"/>
      <c r="D223" s="78"/>
      <c r="E223" s="64"/>
      <c r="G223" s="58"/>
      <c r="H223" s="58"/>
      <c r="I223" s="58"/>
      <c r="J223" s="58"/>
      <c r="K223" s="58"/>
      <c r="L223" s="57"/>
      <c r="M223" s="57"/>
      <c r="N223" s="57"/>
      <c r="O223" s="57"/>
      <c r="P223" s="57"/>
      <c r="R223" s="56"/>
      <c r="S223" s="56"/>
      <c r="T223" s="56"/>
      <c r="U223" s="56"/>
      <c r="V223" s="56"/>
      <c r="W223" s="56"/>
      <c r="X223" s="56"/>
      <c r="Y223" s="56"/>
      <c r="Z223" s="55"/>
      <c r="AA223" s="54"/>
      <c r="AB223" s="53"/>
      <c r="AC223" s="34"/>
      <c r="AD223" s="66"/>
    </row>
    <row r="224" spans="1:30">
      <c r="A224" s="70"/>
      <c r="B224" s="62"/>
      <c r="C224" s="79"/>
      <c r="D224" s="78"/>
      <c r="E224" s="64"/>
      <c r="G224" s="58"/>
      <c r="H224" s="58"/>
      <c r="I224" s="58"/>
      <c r="J224" s="58"/>
      <c r="K224" s="58"/>
      <c r="L224" s="57"/>
      <c r="M224" s="57"/>
      <c r="N224" s="57"/>
      <c r="O224" s="57"/>
      <c r="P224" s="57"/>
      <c r="R224" s="56"/>
      <c r="S224" s="56"/>
      <c r="T224" s="56"/>
      <c r="U224" s="56"/>
      <c r="V224" s="56"/>
      <c r="W224" s="56"/>
      <c r="X224" s="56"/>
      <c r="Y224" s="56"/>
      <c r="Z224" s="55"/>
      <c r="AA224" s="54"/>
      <c r="AB224" s="53"/>
      <c r="AC224" s="34"/>
      <c r="AD224" s="66"/>
    </row>
    <row r="225" spans="1:30">
      <c r="A225" s="70"/>
      <c r="B225" s="62"/>
      <c r="C225" s="79"/>
      <c r="D225" s="78"/>
      <c r="E225" s="64"/>
      <c r="G225" s="58"/>
      <c r="H225" s="58"/>
      <c r="I225" s="58"/>
      <c r="J225" s="58"/>
      <c r="K225" s="58"/>
      <c r="L225" s="57"/>
      <c r="M225" s="57"/>
      <c r="N225" s="57"/>
      <c r="O225" s="57"/>
      <c r="P225" s="57"/>
      <c r="R225" s="56"/>
      <c r="S225" s="56"/>
      <c r="T225" s="56"/>
      <c r="U225" s="56"/>
      <c r="V225" s="56"/>
      <c r="W225" s="56"/>
      <c r="X225" s="56"/>
      <c r="Y225" s="56"/>
      <c r="Z225" s="55"/>
      <c r="AA225" s="54"/>
      <c r="AB225" s="53"/>
      <c r="AC225" s="34"/>
      <c r="AD225" s="66"/>
    </row>
    <row r="226" spans="1:30">
      <c r="A226" s="70"/>
      <c r="B226" s="62"/>
      <c r="C226" s="79"/>
      <c r="D226" s="78"/>
      <c r="E226" s="64"/>
      <c r="G226" s="58"/>
      <c r="H226" s="58"/>
      <c r="I226" s="58"/>
      <c r="J226" s="58"/>
      <c r="K226" s="58"/>
      <c r="L226" s="57"/>
      <c r="M226" s="57"/>
      <c r="N226" s="57"/>
      <c r="O226" s="57"/>
      <c r="P226" s="57"/>
      <c r="R226" s="56"/>
      <c r="S226" s="56"/>
      <c r="T226" s="56"/>
      <c r="U226" s="56"/>
      <c r="V226" s="56"/>
      <c r="W226" s="56"/>
      <c r="X226" s="56"/>
      <c r="Y226" s="56"/>
      <c r="Z226" s="55"/>
      <c r="AA226" s="54"/>
      <c r="AB226" s="53"/>
      <c r="AC226" s="34"/>
      <c r="AD226" s="66"/>
    </row>
    <row r="227" spans="1:30">
      <c r="A227" s="70"/>
      <c r="B227" s="62"/>
      <c r="C227" s="79"/>
      <c r="D227" s="78"/>
      <c r="E227" s="64"/>
      <c r="G227" s="58"/>
      <c r="H227" s="58"/>
      <c r="I227" s="58"/>
      <c r="J227" s="58"/>
      <c r="K227" s="58"/>
      <c r="L227" s="57"/>
      <c r="M227" s="57"/>
      <c r="N227" s="57"/>
      <c r="O227" s="57"/>
      <c r="P227" s="57"/>
      <c r="R227" s="56"/>
      <c r="S227" s="56"/>
      <c r="T227" s="56"/>
      <c r="U227" s="56"/>
      <c r="V227" s="56"/>
      <c r="W227" s="56"/>
      <c r="X227" s="56"/>
      <c r="Y227" s="56"/>
      <c r="Z227" s="55"/>
      <c r="AA227" s="54"/>
      <c r="AB227" s="53"/>
      <c r="AC227" s="34"/>
      <c r="AD227" s="66"/>
    </row>
    <row r="228" spans="1:30">
      <c r="A228" s="70"/>
      <c r="B228" s="62"/>
      <c r="C228" s="79"/>
      <c r="D228" s="78"/>
      <c r="E228" s="64"/>
      <c r="G228" s="58"/>
      <c r="H228" s="58"/>
      <c r="I228" s="58"/>
      <c r="J228" s="58"/>
      <c r="K228" s="58"/>
      <c r="L228" s="57"/>
      <c r="M228" s="57"/>
      <c r="N228" s="57"/>
      <c r="O228" s="57"/>
      <c r="P228" s="57"/>
      <c r="R228" s="56"/>
      <c r="S228" s="56"/>
      <c r="T228" s="56"/>
      <c r="U228" s="56"/>
      <c r="V228" s="56"/>
      <c r="W228" s="56"/>
      <c r="X228" s="56"/>
      <c r="Y228" s="56"/>
      <c r="Z228" s="55"/>
      <c r="AA228" s="54"/>
      <c r="AB228" s="53"/>
      <c r="AC228" s="34"/>
      <c r="AD228" s="66"/>
    </row>
    <row r="229" spans="1:30">
      <c r="A229" s="70"/>
      <c r="B229" s="62"/>
      <c r="C229" s="79"/>
      <c r="D229" s="78"/>
      <c r="E229" s="64"/>
      <c r="G229" s="58"/>
      <c r="H229" s="58"/>
      <c r="I229" s="58"/>
      <c r="J229" s="58"/>
      <c r="K229" s="58"/>
      <c r="L229" s="57"/>
      <c r="M229" s="57"/>
      <c r="N229" s="57"/>
      <c r="O229" s="57"/>
      <c r="P229" s="57"/>
      <c r="R229" s="56"/>
      <c r="S229" s="56"/>
      <c r="T229" s="56"/>
      <c r="U229" s="56"/>
      <c r="V229" s="56"/>
      <c r="W229" s="56"/>
      <c r="X229" s="56"/>
      <c r="Y229" s="56"/>
      <c r="Z229" s="55"/>
      <c r="AA229" s="54"/>
      <c r="AB229" s="53"/>
      <c r="AC229" s="34"/>
      <c r="AD229" s="66"/>
    </row>
    <row r="230" spans="1:30">
      <c r="A230" s="70"/>
      <c r="B230" s="62"/>
      <c r="C230" s="79"/>
      <c r="D230" s="78"/>
      <c r="E230" s="64"/>
      <c r="G230" s="58"/>
      <c r="H230" s="58"/>
      <c r="I230" s="58"/>
      <c r="J230" s="58"/>
      <c r="K230" s="58"/>
      <c r="L230" s="57"/>
      <c r="M230" s="57"/>
      <c r="N230" s="57"/>
      <c r="O230" s="57"/>
      <c r="P230" s="57"/>
      <c r="R230" s="56"/>
      <c r="S230" s="56"/>
      <c r="T230" s="56"/>
      <c r="U230" s="56"/>
      <c r="V230" s="56"/>
      <c r="W230" s="56"/>
      <c r="X230" s="56"/>
      <c r="Y230" s="56"/>
      <c r="Z230" s="55"/>
      <c r="AA230" s="54"/>
      <c r="AB230" s="53"/>
      <c r="AC230" s="34"/>
      <c r="AD230" s="66"/>
    </row>
    <row r="231" spans="1:30">
      <c r="A231" s="70"/>
      <c r="B231" s="62"/>
      <c r="C231" s="79"/>
      <c r="D231" s="78"/>
      <c r="E231" s="64"/>
      <c r="G231" s="58"/>
      <c r="H231" s="58"/>
      <c r="I231" s="58"/>
      <c r="J231" s="58"/>
      <c r="K231" s="58"/>
      <c r="L231" s="57"/>
      <c r="M231" s="57"/>
      <c r="N231" s="57"/>
      <c r="O231" s="57"/>
      <c r="P231" s="57"/>
      <c r="R231" s="56"/>
      <c r="S231" s="56"/>
      <c r="T231" s="56"/>
      <c r="U231" s="56"/>
      <c r="V231" s="56"/>
      <c r="W231" s="56"/>
      <c r="X231" s="56"/>
      <c r="Y231" s="56"/>
      <c r="Z231" s="55"/>
      <c r="AA231" s="54"/>
      <c r="AB231" s="53"/>
      <c r="AC231" s="34"/>
      <c r="AD231" s="66"/>
    </row>
    <row r="232" spans="1:30">
      <c r="A232" s="70"/>
      <c r="B232" s="62"/>
      <c r="C232" s="79"/>
      <c r="D232" s="78"/>
      <c r="E232" s="64"/>
      <c r="G232" s="58"/>
      <c r="H232" s="58"/>
      <c r="I232" s="58"/>
      <c r="J232" s="58"/>
      <c r="K232" s="58"/>
      <c r="L232" s="57"/>
      <c r="M232" s="57"/>
      <c r="N232" s="57"/>
      <c r="O232" s="57"/>
      <c r="P232" s="57"/>
      <c r="R232" s="56"/>
      <c r="S232" s="56"/>
      <c r="T232" s="56"/>
      <c r="U232" s="56"/>
      <c r="V232" s="56"/>
      <c r="W232" s="56"/>
      <c r="X232" s="56"/>
      <c r="Y232" s="56"/>
      <c r="Z232" s="55"/>
      <c r="AA232" s="54"/>
      <c r="AB232" s="53"/>
      <c r="AC232" s="34"/>
      <c r="AD232" s="66"/>
    </row>
    <row r="233" spans="1:30">
      <c r="A233" s="70"/>
      <c r="B233" s="62"/>
      <c r="C233" s="79"/>
      <c r="D233" s="78"/>
      <c r="E233" s="64"/>
      <c r="G233" s="58"/>
      <c r="H233" s="58"/>
      <c r="I233" s="58"/>
      <c r="J233" s="58"/>
      <c r="K233" s="58"/>
      <c r="L233" s="57"/>
      <c r="M233" s="57"/>
      <c r="N233" s="57"/>
      <c r="O233" s="57"/>
      <c r="P233" s="57"/>
      <c r="R233" s="56"/>
      <c r="S233" s="56"/>
      <c r="T233" s="56"/>
      <c r="U233" s="56"/>
      <c r="V233" s="56"/>
      <c r="W233" s="56"/>
      <c r="X233" s="56"/>
      <c r="Y233" s="56"/>
      <c r="Z233" s="55"/>
      <c r="AA233" s="54"/>
      <c r="AB233" s="53"/>
      <c r="AC233" s="34"/>
      <c r="AD233" s="66"/>
    </row>
    <row r="234" spans="1:30">
      <c r="A234" s="70"/>
      <c r="B234" s="62"/>
      <c r="C234" s="79"/>
      <c r="D234" s="78"/>
      <c r="E234" s="64"/>
      <c r="G234" s="58"/>
      <c r="H234" s="58"/>
      <c r="I234" s="58"/>
      <c r="J234" s="58"/>
      <c r="K234" s="58"/>
      <c r="L234" s="57"/>
      <c r="M234" s="57"/>
      <c r="N234" s="57"/>
      <c r="O234" s="57"/>
      <c r="P234" s="57"/>
      <c r="R234" s="56"/>
      <c r="S234" s="56"/>
      <c r="T234" s="56"/>
      <c r="U234" s="56"/>
      <c r="V234" s="56"/>
      <c r="W234" s="56"/>
      <c r="X234" s="56"/>
      <c r="Y234" s="56"/>
      <c r="Z234" s="55"/>
      <c r="AA234" s="54"/>
      <c r="AB234" s="53"/>
      <c r="AC234" s="34"/>
      <c r="AD234" s="66"/>
    </row>
    <row r="235" spans="1:30">
      <c r="A235" s="70"/>
      <c r="B235" s="62"/>
      <c r="C235" s="79"/>
      <c r="D235" s="78"/>
      <c r="E235" s="64"/>
      <c r="G235" s="58"/>
      <c r="H235" s="58"/>
      <c r="I235" s="58"/>
      <c r="J235" s="58"/>
      <c r="K235" s="58"/>
      <c r="L235" s="57"/>
      <c r="M235" s="57"/>
      <c r="N235" s="57"/>
      <c r="O235" s="57"/>
      <c r="P235" s="57"/>
      <c r="R235" s="56"/>
      <c r="S235" s="56"/>
      <c r="T235" s="56"/>
      <c r="U235" s="56"/>
      <c r="V235" s="56"/>
      <c r="W235" s="56"/>
      <c r="X235" s="56"/>
      <c r="Y235" s="56"/>
      <c r="Z235" s="55"/>
      <c r="AA235" s="54"/>
      <c r="AB235" s="53"/>
      <c r="AC235" s="34"/>
      <c r="AD235" s="66"/>
    </row>
    <row r="236" spans="1:30">
      <c r="A236" s="70"/>
      <c r="B236" s="62"/>
      <c r="C236" s="79"/>
      <c r="D236" s="78"/>
      <c r="E236" s="64"/>
      <c r="G236" s="58"/>
      <c r="H236" s="58"/>
      <c r="I236" s="58"/>
      <c r="J236" s="58"/>
      <c r="K236" s="58"/>
      <c r="L236" s="57"/>
      <c r="M236" s="57"/>
      <c r="N236" s="57"/>
      <c r="O236" s="57"/>
      <c r="P236" s="57"/>
      <c r="R236" s="56"/>
      <c r="S236" s="56"/>
      <c r="T236" s="56"/>
      <c r="U236" s="56"/>
      <c r="V236" s="56"/>
      <c r="W236" s="56"/>
      <c r="X236" s="56"/>
      <c r="Y236" s="56"/>
      <c r="Z236" s="55"/>
      <c r="AA236" s="54"/>
      <c r="AB236" s="53"/>
      <c r="AC236" s="34"/>
      <c r="AD236" s="66"/>
    </row>
    <row r="237" spans="1:30">
      <c r="A237" s="70"/>
      <c r="B237" s="62"/>
      <c r="C237" s="79"/>
      <c r="D237" s="78"/>
      <c r="E237" s="64"/>
      <c r="G237" s="58"/>
      <c r="H237" s="58"/>
      <c r="I237" s="58"/>
      <c r="J237" s="58"/>
      <c r="K237" s="58"/>
      <c r="L237" s="57"/>
      <c r="M237" s="57"/>
      <c r="N237" s="57"/>
      <c r="O237" s="57"/>
      <c r="P237" s="57"/>
      <c r="R237" s="56"/>
      <c r="S237" s="56"/>
      <c r="T237" s="56"/>
      <c r="U237" s="56"/>
      <c r="V237" s="56"/>
      <c r="W237" s="56"/>
      <c r="X237" s="56"/>
      <c r="Y237" s="56"/>
      <c r="Z237" s="55"/>
      <c r="AA237" s="54"/>
      <c r="AB237" s="53"/>
      <c r="AC237" s="34"/>
      <c r="AD237" s="66"/>
    </row>
    <row r="238" spans="1:30">
      <c r="A238" s="70"/>
      <c r="B238" s="62"/>
      <c r="C238" s="79"/>
      <c r="D238" s="78"/>
      <c r="E238" s="64"/>
      <c r="G238" s="58"/>
      <c r="H238" s="58"/>
      <c r="I238" s="58"/>
      <c r="J238" s="58"/>
      <c r="K238" s="58"/>
      <c r="L238" s="57"/>
      <c r="M238" s="57"/>
      <c r="N238" s="57"/>
      <c r="O238" s="57"/>
      <c r="P238" s="57"/>
      <c r="R238" s="56"/>
      <c r="S238" s="56"/>
      <c r="T238" s="56"/>
      <c r="U238" s="56"/>
      <c r="V238" s="56"/>
      <c r="W238" s="56"/>
      <c r="X238" s="56"/>
      <c r="Y238" s="56"/>
      <c r="Z238" s="55"/>
      <c r="AA238" s="54"/>
      <c r="AB238" s="53"/>
      <c r="AC238" s="34"/>
      <c r="AD238" s="66"/>
    </row>
    <row r="239" spans="1:30">
      <c r="A239" s="70"/>
      <c r="B239" s="62"/>
      <c r="C239" s="79"/>
      <c r="D239" s="78"/>
      <c r="E239" s="64"/>
      <c r="G239" s="58"/>
      <c r="H239" s="58"/>
      <c r="I239" s="58"/>
      <c r="J239" s="58"/>
      <c r="K239" s="58"/>
      <c r="L239" s="57"/>
      <c r="M239" s="57"/>
      <c r="N239" s="57"/>
      <c r="O239" s="57"/>
      <c r="P239" s="57"/>
      <c r="R239" s="56"/>
      <c r="S239" s="56"/>
      <c r="T239" s="56"/>
      <c r="U239" s="56"/>
      <c r="V239" s="56"/>
      <c r="W239" s="56"/>
      <c r="X239" s="56"/>
      <c r="Y239" s="56"/>
      <c r="Z239" s="55"/>
      <c r="AA239" s="54"/>
      <c r="AB239" s="53"/>
      <c r="AC239" s="34"/>
      <c r="AD239" s="66"/>
    </row>
    <row r="240" spans="1:30">
      <c r="A240" s="70"/>
      <c r="B240" s="62"/>
      <c r="C240" s="79"/>
      <c r="D240" s="78"/>
      <c r="E240" s="64"/>
      <c r="G240" s="58"/>
      <c r="H240" s="58"/>
      <c r="I240" s="58"/>
      <c r="J240" s="58"/>
      <c r="K240" s="58"/>
      <c r="L240" s="57"/>
      <c r="M240" s="57"/>
      <c r="N240" s="57"/>
      <c r="O240" s="57"/>
      <c r="P240" s="57"/>
      <c r="R240" s="56"/>
      <c r="S240" s="56"/>
      <c r="T240" s="56"/>
      <c r="U240" s="56"/>
      <c r="V240" s="56"/>
      <c r="W240" s="56"/>
      <c r="X240" s="56"/>
      <c r="Y240" s="56"/>
      <c r="Z240" s="55"/>
      <c r="AA240" s="67"/>
      <c r="AB240" s="53"/>
      <c r="AC240" s="34"/>
      <c r="AD240" s="66"/>
    </row>
    <row r="241" spans="1:30">
      <c r="A241" s="45"/>
      <c r="B241" s="62"/>
      <c r="C241" s="79"/>
      <c r="D241" s="78"/>
      <c r="E241" s="64"/>
      <c r="G241" s="58"/>
      <c r="H241" s="58"/>
      <c r="I241" s="58"/>
      <c r="J241" s="58"/>
      <c r="K241" s="58"/>
      <c r="L241" s="57"/>
      <c r="M241" s="57"/>
      <c r="N241" s="57"/>
      <c r="O241" s="57"/>
      <c r="P241" s="57"/>
      <c r="R241" s="56"/>
      <c r="S241" s="56"/>
      <c r="T241" s="56"/>
      <c r="U241" s="56"/>
      <c r="V241" s="56"/>
      <c r="W241" s="56"/>
      <c r="X241" s="56"/>
      <c r="Y241" s="56"/>
      <c r="Z241" s="55"/>
      <c r="AA241" s="54"/>
      <c r="AB241" s="53"/>
      <c r="AC241" s="34"/>
      <c r="AD241" s="66"/>
    </row>
    <row r="242" spans="1:30">
      <c r="A242" s="70"/>
      <c r="B242" s="62"/>
      <c r="C242" s="79"/>
      <c r="D242" s="78"/>
      <c r="E242" s="64"/>
      <c r="G242" s="58"/>
      <c r="H242" s="58"/>
      <c r="I242" s="58"/>
      <c r="J242" s="58"/>
      <c r="K242" s="58"/>
      <c r="L242" s="57"/>
      <c r="M242" s="57"/>
      <c r="N242" s="57"/>
      <c r="O242" s="57"/>
      <c r="P242" s="57"/>
      <c r="R242" s="56"/>
      <c r="S242" s="56"/>
      <c r="T242" s="56"/>
      <c r="U242" s="56"/>
      <c r="V242" s="56"/>
      <c r="W242" s="56"/>
      <c r="X242" s="56"/>
      <c r="Y242" s="56"/>
      <c r="Z242" s="55"/>
      <c r="AA242" s="54"/>
      <c r="AB242" s="53"/>
      <c r="AC242" s="34"/>
      <c r="AD242" s="66"/>
    </row>
    <row r="243" spans="1:30">
      <c r="A243" s="73"/>
      <c r="B243" s="62"/>
      <c r="C243" s="79"/>
      <c r="D243" s="78"/>
      <c r="E243" s="64"/>
      <c r="G243" s="58"/>
      <c r="H243" s="58"/>
      <c r="I243" s="58"/>
      <c r="J243" s="58"/>
      <c r="K243" s="58"/>
      <c r="L243" s="57"/>
      <c r="M243" s="57"/>
      <c r="N243" s="57"/>
      <c r="O243" s="57"/>
      <c r="P243" s="57"/>
      <c r="R243" s="56"/>
      <c r="S243" s="56"/>
      <c r="T243" s="56"/>
      <c r="U243" s="56"/>
      <c r="V243" s="56"/>
      <c r="W243" s="56"/>
      <c r="X243" s="56"/>
      <c r="Y243" s="56"/>
      <c r="Z243" s="55"/>
      <c r="AA243" s="54"/>
      <c r="AB243" s="53"/>
      <c r="AC243" s="34"/>
      <c r="AD243" s="66"/>
    </row>
    <row r="244" spans="1:30">
      <c r="A244" s="73"/>
      <c r="B244" s="62"/>
      <c r="C244" s="79"/>
      <c r="D244" s="78"/>
      <c r="E244" s="64"/>
      <c r="G244" s="58"/>
      <c r="H244" s="58"/>
      <c r="I244" s="58"/>
      <c r="J244" s="58"/>
      <c r="K244" s="58"/>
      <c r="L244" s="57"/>
      <c r="M244" s="57"/>
      <c r="N244" s="57"/>
      <c r="O244" s="57"/>
      <c r="P244" s="57"/>
      <c r="R244" s="56"/>
      <c r="S244" s="56"/>
      <c r="T244" s="56"/>
      <c r="U244" s="56"/>
      <c r="V244" s="56"/>
      <c r="W244" s="56"/>
      <c r="X244" s="56"/>
      <c r="Y244" s="56"/>
      <c r="Z244" s="55"/>
      <c r="AA244" s="67"/>
      <c r="AB244" s="53"/>
      <c r="AC244" s="34"/>
      <c r="AD244" s="66"/>
    </row>
    <row r="245" spans="1:30">
      <c r="A245" s="73"/>
      <c r="B245" s="62"/>
      <c r="C245" s="79"/>
      <c r="D245" s="78"/>
      <c r="E245" s="64"/>
      <c r="G245" s="58"/>
      <c r="H245" s="58"/>
      <c r="I245" s="58"/>
      <c r="J245" s="58"/>
      <c r="K245" s="58"/>
      <c r="L245" s="57"/>
      <c r="M245" s="57"/>
      <c r="N245" s="57"/>
      <c r="O245" s="57"/>
      <c r="P245" s="57"/>
      <c r="R245" s="56"/>
      <c r="S245" s="56"/>
      <c r="T245" s="56"/>
      <c r="U245" s="56"/>
      <c r="V245" s="56"/>
      <c r="W245" s="56"/>
      <c r="X245" s="56"/>
      <c r="Y245" s="56"/>
      <c r="Z245" s="55"/>
      <c r="AA245" s="54"/>
      <c r="AB245" s="53"/>
      <c r="AC245" s="34"/>
      <c r="AD245" s="66"/>
    </row>
    <row r="246" spans="1:30">
      <c r="A246" s="73"/>
      <c r="B246" s="62"/>
      <c r="C246" s="71"/>
      <c r="D246" s="68"/>
      <c r="E246" s="64"/>
      <c r="G246" s="58"/>
      <c r="H246" s="58"/>
      <c r="I246" s="58"/>
      <c r="J246" s="58"/>
      <c r="K246" s="58"/>
      <c r="L246" s="57"/>
      <c r="M246" s="57"/>
      <c r="N246" s="57"/>
      <c r="O246" s="57"/>
      <c r="P246" s="57"/>
      <c r="R246" s="56"/>
      <c r="S246" s="56"/>
      <c r="T246" s="56"/>
      <c r="U246" s="56"/>
      <c r="V246" s="56"/>
      <c r="W246" s="56"/>
      <c r="X246" s="56"/>
      <c r="Y246" s="56"/>
      <c r="Z246" s="55"/>
      <c r="AA246" s="54"/>
      <c r="AB246" s="53"/>
      <c r="AC246" s="34"/>
      <c r="AD246" s="66"/>
    </row>
    <row r="247" spans="1:30">
      <c r="A247" s="73"/>
      <c r="B247" s="62"/>
      <c r="C247" s="71"/>
      <c r="D247" s="68"/>
      <c r="E247" s="64"/>
      <c r="G247" s="58"/>
      <c r="H247" s="58"/>
      <c r="I247" s="58"/>
      <c r="J247" s="58"/>
      <c r="K247" s="58"/>
      <c r="L247" s="57"/>
      <c r="M247" s="57"/>
      <c r="N247" s="57"/>
      <c r="O247" s="57"/>
      <c r="P247" s="57"/>
      <c r="R247" s="56"/>
      <c r="S247" s="56"/>
      <c r="T247" s="56"/>
      <c r="U247" s="56"/>
      <c r="V247" s="56"/>
      <c r="W247" s="56"/>
      <c r="X247" s="56"/>
      <c r="Y247" s="56"/>
      <c r="Z247" s="55"/>
      <c r="AA247" s="54"/>
      <c r="AB247" s="53"/>
      <c r="AC247" s="34"/>
      <c r="AD247" s="66"/>
    </row>
    <row r="248" spans="1:30">
      <c r="A248" s="73"/>
      <c r="B248" s="62"/>
      <c r="C248" s="71"/>
      <c r="D248" s="68"/>
      <c r="E248" s="64"/>
      <c r="G248" s="58"/>
      <c r="H248" s="58"/>
      <c r="I248" s="58"/>
      <c r="J248" s="58"/>
      <c r="K248" s="58"/>
      <c r="L248" s="57"/>
      <c r="M248" s="57"/>
      <c r="N248" s="57"/>
      <c r="O248" s="57"/>
      <c r="P248" s="57"/>
      <c r="R248" s="56"/>
      <c r="S248" s="56"/>
      <c r="T248" s="56"/>
      <c r="U248" s="56"/>
      <c r="V248" s="56"/>
      <c r="W248" s="56"/>
      <c r="X248" s="56"/>
      <c r="Y248" s="56"/>
      <c r="Z248" s="55"/>
      <c r="AA248" s="54"/>
      <c r="AB248" s="53"/>
      <c r="AC248" s="34"/>
      <c r="AD248" s="66"/>
    </row>
    <row r="249" spans="1:30">
      <c r="A249" s="73"/>
      <c r="B249" s="62"/>
      <c r="C249" s="71"/>
      <c r="D249" s="68"/>
      <c r="E249" s="64"/>
      <c r="G249" s="58"/>
      <c r="H249" s="58"/>
      <c r="I249" s="58"/>
      <c r="J249" s="58"/>
      <c r="K249" s="58"/>
      <c r="L249" s="57"/>
      <c r="M249" s="57"/>
      <c r="N249" s="57"/>
      <c r="O249" s="57"/>
      <c r="P249" s="57"/>
      <c r="R249" s="56"/>
      <c r="S249" s="56"/>
      <c r="T249" s="56"/>
      <c r="U249" s="56"/>
      <c r="V249" s="56"/>
      <c r="W249" s="56"/>
      <c r="X249" s="56"/>
      <c r="Y249" s="56"/>
      <c r="Z249" s="55"/>
      <c r="AA249" s="54"/>
      <c r="AB249" s="53"/>
      <c r="AC249" s="34"/>
      <c r="AD249" s="66"/>
    </row>
    <row r="250" spans="1:30">
      <c r="A250" s="73"/>
      <c r="B250" s="62"/>
      <c r="C250" s="71"/>
      <c r="D250" s="68"/>
      <c r="E250" s="64"/>
      <c r="G250" s="58"/>
      <c r="H250" s="58"/>
      <c r="I250" s="58"/>
      <c r="J250" s="58"/>
      <c r="K250" s="58"/>
      <c r="L250" s="57"/>
      <c r="M250" s="57"/>
      <c r="N250" s="57"/>
      <c r="O250" s="57"/>
      <c r="P250" s="57"/>
      <c r="R250" s="56"/>
      <c r="S250" s="56"/>
      <c r="T250" s="56"/>
      <c r="U250" s="56"/>
      <c r="V250" s="56"/>
      <c r="W250" s="56"/>
      <c r="X250" s="56"/>
      <c r="Y250" s="56"/>
      <c r="Z250" s="55"/>
      <c r="AA250" s="67"/>
      <c r="AB250" s="53"/>
      <c r="AC250" s="34"/>
      <c r="AD250" s="66"/>
    </row>
    <row r="251" spans="1:30">
      <c r="A251" s="73"/>
      <c r="B251" s="62"/>
      <c r="C251" s="71"/>
      <c r="D251" s="68"/>
      <c r="E251" s="64"/>
      <c r="G251" s="58"/>
      <c r="H251" s="58"/>
      <c r="I251" s="58"/>
      <c r="J251" s="58"/>
      <c r="K251" s="58"/>
      <c r="L251" s="57"/>
      <c r="M251" s="57"/>
      <c r="N251" s="57"/>
      <c r="O251" s="57"/>
      <c r="P251" s="57"/>
      <c r="R251" s="56"/>
      <c r="S251" s="56"/>
      <c r="T251" s="56"/>
      <c r="U251" s="56"/>
      <c r="V251" s="56"/>
      <c r="W251" s="56"/>
      <c r="X251" s="56"/>
      <c r="Y251" s="56"/>
      <c r="Z251" s="55"/>
      <c r="AA251" s="54"/>
      <c r="AB251" s="53"/>
      <c r="AC251" s="34"/>
      <c r="AD251" s="66"/>
    </row>
    <row r="252" spans="1:30">
      <c r="A252" s="73"/>
      <c r="B252" s="62"/>
      <c r="C252" s="71"/>
      <c r="D252" s="68"/>
      <c r="E252" s="64"/>
      <c r="G252" s="58"/>
      <c r="H252" s="58"/>
      <c r="I252" s="58"/>
      <c r="J252" s="58"/>
      <c r="K252" s="58"/>
      <c r="L252" s="57"/>
      <c r="M252" s="57"/>
      <c r="N252" s="57"/>
      <c r="O252" s="57"/>
      <c r="P252" s="57"/>
      <c r="R252" s="56"/>
      <c r="S252" s="56"/>
      <c r="T252" s="56"/>
      <c r="U252" s="56"/>
      <c r="V252" s="56"/>
      <c r="W252" s="56"/>
      <c r="X252" s="56"/>
      <c r="Y252" s="56"/>
      <c r="Z252" s="55"/>
      <c r="AA252" s="54"/>
      <c r="AB252" s="53"/>
      <c r="AC252" s="34"/>
      <c r="AD252" s="66"/>
    </row>
    <row r="253" spans="1:30">
      <c r="A253" s="73"/>
      <c r="B253" s="62"/>
      <c r="C253" s="71"/>
      <c r="D253" s="68"/>
      <c r="E253" s="64"/>
      <c r="G253" s="58"/>
      <c r="H253" s="58"/>
      <c r="I253" s="58"/>
      <c r="J253" s="58"/>
      <c r="K253" s="58"/>
      <c r="L253" s="57"/>
      <c r="M253" s="57"/>
      <c r="N253" s="57"/>
      <c r="O253" s="57"/>
      <c r="P253" s="57"/>
      <c r="R253" s="56"/>
      <c r="S253" s="56"/>
      <c r="T253" s="56"/>
      <c r="U253" s="56"/>
      <c r="V253" s="56"/>
      <c r="W253" s="56"/>
      <c r="X253" s="56"/>
      <c r="Y253" s="56"/>
      <c r="Z253" s="55"/>
      <c r="AA253" s="67"/>
      <c r="AB253" s="53"/>
      <c r="AC253" s="34"/>
      <c r="AD253" s="66"/>
    </row>
    <row r="254" spans="1:30">
      <c r="A254" s="73"/>
      <c r="B254" s="62"/>
      <c r="C254" s="71"/>
      <c r="D254" s="68"/>
      <c r="E254" s="64"/>
      <c r="G254" s="58"/>
      <c r="H254" s="58"/>
      <c r="I254" s="58"/>
      <c r="J254" s="58"/>
      <c r="K254" s="58"/>
      <c r="L254" s="57"/>
      <c r="M254" s="57"/>
      <c r="N254" s="57"/>
      <c r="O254" s="57"/>
      <c r="P254" s="57"/>
      <c r="R254" s="56"/>
      <c r="S254" s="56"/>
      <c r="T254" s="56"/>
      <c r="U254" s="56"/>
      <c r="V254" s="56"/>
      <c r="W254" s="56"/>
      <c r="X254" s="56"/>
      <c r="Y254" s="56"/>
      <c r="Z254" s="55"/>
      <c r="AA254" s="67"/>
      <c r="AB254" s="53"/>
      <c r="AC254" s="34"/>
      <c r="AD254" s="66"/>
    </row>
    <row r="255" spans="1:30">
      <c r="A255" s="73"/>
      <c r="B255" s="62"/>
      <c r="C255" s="71"/>
      <c r="D255" s="68"/>
      <c r="E255" s="64"/>
      <c r="G255" s="58"/>
      <c r="H255" s="58"/>
      <c r="I255" s="58"/>
      <c r="J255" s="58"/>
      <c r="K255" s="58"/>
      <c r="L255" s="57"/>
      <c r="M255" s="57"/>
      <c r="N255" s="57"/>
      <c r="O255" s="57"/>
      <c r="P255" s="57"/>
      <c r="R255" s="56"/>
      <c r="S255" s="56"/>
      <c r="T255" s="56"/>
      <c r="U255" s="56"/>
      <c r="V255" s="56"/>
      <c r="W255" s="56"/>
      <c r="X255" s="56"/>
      <c r="Y255" s="56"/>
      <c r="Z255" s="55"/>
      <c r="AA255" s="67"/>
      <c r="AB255" s="53"/>
      <c r="AC255" s="34"/>
      <c r="AD255" s="66"/>
    </row>
    <row r="256" spans="1:30">
      <c r="A256" s="73"/>
      <c r="B256" s="62"/>
      <c r="C256" s="71"/>
      <c r="D256" s="68"/>
      <c r="E256" s="64"/>
      <c r="G256" s="58"/>
      <c r="H256" s="58"/>
      <c r="I256" s="58"/>
      <c r="J256" s="58"/>
      <c r="K256" s="58"/>
      <c r="L256" s="57"/>
      <c r="M256" s="57"/>
      <c r="N256" s="57"/>
      <c r="O256" s="57"/>
      <c r="P256" s="57"/>
      <c r="R256" s="56"/>
      <c r="S256" s="56"/>
      <c r="T256" s="56"/>
      <c r="U256" s="56"/>
      <c r="V256" s="56"/>
      <c r="W256" s="56"/>
      <c r="X256" s="56"/>
      <c r="Y256" s="56"/>
      <c r="Z256" s="55"/>
      <c r="AA256" s="67"/>
      <c r="AB256" s="53"/>
      <c r="AC256" s="34"/>
      <c r="AD256" s="66"/>
    </row>
    <row r="257" spans="1:30">
      <c r="A257" s="73"/>
      <c r="B257" s="62"/>
      <c r="C257" s="71"/>
      <c r="D257" s="68"/>
      <c r="E257" s="64"/>
      <c r="G257" s="58"/>
      <c r="H257" s="58"/>
      <c r="I257" s="58"/>
      <c r="J257" s="58"/>
      <c r="K257" s="58"/>
      <c r="L257" s="57"/>
      <c r="M257" s="57"/>
      <c r="N257" s="57"/>
      <c r="O257" s="57"/>
      <c r="P257" s="57"/>
      <c r="R257" s="56"/>
      <c r="S257" s="56"/>
      <c r="T257" s="56"/>
      <c r="U257" s="56"/>
      <c r="V257" s="56"/>
      <c r="W257" s="56"/>
      <c r="X257" s="56"/>
      <c r="Y257" s="56"/>
      <c r="Z257" s="55"/>
      <c r="AA257" s="67"/>
      <c r="AB257" s="53"/>
      <c r="AC257" s="34"/>
      <c r="AD257" s="66"/>
    </row>
    <row r="258" spans="1:30">
      <c r="A258" s="70"/>
      <c r="B258" s="62"/>
      <c r="C258" s="71"/>
      <c r="D258" s="68"/>
      <c r="E258" s="64"/>
      <c r="G258" s="58"/>
      <c r="H258" s="58"/>
      <c r="I258" s="58"/>
      <c r="J258" s="58"/>
      <c r="K258" s="58"/>
      <c r="L258" s="57"/>
      <c r="M258" s="57"/>
      <c r="N258" s="57"/>
      <c r="O258" s="57"/>
      <c r="P258" s="57"/>
      <c r="R258" s="56"/>
      <c r="S258" s="56"/>
      <c r="T258" s="56"/>
      <c r="U258" s="56"/>
      <c r="V258" s="56"/>
      <c r="W258" s="56"/>
      <c r="X258" s="56"/>
      <c r="Y258" s="56"/>
      <c r="Z258" s="55"/>
      <c r="AA258" s="67"/>
      <c r="AB258" s="53"/>
      <c r="AC258" s="34"/>
      <c r="AD258" s="66"/>
    </row>
    <row r="259" spans="1:30">
      <c r="A259" s="73"/>
      <c r="B259" s="62"/>
      <c r="C259" s="71"/>
      <c r="D259" s="68"/>
      <c r="E259" s="64"/>
      <c r="G259" s="58"/>
      <c r="H259" s="58"/>
      <c r="I259" s="58"/>
      <c r="J259" s="58"/>
      <c r="K259" s="58"/>
      <c r="L259" s="57"/>
      <c r="M259" s="57"/>
      <c r="N259" s="57"/>
      <c r="O259" s="57"/>
      <c r="P259" s="57"/>
      <c r="R259" s="56"/>
      <c r="S259" s="56"/>
      <c r="T259" s="56"/>
      <c r="U259" s="56"/>
      <c r="V259" s="56"/>
      <c r="W259" s="56"/>
      <c r="X259" s="56"/>
      <c r="Y259" s="56"/>
      <c r="Z259" s="55"/>
      <c r="AA259" s="54"/>
      <c r="AB259" s="53"/>
      <c r="AC259" s="34"/>
      <c r="AD259" s="66"/>
    </row>
    <row r="260" spans="1:30">
      <c r="A260" s="73"/>
      <c r="B260" s="62"/>
      <c r="C260" s="71"/>
      <c r="D260" s="68"/>
      <c r="E260" s="64"/>
      <c r="G260" s="58"/>
      <c r="H260" s="58"/>
      <c r="I260" s="58"/>
      <c r="J260" s="58"/>
      <c r="K260" s="58"/>
      <c r="L260" s="57"/>
      <c r="M260" s="57"/>
      <c r="N260" s="57"/>
      <c r="O260" s="57"/>
      <c r="P260" s="57"/>
      <c r="R260" s="56"/>
      <c r="S260" s="56"/>
      <c r="T260" s="56"/>
      <c r="U260" s="56"/>
      <c r="V260" s="56"/>
      <c r="W260" s="56"/>
      <c r="X260" s="56"/>
      <c r="Y260" s="56"/>
      <c r="Z260" s="55"/>
      <c r="AA260" s="67"/>
      <c r="AB260" s="53"/>
      <c r="AC260" s="77"/>
      <c r="AD260" s="66"/>
    </row>
    <row r="261" spans="1:30">
      <c r="A261" s="73"/>
      <c r="B261" s="62"/>
      <c r="C261" s="71"/>
      <c r="D261" s="68"/>
      <c r="E261" s="64"/>
      <c r="G261" s="58"/>
      <c r="H261" s="58"/>
      <c r="I261" s="58"/>
      <c r="J261" s="58"/>
      <c r="K261" s="58"/>
      <c r="L261" s="57"/>
      <c r="M261" s="57"/>
      <c r="N261" s="57"/>
      <c r="O261" s="57"/>
      <c r="P261" s="57"/>
      <c r="R261" s="56"/>
      <c r="S261" s="56"/>
      <c r="T261" s="56"/>
      <c r="U261" s="56"/>
      <c r="V261" s="56"/>
      <c r="W261" s="56"/>
      <c r="X261" s="56"/>
      <c r="Y261" s="56"/>
      <c r="Z261" s="55"/>
      <c r="AA261" s="67"/>
      <c r="AB261" s="53"/>
      <c r="AC261" s="77"/>
      <c r="AD261" s="66"/>
    </row>
    <row r="262" spans="1:30">
      <c r="A262" s="73"/>
      <c r="B262" s="62"/>
      <c r="C262" s="71"/>
      <c r="D262" s="68"/>
      <c r="E262" s="64"/>
      <c r="G262" s="58"/>
      <c r="H262" s="58"/>
      <c r="I262" s="58"/>
      <c r="J262" s="58"/>
      <c r="K262" s="58"/>
      <c r="L262" s="57"/>
      <c r="M262" s="57"/>
      <c r="N262" s="57"/>
      <c r="O262" s="57"/>
      <c r="P262" s="57"/>
      <c r="R262" s="56"/>
      <c r="S262" s="56"/>
      <c r="T262" s="56"/>
      <c r="U262" s="56"/>
      <c r="V262" s="56"/>
      <c r="W262" s="56"/>
      <c r="X262" s="56"/>
      <c r="Y262" s="56"/>
      <c r="Z262" s="55"/>
      <c r="AA262" s="67"/>
      <c r="AB262" s="53"/>
      <c r="AC262" s="34"/>
      <c r="AD262" s="66"/>
    </row>
    <row r="263" spans="1:30">
      <c r="A263" s="73"/>
      <c r="B263" s="62"/>
      <c r="C263" s="71"/>
      <c r="D263" s="68"/>
      <c r="E263" s="64"/>
      <c r="G263" s="58"/>
      <c r="H263" s="58"/>
      <c r="I263" s="58"/>
      <c r="J263" s="58"/>
      <c r="K263" s="58"/>
      <c r="L263" s="57"/>
      <c r="M263" s="57"/>
      <c r="N263" s="57"/>
      <c r="O263" s="57"/>
      <c r="P263" s="57"/>
      <c r="R263" s="56"/>
      <c r="S263" s="56"/>
      <c r="T263" s="56"/>
      <c r="U263" s="56"/>
      <c r="V263" s="56"/>
      <c r="W263" s="56"/>
      <c r="X263" s="56"/>
      <c r="Y263" s="56"/>
      <c r="Z263" s="55"/>
      <c r="AA263" s="67"/>
      <c r="AB263" s="53"/>
      <c r="AC263" s="34"/>
      <c r="AD263" s="66"/>
    </row>
    <row r="264" spans="1:30">
      <c r="A264" s="73"/>
      <c r="B264" s="62"/>
      <c r="C264" s="71"/>
      <c r="D264" s="68"/>
      <c r="E264" s="64"/>
      <c r="G264" s="58"/>
      <c r="H264" s="58"/>
      <c r="I264" s="58"/>
      <c r="J264" s="58"/>
      <c r="K264" s="58"/>
      <c r="L264" s="57"/>
      <c r="M264" s="57"/>
      <c r="N264" s="57"/>
      <c r="O264" s="57"/>
      <c r="P264" s="57"/>
      <c r="R264" s="56"/>
      <c r="S264" s="56"/>
      <c r="T264" s="56"/>
      <c r="U264" s="56"/>
      <c r="V264" s="56"/>
      <c r="W264" s="56"/>
      <c r="X264" s="56"/>
      <c r="Y264" s="56"/>
      <c r="Z264" s="55"/>
      <c r="AA264" s="67"/>
      <c r="AB264" s="53"/>
      <c r="AC264" s="34"/>
      <c r="AD264" s="66"/>
    </row>
    <row r="265" spans="1:30">
      <c r="A265" s="73"/>
      <c r="B265" s="62"/>
      <c r="C265" s="71"/>
      <c r="D265" s="68"/>
      <c r="E265" s="64"/>
      <c r="G265" s="58"/>
      <c r="H265" s="58"/>
      <c r="I265" s="58"/>
      <c r="J265" s="58"/>
      <c r="K265" s="58"/>
      <c r="L265" s="57"/>
      <c r="M265" s="57"/>
      <c r="N265" s="57"/>
      <c r="O265" s="57"/>
      <c r="P265" s="57"/>
      <c r="R265" s="56"/>
      <c r="S265" s="56"/>
      <c r="T265" s="56"/>
      <c r="U265" s="56"/>
      <c r="V265" s="56"/>
      <c r="W265" s="56"/>
      <c r="X265" s="56"/>
      <c r="Y265" s="56"/>
      <c r="Z265" s="55"/>
      <c r="AA265" s="67"/>
      <c r="AB265" s="53"/>
      <c r="AC265" s="34"/>
      <c r="AD265" s="66"/>
    </row>
    <row r="266" spans="1:30">
      <c r="A266" s="73"/>
      <c r="B266" s="62"/>
      <c r="C266" s="71"/>
      <c r="D266" s="68"/>
      <c r="E266" s="64"/>
      <c r="G266" s="58"/>
      <c r="H266" s="58"/>
      <c r="I266" s="58"/>
      <c r="J266" s="58"/>
      <c r="K266" s="58"/>
      <c r="L266" s="57"/>
      <c r="M266" s="57"/>
      <c r="N266" s="57"/>
      <c r="O266" s="57"/>
      <c r="P266" s="57"/>
      <c r="R266" s="56"/>
      <c r="S266" s="56"/>
      <c r="T266" s="56"/>
      <c r="U266" s="56"/>
      <c r="V266" s="56"/>
      <c r="W266" s="56"/>
      <c r="X266" s="56"/>
      <c r="Y266" s="56"/>
      <c r="Z266" s="55"/>
      <c r="AA266" s="67"/>
      <c r="AB266" s="53"/>
      <c r="AC266" s="34"/>
      <c r="AD266" s="66"/>
    </row>
    <row r="267" spans="1:30">
      <c r="A267" s="73"/>
      <c r="B267" s="62"/>
      <c r="C267" s="71"/>
      <c r="D267" s="68"/>
      <c r="E267" s="64"/>
      <c r="G267" s="58"/>
      <c r="H267" s="58"/>
      <c r="I267" s="58"/>
      <c r="J267" s="58"/>
      <c r="K267" s="58"/>
      <c r="L267" s="57"/>
      <c r="M267" s="57"/>
      <c r="N267" s="57"/>
      <c r="O267" s="57"/>
      <c r="P267" s="57"/>
      <c r="R267" s="56"/>
      <c r="S267" s="56"/>
      <c r="T267" s="56"/>
      <c r="U267" s="56"/>
      <c r="V267" s="56"/>
      <c r="W267" s="56"/>
      <c r="X267" s="56"/>
      <c r="Y267" s="56"/>
      <c r="Z267" s="55"/>
      <c r="AA267" s="67"/>
      <c r="AB267" s="53"/>
      <c r="AC267" s="34"/>
      <c r="AD267" s="66"/>
    </row>
    <row r="268" spans="1:30">
      <c r="A268" s="73"/>
      <c r="B268" s="62"/>
      <c r="C268" s="71"/>
      <c r="D268" s="68"/>
      <c r="E268" s="64"/>
      <c r="G268" s="58"/>
      <c r="H268" s="58"/>
      <c r="I268" s="58"/>
      <c r="J268" s="58"/>
      <c r="K268" s="58"/>
      <c r="L268" s="57"/>
      <c r="M268" s="57"/>
      <c r="N268" s="57"/>
      <c r="O268" s="57"/>
      <c r="P268" s="57"/>
      <c r="R268" s="56"/>
      <c r="S268" s="56"/>
      <c r="T268" s="56"/>
      <c r="U268" s="56"/>
      <c r="V268" s="56"/>
      <c r="W268" s="56"/>
      <c r="X268" s="56"/>
      <c r="Y268" s="56"/>
      <c r="Z268" s="55"/>
      <c r="AA268" s="67"/>
      <c r="AB268" s="53"/>
      <c r="AC268" s="34"/>
      <c r="AD268" s="66"/>
    </row>
    <row r="269" spans="1:30">
      <c r="A269" s="76"/>
      <c r="B269" s="62"/>
      <c r="C269" s="43"/>
      <c r="D269" s="68"/>
      <c r="E269" s="64"/>
      <c r="G269" s="58"/>
      <c r="H269" s="58"/>
      <c r="I269" s="58"/>
      <c r="J269" s="58"/>
      <c r="K269" s="58"/>
      <c r="L269" s="57"/>
      <c r="M269" s="57"/>
      <c r="N269" s="57"/>
      <c r="O269" s="57"/>
      <c r="P269" s="57"/>
      <c r="R269" s="56"/>
      <c r="S269" s="56"/>
      <c r="T269" s="56"/>
      <c r="U269" s="56"/>
      <c r="V269" s="56"/>
      <c r="W269" s="56"/>
      <c r="X269" s="56"/>
      <c r="Y269" s="56"/>
      <c r="Z269" s="55"/>
      <c r="AA269" s="67"/>
      <c r="AB269" s="53"/>
      <c r="AC269" s="34"/>
      <c r="AD269" s="66"/>
    </row>
    <row r="270" spans="1:30">
      <c r="A270" s="70"/>
      <c r="B270" s="62"/>
      <c r="C270" s="43"/>
      <c r="D270" s="68"/>
      <c r="E270" s="64"/>
      <c r="G270" s="58"/>
      <c r="H270" s="58"/>
      <c r="I270" s="58"/>
      <c r="J270" s="58"/>
      <c r="K270" s="58"/>
      <c r="L270" s="57"/>
      <c r="M270" s="57"/>
      <c r="N270" s="57"/>
      <c r="O270" s="57"/>
      <c r="P270" s="57"/>
      <c r="R270" s="56"/>
      <c r="S270" s="56"/>
      <c r="T270" s="56"/>
      <c r="U270" s="56"/>
      <c r="V270" s="56"/>
      <c r="W270" s="56"/>
      <c r="X270" s="56"/>
      <c r="Y270" s="56"/>
      <c r="Z270" s="55"/>
      <c r="AA270" s="67"/>
      <c r="AB270" s="53"/>
      <c r="AC270" s="34"/>
      <c r="AD270" s="66"/>
    </row>
    <row r="271" spans="1:30">
      <c r="A271" s="73"/>
      <c r="B271" s="62"/>
      <c r="C271" s="43"/>
      <c r="D271" s="68"/>
      <c r="E271" s="64"/>
      <c r="G271" s="58"/>
      <c r="H271" s="58"/>
      <c r="I271" s="58"/>
      <c r="J271" s="58"/>
      <c r="K271" s="58"/>
      <c r="L271" s="57"/>
      <c r="M271" s="57"/>
      <c r="N271" s="57"/>
      <c r="O271" s="57"/>
      <c r="P271" s="57"/>
      <c r="R271" s="56"/>
      <c r="S271" s="56"/>
      <c r="T271" s="56"/>
      <c r="U271" s="56"/>
      <c r="V271" s="56"/>
      <c r="W271" s="56"/>
      <c r="X271" s="56"/>
      <c r="Y271" s="56"/>
      <c r="Z271" s="55"/>
      <c r="AA271" s="67"/>
      <c r="AB271" s="53"/>
      <c r="AC271" s="34"/>
      <c r="AD271" s="74"/>
    </row>
    <row r="272" spans="1:30">
      <c r="A272" s="73"/>
      <c r="B272" s="62"/>
      <c r="C272" s="43"/>
      <c r="D272" s="68"/>
      <c r="E272" s="64"/>
      <c r="G272" s="58"/>
      <c r="H272" s="58"/>
      <c r="I272" s="58"/>
      <c r="J272" s="58"/>
      <c r="K272" s="58"/>
      <c r="L272" s="57"/>
      <c r="M272" s="57"/>
      <c r="N272" s="57"/>
      <c r="O272" s="57"/>
      <c r="P272" s="57"/>
      <c r="R272" s="56"/>
      <c r="S272" s="56"/>
      <c r="T272" s="56"/>
      <c r="U272" s="56"/>
      <c r="V272" s="56"/>
      <c r="W272" s="56"/>
      <c r="X272" s="56"/>
      <c r="Y272" s="56"/>
      <c r="Z272" s="55"/>
      <c r="AA272" s="67"/>
      <c r="AB272" s="53"/>
      <c r="AC272" s="34"/>
      <c r="AD272" s="74"/>
    </row>
    <row r="273" spans="1:30">
      <c r="A273" s="73"/>
      <c r="B273" s="62"/>
      <c r="C273" s="43"/>
      <c r="D273" s="68"/>
      <c r="E273" s="64"/>
      <c r="G273" s="58"/>
      <c r="H273" s="58"/>
      <c r="I273" s="58"/>
      <c r="J273" s="58"/>
      <c r="K273" s="58"/>
      <c r="L273" s="57"/>
      <c r="M273" s="57"/>
      <c r="N273" s="57"/>
      <c r="O273" s="57"/>
      <c r="P273" s="57"/>
      <c r="R273" s="56"/>
      <c r="S273" s="56"/>
      <c r="T273" s="56"/>
      <c r="U273" s="56"/>
      <c r="V273" s="56"/>
      <c r="W273" s="56"/>
      <c r="X273" s="56"/>
      <c r="Y273" s="56"/>
      <c r="Z273" s="55"/>
      <c r="AA273" s="67"/>
      <c r="AB273" s="53"/>
      <c r="AC273" s="34"/>
      <c r="AD273" s="74"/>
    </row>
    <row r="274" spans="1:30">
      <c r="A274" s="73"/>
      <c r="B274" s="62"/>
      <c r="C274" s="43"/>
      <c r="D274" s="68"/>
      <c r="E274" s="64"/>
      <c r="G274" s="58"/>
      <c r="H274" s="58"/>
      <c r="I274" s="58"/>
      <c r="J274" s="58"/>
      <c r="K274" s="58"/>
      <c r="L274" s="57"/>
      <c r="M274" s="57"/>
      <c r="N274" s="57"/>
      <c r="O274" s="57"/>
      <c r="P274" s="57"/>
      <c r="R274" s="56"/>
      <c r="S274" s="56"/>
      <c r="T274" s="56"/>
      <c r="U274" s="56"/>
      <c r="V274" s="56"/>
      <c r="W274" s="56"/>
      <c r="X274" s="56"/>
      <c r="Y274" s="56"/>
      <c r="Z274" s="55"/>
      <c r="AA274" s="67"/>
      <c r="AB274" s="53"/>
      <c r="AC274" s="34"/>
      <c r="AD274" s="74"/>
    </row>
    <row r="275" spans="1:30">
      <c r="A275" s="73"/>
      <c r="B275" s="62"/>
      <c r="C275" s="43"/>
      <c r="D275" s="68"/>
      <c r="E275" s="64"/>
      <c r="G275" s="58"/>
      <c r="H275" s="58"/>
      <c r="I275" s="58"/>
      <c r="J275" s="58"/>
      <c r="K275" s="58"/>
      <c r="L275" s="57"/>
      <c r="M275" s="57"/>
      <c r="N275" s="57"/>
      <c r="O275" s="57"/>
      <c r="P275" s="57"/>
      <c r="R275" s="56"/>
      <c r="S275" s="56"/>
      <c r="T275" s="56"/>
      <c r="U275" s="56"/>
      <c r="V275" s="56"/>
      <c r="W275" s="56"/>
      <c r="X275" s="56"/>
      <c r="Y275" s="56"/>
      <c r="Z275" s="55"/>
      <c r="AA275" s="67"/>
      <c r="AB275" s="53"/>
      <c r="AC275" s="34"/>
      <c r="AD275" s="74"/>
    </row>
    <row r="276" spans="1:30">
      <c r="A276" s="73"/>
      <c r="B276" s="62"/>
      <c r="C276" s="43"/>
      <c r="D276" s="68"/>
      <c r="E276" s="64"/>
      <c r="G276" s="58"/>
      <c r="H276" s="58"/>
      <c r="I276" s="58"/>
      <c r="J276" s="58"/>
      <c r="K276" s="58"/>
      <c r="L276" s="57"/>
      <c r="M276" s="57"/>
      <c r="N276" s="57"/>
      <c r="O276" s="57"/>
      <c r="P276" s="57"/>
      <c r="R276" s="56"/>
      <c r="S276" s="56"/>
      <c r="T276" s="56"/>
      <c r="U276" s="56"/>
      <c r="V276" s="56"/>
      <c r="W276" s="56"/>
      <c r="X276" s="56"/>
      <c r="Y276" s="56"/>
      <c r="Z276" s="55"/>
      <c r="AA276" s="67"/>
      <c r="AB276" s="53"/>
      <c r="AC276" s="34"/>
      <c r="AD276" s="74"/>
    </row>
    <row r="277" spans="1:30">
      <c r="A277" s="73"/>
      <c r="B277" s="62"/>
      <c r="C277" s="43"/>
      <c r="D277" s="68"/>
      <c r="E277" s="64"/>
      <c r="G277" s="58"/>
      <c r="H277" s="58"/>
      <c r="I277" s="58"/>
      <c r="J277" s="58"/>
      <c r="K277" s="58"/>
      <c r="L277" s="57"/>
      <c r="M277" s="57"/>
      <c r="N277" s="57"/>
      <c r="O277" s="57"/>
      <c r="P277" s="57"/>
      <c r="R277" s="56"/>
      <c r="S277" s="56"/>
      <c r="T277" s="56"/>
      <c r="U277" s="56"/>
      <c r="V277" s="56"/>
      <c r="W277" s="56"/>
      <c r="X277" s="56"/>
      <c r="Y277" s="56"/>
      <c r="Z277" s="55"/>
      <c r="AA277" s="67"/>
      <c r="AB277" s="53"/>
      <c r="AC277" s="34"/>
      <c r="AD277" s="74"/>
    </row>
    <row r="278" spans="1:30">
      <c r="A278" s="73"/>
      <c r="B278" s="62"/>
      <c r="C278" s="43"/>
      <c r="D278" s="68"/>
      <c r="E278" s="64"/>
      <c r="G278" s="58"/>
      <c r="H278" s="58"/>
      <c r="I278" s="58"/>
      <c r="J278" s="58"/>
      <c r="K278" s="58"/>
      <c r="L278" s="57"/>
      <c r="M278" s="57"/>
      <c r="N278" s="57"/>
      <c r="O278" s="57"/>
      <c r="P278" s="57"/>
      <c r="R278" s="56"/>
      <c r="S278" s="56"/>
      <c r="T278" s="56"/>
      <c r="U278" s="56"/>
      <c r="V278" s="56"/>
      <c r="W278" s="56"/>
      <c r="X278" s="56"/>
      <c r="Y278" s="56"/>
      <c r="Z278" s="55"/>
      <c r="AA278" s="67"/>
      <c r="AB278" s="53"/>
      <c r="AC278" s="34"/>
      <c r="AD278" s="74"/>
    </row>
    <row r="279" spans="1:30">
      <c r="A279" s="73"/>
      <c r="B279" s="62"/>
      <c r="C279" s="43"/>
      <c r="D279" s="68"/>
      <c r="E279" s="64"/>
      <c r="G279" s="58"/>
      <c r="H279" s="58"/>
      <c r="I279" s="58"/>
      <c r="J279" s="58"/>
      <c r="K279" s="58"/>
      <c r="L279" s="57"/>
      <c r="M279" s="57"/>
      <c r="N279" s="57"/>
      <c r="O279" s="57"/>
      <c r="P279" s="57"/>
      <c r="R279" s="56"/>
      <c r="S279" s="56"/>
      <c r="T279" s="56"/>
      <c r="U279" s="56"/>
      <c r="V279" s="56"/>
      <c r="W279" s="56"/>
      <c r="X279" s="56"/>
      <c r="Y279" s="56"/>
      <c r="Z279" s="55"/>
      <c r="AA279" s="67"/>
      <c r="AB279" s="53"/>
      <c r="AC279" s="34"/>
      <c r="AD279" s="74"/>
    </row>
    <row r="280" spans="1:30">
      <c r="A280" s="73"/>
      <c r="B280" s="62"/>
      <c r="C280" s="43"/>
      <c r="D280" s="68"/>
      <c r="E280" s="64"/>
      <c r="G280" s="58"/>
      <c r="H280" s="58"/>
      <c r="I280" s="58"/>
      <c r="J280" s="58"/>
      <c r="K280" s="58"/>
      <c r="L280" s="57"/>
      <c r="M280" s="57"/>
      <c r="N280" s="57"/>
      <c r="O280" s="57"/>
      <c r="P280" s="57"/>
      <c r="R280" s="56"/>
      <c r="S280" s="56"/>
      <c r="T280" s="56"/>
      <c r="U280" s="56"/>
      <c r="V280" s="56"/>
      <c r="W280" s="56"/>
      <c r="X280" s="56"/>
      <c r="Y280" s="56"/>
      <c r="Z280" s="55"/>
      <c r="AA280" s="67"/>
      <c r="AB280" s="53"/>
      <c r="AC280" s="34"/>
      <c r="AD280" s="74"/>
    </row>
    <row r="281" spans="1:30">
      <c r="A281" s="70"/>
      <c r="B281" s="72"/>
      <c r="C281" s="43"/>
      <c r="D281" s="68"/>
      <c r="E281" s="64"/>
      <c r="G281" s="58"/>
      <c r="H281" s="58"/>
      <c r="I281" s="58"/>
      <c r="J281" s="58"/>
      <c r="K281" s="58"/>
      <c r="L281" s="57"/>
      <c r="M281" s="57"/>
      <c r="N281" s="57"/>
      <c r="O281" s="57"/>
      <c r="P281" s="57"/>
      <c r="R281" s="56"/>
      <c r="S281" s="56"/>
      <c r="T281" s="56"/>
      <c r="U281" s="56"/>
      <c r="V281" s="56"/>
      <c r="W281" s="56"/>
      <c r="X281" s="56"/>
      <c r="Y281" s="56"/>
      <c r="Z281" s="55"/>
      <c r="AA281" s="67"/>
      <c r="AB281" s="53"/>
      <c r="AC281" s="34"/>
      <c r="AD281" s="66"/>
    </row>
    <row r="282" spans="1:30">
      <c r="A282" s="70"/>
      <c r="B282" s="72"/>
      <c r="C282" s="43"/>
      <c r="D282" s="68"/>
      <c r="E282" s="64"/>
      <c r="G282" s="58"/>
      <c r="H282" s="58"/>
      <c r="I282" s="58"/>
      <c r="J282" s="58"/>
      <c r="K282" s="58"/>
      <c r="L282" s="57"/>
      <c r="M282" s="57"/>
      <c r="N282" s="57"/>
      <c r="O282" s="57"/>
      <c r="P282" s="57"/>
      <c r="R282" s="56"/>
      <c r="S282" s="56"/>
      <c r="T282" s="56"/>
      <c r="U282" s="56"/>
      <c r="V282" s="56"/>
      <c r="W282" s="56"/>
      <c r="X282" s="56"/>
      <c r="Y282" s="56"/>
      <c r="Z282" s="55"/>
      <c r="AA282" s="67"/>
      <c r="AB282" s="53"/>
      <c r="AC282" s="34"/>
      <c r="AD282" s="66"/>
    </row>
    <row r="283" spans="1:30">
      <c r="A283" s="73"/>
      <c r="B283" s="72"/>
      <c r="C283" s="43"/>
      <c r="D283" s="68"/>
      <c r="E283" s="64"/>
      <c r="G283" s="58"/>
      <c r="H283" s="58"/>
      <c r="I283" s="58"/>
      <c r="J283" s="58"/>
      <c r="K283" s="58"/>
      <c r="L283" s="57"/>
      <c r="M283" s="57"/>
      <c r="N283" s="57"/>
      <c r="O283" s="57"/>
      <c r="P283" s="57"/>
      <c r="R283" s="56"/>
      <c r="S283" s="56"/>
      <c r="T283" s="56"/>
      <c r="U283" s="56"/>
      <c r="V283" s="56"/>
      <c r="W283" s="56"/>
      <c r="X283" s="56"/>
      <c r="Y283" s="56"/>
      <c r="Z283" s="55"/>
      <c r="AA283" s="67"/>
      <c r="AB283" s="53"/>
      <c r="AC283" s="34"/>
      <c r="AD283" s="66"/>
    </row>
    <row r="284" spans="1:30">
      <c r="A284" s="70"/>
      <c r="B284" s="72"/>
      <c r="C284" s="43"/>
      <c r="D284" s="68"/>
      <c r="E284" s="64"/>
      <c r="G284" s="58"/>
      <c r="H284" s="58"/>
      <c r="I284" s="58"/>
      <c r="J284" s="58"/>
      <c r="K284" s="58"/>
      <c r="L284" s="57"/>
      <c r="M284" s="57"/>
      <c r="N284" s="57"/>
      <c r="O284" s="57"/>
      <c r="P284" s="57"/>
      <c r="R284" s="56"/>
      <c r="S284" s="56"/>
      <c r="T284" s="56"/>
      <c r="U284" s="56"/>
      <c r="V284" s="56"/>
      <c r="W284" s="56"/>
      <c r="X284" s="56"/>
      <c r="Y284" s="56"/>
      <c r="Z284" s="55"/>
      <c r="AA284" s="67"/>
      <c r="AB284" s="53"/>
      <c r="AC284" s="34"/>
      <c r="AD284" s="66"/>
    </row>
    <row r="285" spans="1:30">
      <c r="A285" s="70"/>
      <c r="B285" s="72"/>
      <c r="C285" s="43"/>
      <c r="D285" s="68"/>
      <c r="E285" s="64"/>
      <c r="G285" s="58"/>
      <c r="H285" s="58"/>
      <c r="I285" s="58"/>
      <c r="J285" s="58"/>
      <c r="K285" s="58"/>
      <c r="L285" s="57"/>
      <c r="M285" s="57"/>
      <c r="N285" s="57"/>
      <c r="O285" s="57"/>
      <c r="P285" s="57"/>
      <c r="R285" s="56"/>
      <c r="S285" s="56"/>
      <c r="T285" s="56"/>
      <c r="U285" s="56"/>
      <c r="V285" s="56"/>
      <c r="W285" s="56"/>
      <c r="X285" s="56"/>
      <c r="Y285" s="56"/>
      <c r="Z285" s="55"/>
      <c r="AA285" s="67"/>
      <c r="AB285" s="53"/>
      <c r="AC285" s="34"/>
      <c r="AD285" s="66"/>
    </row>
    <row r="286" spans="1:30">
      <c r="A286" s="73"/>
      <c r="B286" s="72"/>
      <c r="C286" s="43"/>
      <c r="D286" s="68"/>
      <c r="E286" s="64"/>
      <c r="G286" s="58"/>
      <c r="H286" s="58"/>
      <c r="I286" s="58"/>
      <c r="J286" s="58"/>
      <c r="K286" s="58"/>
      <c r="L286" s="57"/>
      <c r="M286" s="57"/>
      <c r="N286" s="57"/>
      <c r="O286" s="57"/>
      <c r="P286" s="57"/>
      <c r="R286" s="56"/>
      <c r="S286" s="56"/>
      <c r="T286" s="56"/>
      <c r="U286" s="56"/>
      <c r="V286" s="56"/>
      <c r="W286" s="56"/>
      <c r="X286" s="56"/>
      <c r="Y286" s="56"/>
      <c r="Z286" s="55"/>
      <c r="AA286" s="67"/>
      <c r="AB286" s="53"/>
      <c r="AC286" s="34"/>
      <c r="AD286" s="74"/>
    </row>
    <row r="287" spans="1:30">
      <c r="A287" s="73"/>
      <c r="B287" s="72"/>
      <c r="C287" s="43"/>
      <c r="D287" s="68"/>
      <c r="E287" s="64"/>
      <c r="G287" s="58"/>
      <c r="H287" s="58"/>
      <c r="I287" s="58"/>
      <c r="J287" s="58"/>
      <c r="K287" s="58"/>
      <c r="L287" s="57"/>
      <c r="M287" s="57"/>
      <c r="N287" s="57"/>
      <c r="O287" s="57"/>
      <c r="P287" s="57"/>
      <c r="R287" s="56"/>
      <c r="S287" s="56"/>
      <c r="T287" s="56"/>
      <c r="U287" s="56"/>
      <c r="V287" s="56"/>
      <c r="W287" s="56"/>
      <c r="X287" s="56"/>
      <c r="Y287" s="56"/>
      <c r="Z287" s="55"/>
      <c r="AA287" s="67"/>
      <c r="AB287" s="53"/>
      <c r="AC287" s="34"/>
      <c r="AD287" s="74"/>
    </row>
    <row r="288" spans="1:30">
      <c r="A288" s="73"/>
      <c r="B288" s="72"/>
      <c r="C288" s="43"/>
      <c r="D288" s="68"/>
      <c r="E288" s="64"/>
      <c r="G288" s="58"/>
      <c r="H288" s="58"/>
      <c r="I288" s="58"/>
      <c r="J288" s="58"/>
      <c r="K288" s="58"/>
      <c r="L288" s="57"/>
      <c r="M288" s="57"/>
      <c r="N288" s="57"/>
      <c r="O288" s="57"/>
      <c r="P288" s="57"/>
      <c r="R288" s="56"/>
      <c r="S288" s="56"/>
      <c r="T288" s="56"/>
      <c r="U288" s="56"/>
      <c r="V288" s="56"/>
      <c r="W288" s="56"/>
      <c r="X288" s="56"/>
      <c r="Y288" s="56"/>
      <c r="Z288" s="55"/>
      <c r="AA288" s="67"/>
      <c r="AB288" s="53"/>
      <c r="AC288" s="34"/>
      <c r="AD288" s="74"/>
    </row>
    <row r="289" spans="1:30">
      <c r="A289" s="73"/>
      <c r="B289" s="72"/>
      <c r="C289" s="43"/>
      <c r="D289" s="68"/>
      <c r="E289" s="64"/>
      <c r="G289" s="58"/>
      <c r="H289" s="58"/>
      <c r="I289" s="58"/>
      <c r="J289" s="58"/>
      <c r="K289" s="58"/>
      <c r="L289" s="57"/>
      <c r="M289" s="57"/>
      <c r="N289" s="57"/>
      <c r="O289" s="57"/>
      <c r="P289" s="57"/>
      <c r="R289" s="56"/>
      <c r="S289" s="56"/>
      <c r="T289" s="56"/>
      <c r="U289" s="56"/>
      <c r="V289" s="56"/>
      <c r="W289" s="56"/>
      <c r="X289" s="56"/>
      <c r="Y289" s="56"/>
      <c r="Z289" s="55"/>
      <c r="AA289" s="67"/>
      <c r="AB289" s="53"/>
      <c r="AC289" s="34"/>
      <c r="AD289" s="74"/>
    </row>
    <row r="290" spans="1:30">
      <c r="A290" s="73"/>
      <c r="B290" s="72"/>
      <c r="C290" s="43"/>
      <c r="D290" s="68"/>
      <c r="E290" s="64"/>
      <c r="G290" s="58"/>
      <c r="H290" s="58"/>
      <c r="I290" s="58"/>
      <c r="J290" s="58"/>
      <c r="K290" s="58"/>
      <c r="L290" s="57"/>
      <c r="M290" s="57"/>
      <c r="N290" s="57"/>
      <c r="O290" s="57"/>
      <c r="P290" s="57"/>
      <c r="R290" s="56"/>
      <c r="S290" s="56"/>
      <c r="T290" s="56"/>
      <c r="U290" s="56"/>
      <c r="V290" s="56"/>
      <c r="W290" s="56"/>
      <c r="X290" s="56"/>
      <c r="Y290" s="56"/>
      <c r="Z290" s="55"/>
      <c r="AA290" s="67"/>
      <c r="AB290" s="53"/>
      <c r="AC290" s="34"/>
      <c r="AD290" s="74"/>
    </row>
    <row r="291" spans="1:30">
      <c r="A291" s="73"/>
      <c r="B291" s="72"/>
      <c r="C291" s="43"/>
      <c r="D291" s="68"/>
      <c r="E291" s="64"/>
      <c r="G291" s="58"/>
      <c r="H291" s="58"/>
      <c r="I291" s="58"/>
      <c r="J291" s="58"/>
      <c r="K291" s="58"/>
      <c r="L291" s="57"/>
      <c r="M291" s="57"/>
      <c r="N291" s="57"/>
      <c r="O291" s="57"/>
      <c r="P291" s="57"/>
      <c r="R291" s="56"/>
      <c r="S291" s="56"/>
      <c r="T291" s="56"/>
      <c r="U291" s="56"/>
      <c r="V291" s="56"/>
      <c r="W291" s="56"/>
      <c r="X291" s="56"/>
      <c r="Y291" s="56"/>
      <c r="Z291" s="55"/>
      <c r="AA291" s="67"/>
      <c r="AB291" s="53"/>
      <c r="AC291" s="34"/>
      <c r="AD291" s="74"/>
    </row>
    <row r="292" spans="1:30">
      <c r="A292" s="73"/>
      <c r="B292" s="72"/>
      <c r="C292" s="43"/>
      <c r="D292" s="68"/>
      <c r="E292" s="64"/>
      <c r="G292" s="58"/>
      <c r="H292" s="58"/>
      <c r="I292" s="58"/>
      <c r="J292" s="58"/>
      <c r="K292" s="58"/>
      <c r="L292" s="57"/>
      <c r="M292" s="57"/>
      <c r="N292" s="57"/>
      <c r="O292" s="57"/>
      <c r="P292" s="57"/>
      <c r="R292" s="56"/>
      <c r="S292" s="56"/>
      <c r="T292" s="56"/>
      <c r="U292" s="56"/>
      <c r="V292" s="56"/>
      <c r="W292" s="56"/>
      <c r="X292" s="56"/>
      <c r="Y292" s="56"/>
      <c r="Z292" s="55"/>
      <c r="AA292" s="67"/>
      <c r="AB292" s="53"/>
      <c r="AC292" s="34"/>
      <c r="AD292" s="74"/>
    </row>
    <row r="293" spans="1:30">
      <c r="A293" s="73"/>
      <c r="B293" s="72"/>
      <c r="C293" s="75"/>
      <c r="D293" s="68"/>
      <c r="E293" s="64"/>
      <c r="G293" s="58"/>
      <c r="H293" s="58"/>
      <c r="I293" s="58"/>
      <c r="J293" s="58"/>
      <c r="K293" s="58"/>
      <c r="L293" s="57"/>
      <c r="M293" s="57"/>
      <c r="N293" s="57"/>
      <c r="O293" s="57"/>
      <c r="P293" s="57"/>
      <c r="R293" s="56"/>
      <c r="S293" s="56"/>
      <c r="T293" s="56"/>
      <c r="U293" s="56"/>
      <c r="V293" s="56"/>
      <c r="W293" s="56"/>
      <c r="X293" s="56"/>
      <c r="Y293" s="56"/>
      <c r="Z293" s="55"/>
      <c r="AA293" s="67"/>
      <c r="AB293" s="53"/>
      <c r="AC293" s="34"/>
      <c r="AD293" s="74"/>
    </row>
    <row r="294" spans="1:30">
      <c r="A294" s="73"/>
      <c r="B294" s="72"/>
      <c r="C294" s="71"/>
      <c r="D294" s="68"/>
      <c r="E294" s="64"/>
      <c r="G294" s="58"/>
      <c r="H294" s="58"/>
      <c r="I294" s="58"/>
      <c r="J294" s="58"/>
      <c r="K294" s="58"/>
      <c r="L294" s="57"/>
      <c r="M294" s="57"/>
      <c r="N294" s="57"/>
      <c r="O294" s="57"/>
      <c r="P294" s="57"/>
      <c r="R294" s="56"/>
      <c r="S294" s="56"/>
      <c r="T294" s="56"/>
      <c r="U294" s="56"/>
      <c r="V294" s="56"/>
      <c r="W294" s="56"/>
      <c r="X294" s="56"/>
      <c r="Y294" s="56"/>
      <c r="Z294" s="55"/>
      <c r="AA294" s="67"/>
      <c r="AB294" s="53"/>
      <c r="AC294" s="34"/>
      <c r="AD294" s="66"/>
    </row>
    <row r="295" spans="1:30">
      <c r="A295" s="70"/>
      <c r="B295" s="72"/>
      <c r="C295" s="71"/>
      <c r="D295" s="68"/>
      <c r="E295" s="64"/>
      <c r="G295" s="58"/>
      <c r="H295" s="58"/>
      <c r="I295" s="58"/>
      <c r="J295" s="58"/>
      <c r="K295" s="58"/>
      <c r="L295" s="57"/>
      <c r="M295" s="57"/>
      <c r="N295" s="57"/>
      <c r="O295" s="57"/>
      <c r="P295" s="57"/>
      <c r="R295" s="56"/>
      <c r="S295" s="56"/>
      <c r="T295" s="56"/>
      <c r="U295" s="56"/>
      <c r="V295" s="56"/>
      <c r="W295" s="56"/>
      <c r="X295" s="56"/>
      <c r="Y295" s="56"/>
      <c r="Z295" s="55"/>
      <c r="AA295" s="67"/>
      <c r="AB295" s="53"/>
      <c r="AC295" s="34"/>
      <c r="AD295" s="66"/>
    </row>
    <row r="296" spans="1:30">
      <c r="A296" s="65"/>
      <c r="B296" s="72"/>
      <c r="C296" s="71"/>
      <c r="D296" s="68"/>
      <c r="E296" s="64"/>
      <c r="G296" s="58"/>
      <c r="H296" s="58"/>
      <c r="I296" s="58"/>
      <c r="J296" s="58"/>
      <c r="K296" s="58"/>
      <c r="L296" s="57"/>
      <c r="M296" s="57"/>
      <c r="N296" s="57"/>
      <c r="O296" s="57"/>
      <c r="P296" s="57"/>
      <c r="R296" s="56"/>
      <c r="S296" s="56"/>
      <c r="T296" s="56"/>
      <c r="U296" s="56"/>
      <c r="V296" s="56"/>
      <c r="W296" s="56"/>
      <c r="X296" s="56"/>
      <c r="Y296" s="56"/>
      <c r="Z296" s="55"/>
      <c r="AA296" s="67"/>
      <c r="AB296" s="53"/>
      <c r="AC296" s="34"/>
      <c r="AD296" s="66"/>
    </row>
    <row r="297" spans="1:30">
      <c r="A297" s="70"/>
      <c r="B297" s="72"/>
      <c r="C297" s="71"/>
      <c r="D297" s="68"/>
      <c r="E297" s="64"/>
      <c r="G297" s="58"/>
      <c r="H297" s="58"/>
      <c r="I297" s="58"/>
      <c r="J297" s="58"/>
      <c r="K297" s="58"/>
      <c r="L297" s="57"/>
      <c r="M297" s="57"/>
      <c r="N297" s="57"/>
      <c r="O297" s="57"/>
      <c r="P297" s="57"/>
      <c r="R297" s="56"/>
      <c r="S297" s="56"/>
      <c r="T297" s="56"/>
      <c r="U297" s="56"/>
      <c r="V297" s="56"/>
      <c r="W297" s="56"/>
      <c r="X297" s="56"/>
      <c r="Y297" s="56"/>
      <c r="Z297" s="55"/>
      <c r="AA297" s="67"/>
      <c r="AB297" s="53"/>
      <c r="AC297" s="34"/>
      <c r="AD297" s="66"/>
    </row>
    <row r="298" spans="1:30">
      <c r="A298" s="70"/>
      <c r="B298" s="72"/>
      <c r="C298" s="71"/>
      <c r="D298" s="68"/>
      <c r="E298" s="64"/>
      <c r="G298" s="58"/>
      <c r="H298" s="58"/>
      <c r="I298" s="58"/>
      <c r="J298" s="58"/>
      <c r="K298" s="58"/>
      <c r="L298" s="57"/>
      <c r="M298" s="57"/>
      <c r="N298" s="57"/>
      <c r="O298" s="57"/>
      <c r="P298" s="57"/>
      <c r="R298" s="56"/>
      <c r="S298" s="56"/>
      <c r="T298" s="56"/>
      <c r="U298" s="56"/>
      <c r="V298" s="56"/>
      <c r="W298" s="56"/>
      <c r="X298" s="56"/>
      <c r="Y298" s="56"/>
      <c r="Z298" s="55"/>
      <c r="AA298" s="67"/>
      <c r="AB298" s="53"/>
      <c r="AC298" s="34"/>
      <c r="AD298" s="66"/>
    </row>
    <row r="299" spans="1:30">
      <c r="A299" s="70"/>
      <c r="B299" s="72"/>
      <c r="C299" s="71"/>
      <c r="D299" s="68"/>
      <c r="E299" s="64"/>
      <c r="G299" s="58"/>
      <c r="H299" s="58"/>
      <c r="I299" s="58"/>
      <c r="J299" s="58"/>
      <c r="K299" s="58"/>
      <c r="L299" s="57"/>
      <c r="M299" s="57"/>
      <c r="N299" s="57"/>
      <c r="O299" s="57"/>
      <c r="P299" s="57"/>
      <c r="R299" s="56"/>
      <c r="S299" s="56"/>
      <c r="T299" s="56"/>
      <c r="U299" s="56"/>
      <c r="V299" s="56"/>
      <c r="W299" s="56"/>
      <c r="X299" s="56"/>
      <c r="Y299" s="56"/>
      <c r="Z299" s="55"/>
      <c r="AA299" s="67"/>
      <c r="AB299" s="53"/>
      <c r="AC299" s="34"/>
      <c r="AD299" s="66"/>
    </row>
    <row r="300" spans="1:30">
      <c r="A300" s="70"/>
      <c r="B300" s="72"/>
      <c r="C300" s="71"/>
      <c r="D300" s="68"/>
      <c r="E300" s="64"/>
      <c r="G300" s="58"/>
      <c r="H300" s="58"/>
      <c r="I300" s="58"/>
      <c r="J300" s="58"/>
      <c r="K300" s="58"/>
      <c r="L300" s="57"/>
      <c r="M300" s="57"/>
      <c r="N300" s="57"/>
      <c r="O300" s="57"/>
      <c r="P300" s="57"/>
      <c r="R300" s="56"/>
      <c r="S300" s="56"/>
      <c r="T300" s="56"/>
      <c r="U300" s="56"/>
      <c r="V300" s="56"/>
      <c r="W300" s="56"/>
      <c r="X300" s="56"/>
      <c r="Y300" s="56"/>
      <c r="Z300" s="55"/>
      <c r="AA300" s="67"/>
      <c r="AB300" s="53"/>
      <c r="AC300" s="34"/>
      <c r="AD300" s="66"/>
    </row>
    <row r="301" spans="1:30">
      <c r="A301" s="70"/>
      <c r="B301" s="72"/>
      <c r="C301" s="71"/>
      <c r="D301" s="68"/>
      <c r="E301" s="64"/>
      <c r="G301" s="58"/>
      <c r="H301" s="58"/>
      <c r="I301" s="58"/>
      <c r="J301" s="58"/>
      <c r="K301" s="58"/>
      <c r="L301" s="57"/>
      <c r="M301" s="57"/>
      <c r="N301" s="57"/>
      <c r="O301" s="57"/>
      <c r="P301" s="57"/>
      <c r="R301" s="56"/>
      <c r="S301" s="56"/>
      <c r="T301" s="56"/>
      <c r="U301" s="56"/>
      <c r="V301" s="56"/>
      <c r="W301" s="56"/>
      <c r="X301" s="56"/>
      <c r="Y301" s="56"/>
      <c r="Z301" s="55"/>
      <c r="AA301" s="67"/>
      <c r="AB301" s="53"/>
      <c r="AC301" s="34"/>
      <c r="AD301" s="66"/>
    </row>
    <row r="302" spans="1:30">
      <c r="A302" s="73"/>
      <c r="B302" s="72"/>
      <c r="C302" s="71"/>
      <c r="D302" s="68"/>
      <c r="E302" s="64"/>
      <c r="G302" s="58"/>
      <c r="H302" s="58"/>
      <c r="I302" s="58"/>
      <c r="J302" s="58"/>
      <c r="K302" s="58"/>
      <c r="L302" s="57"/>
      <c r="M302" s="57"/>
      <c r="N302" s="57"/>
      <c r="O302" s="57"/>
      <c r="P302" s="57"/>
      <c r="R302" s="56"/>
      <c r="S302" s="56"/>
      <c r="T302" s="56"/>
      <c r="U302" s="56"/>
      <c r="V302" s="56"/>
      <c r="W302" s="56"/>
      <c r="X302" s="56"/>
      <c r="Y302" s="56"/>
      <c r="Z302" s="55"/>
      <c r="AA302" s="67"/>
      <c r="AB302" s="53"/>
      <c r="AC302" s="34"/>
      <c r="AD302" s="66"/>
    </row>
    <row r="303" spans="1:30">
      <c r="A303" s="65"/>
      <c r="B303" s="72"/>
      <c r="C303" s="71"/>
      <c r="D303" s="68"/>
      <c r="E303" s="64"/>
      <c r="G303" s="58"/>
      <c r="H303" s="58"/>
      <c r="I303" s="58"/>
      <c r="J303" s="58"/>
      <c r="K303" s="58"/>
      <c r="L303" s="57"/>
      <c r="M303" s="57"/>
      <c r="N303" s="57"/>
      <c r="O303" s="57"/>
      <c r="P303" s="57"/>
      <c r="R303" s="56"/>
      <c r="S303" s="56"/>
      <c r="T303" s="56"/>
      <c r="U303" s="56"/>
      <c r="V303" s="56"/>
      <c r="W303" s="56"/>
      <c r="X303" s="56"/>
      <c r="Y303" s="56"/>
      <c r="Z303" s="55"/>
      <c r="AA303" s="67"/>
      <c r="AB303" s="53"/>
      <c r="AC303" s="34"/>
      <c r="AD303" s="66"/>
    </row>
    <row r="304" spans="1:30">
      <c r="A304" s="70"/>
      <c r="B304" s="72"/>
      <c r="C304" s="71"/>
      <c r="D304" s="68"/>
      <c r="E304" s="64"/>
      <c r="G304" s="58"/>
      <c r="H304" s="58"/>
      <c r="I304" s="58"/>
      <c r="J304" s="58"/>
      <c r="K304" s="58"/>
      <c r="L304" s="57"/>
      <c r="M304" s="57"/>
      <c r="N304" s="57"/>
      <c r="O304" s="57"/>
      <c r="P304" s="57"/>
      <c r="R304" s="56"/>
      <c r="S304" s="56"/>
      <c r="T304" s="56"/>
      <c r="U304" s="56"/>
      <c r="V304" s="56"/>
      <c r="W304" s="56"/>
      <c r="X304" s="56"/>
      <c r="Y304" s="56"/>
      <c r="Z304" s="55"/>
      <c r="AA304" s="67"/>
      <c r="AB304" s="53"/>
      <c r="AC304" s="34"/>
      <c r="AD304" s="66"/>
    </row>
    <row r="305" spans="1:30">
      <c r="A305" s="70"/>
      <c r="B305" s="72"/>
      <c r="C305" s="71"/>
      <c r="D305" s="68"/>
      <c r="E305" s="64"/>
      <c r="G305" s="58"/>
      <c r="H305" s="58"/>
      <c r="I305" s="58"/>
      <c r="J305" s="58"/>
      <c r="K305" s="58"/>
      <c r="L305" s="57"/>
      <c r="M305" s="57"/>
      <c r="N305" s="57"/>
      <c r="O305" s="57"/>
      <c r="P305" s="57"/>
      <c r="R305" s="56"/>
      <c r="S305" s="56"/>
      <c r="T305" s="56"/>
      <c r="U305" s="56"/>
      <c r="V305" s="56"/>
      <c r="W305" s="56"/>
      <c r="X305" s="56"/>
      <c r="Y305" s="56"/>
      <c r="Z305" s="55"/>
      <c r="AA305" s="67"/>
      <c r="AB305" s="53"/>
      <c r="AC305" s="34"/>
      <c r="AD305" s="66"/>
    </row>
    <row r="306" spans="1:30">
      <c r="A306" s="70"/>
      <c r="B306" s="72"/>
      <c r="C306" s="71"/>
      <c r="D306" s="68"/>
      <c r="E306" s="64"/>
      <c r="G306" s="58"/>
      <c r="H306" s="58"/>
      <c r="I306" s="58"/>
      <c r="J306" s="58"/>
      <c r="K306" s="58"/>
      <c r="L306" s="57"/>
      <c r="M306" s="57"/>
      <c r="N306" s="57"/>
      <c r="O306" s="57"/>
      <c r="P306" s="57"/>
      <c r="R306" s="56"/>
      <c r="S306" s="56"/>
      <c r="T306" s="56"/>
      <c r="U306" s="56"/>
      <c r="V306" s="56"/>
      <c r="W306" s="56"/>
      <c r="X306" s="56"/>
      <c r="Y306" s="56"/>
      <c r="Z306" s="55"/>
      <c r="AA306" s="67"/>
      <c r="AB306" s="53"/>
      <c r="AC306" s="34"/>
      <c r="AD306" s="66"/>
    </row>
    <row r="307" spans="1:30">
      <c r="A307" s="70"/>
      <c r="B307" s="72"/>
      <c r="C307" s="71"/>
      <c r="D307" s="68"/>
      <c r="E307" s="64"/>
      <c r="G307" s="58"/>
      <c r="H307" s="58"/>
      <c r="I307" s="58"/>
      <c r="J307" s="58"/>
      <c r="K307" s="58"/>
      <c r="L307" s="57"/>
      <c r="M307" s="57"/>
      <c r="N307" s="57"/>
      <c r="O307" s="57"/>
      <c r="P307" s="57"/>
      <c r="R307" s="56"/>
      <c r="S307" s="56"/>
      <c r="T307" s="56"/>
      <c r="U307" s="56"/>
      <c r="V307" s="56"/>
      <c r="W307" s="56"/>
      <c r="X307" s="56"/>
      <c r="Y307" s="56"/>
      <c r="Z307" s="55"/>
      <c r="AA307" s="67"/>
      <c r="AB307" s="53"/>
      <c r="AC307" s="34"/>
      <c r="AD307" s="66"/>
    </row>
    <row r="308" spans="1:30">
      <c r="A308" s="70"/>
      <c r="B308" s="72"/>
      <c r="C308" s="71"/>
      <c r="D308" s="68"/>
      <c r="E308" s="64"/>
      <c r="G308" s="58"/>
      <c r="H308" s="58"/>
      <c r="I308" s="58"/>
      <c r="J308" s="58"/>
      <c r="K308" s="58"/>
      <c r="L308" s="57"/>
      <c r="M308" s="57"/>
      <c r="N308" s="57"/>
      <c r="O308" s="57"/>
      <c r="P308" s="57"/>
      <c r="R308" s="56"/>
      <c r="S308" s="56"/>
      <c r="T308" s="56"/>
      <c r="U308" s="56"/>
      <c r="V308" s="56"/>
      <c r="W308" s="56"/>
      <c r="X308" s="56"/>
      <c r="Y308" s="56"/>
      <c r="Z308" s="55"/>
      <c r="AA308" s="67"/>
      <c r="AB308" s="53"/>
      <c r="AC308" s="34"/>
      <c r="AD308" s="66"/>
    </row>
    <row r="309" spans="1:30">
      <c r="A309" s="70"/>
      <c r="B309" s="72"/>
      <c r="C309" s="71"/>
      <c r="D309" s="68"/>
      <c r="E309" s="64"/>
      <c r="G309" s="58"/>
      <c r="H309" s="58"/>
      <c r="I309" s="58"/>
      <c r="J309" s="58"/>
      <c r="K309" s="58"/>
      <c r="L309" s="57"/>
      <c r="M309" s="57"/>
      <c r="N309" s="57"/>
      <c r="O309" s="57"/>
      <c r="P309" s="57"/>
      <c r="R309" s="56"/>
      <c r="S309" s="56"/>
      <c r="T309" s="56"/>
      <c r="U309" s="56"/>
      <c r="V309" s="56"/>
      <c r="W309" s="56"/>
      <c r="X309" s="56"/>
      <c r="Y309" s="56"/>
      <c r="Z309" s="55"/>
      <c r="AA309" s="67"/>
      <c r="AB309" s="53"/>
      <c r="AC309" s="34"/>
      <c r="AD309" s="66"/>
    </row>
    <row r="310" spans="1:30">
      <c r="A310" s="70"/>
      <c r="B310" s="62"/>
      <c r="C310" s="69"/>
      <c r="D310" s="68"/>
      <c r="E310" s="64"/>
      <c r="G310" s="58"/>
      <c r="H310" s="58"/>
      <c r="I310" s="58"/>
      <c r="J310" s="58"/>
      <c r="K310" s="58"/>
      <c r="L310" s="57"/>
      <c r="M310" s="57"/>
      <c r="N310" s="57"/>
      <c r="O310" s="57"/>
      <c r="P310" s="57"/>
      <c r="R310" s="56"/>
      <c r="S310" s="56"/>
      <c r="T310" s="56"/>
      <c r="U310" s="56"/>
      <c r="V310" s="56"/>
      <c r="W310" s="56"/>
      <c r="X310" s="56"/>
      <c r="Y310" s="56"/>
      <c r="Z310" s="55"/>
      <c r="AA310" s="67"/>
      <c r="AB310" s="53"/>
      <c r="AC310" s="34"/>
      <c r="AD310" s="66"/>
    </row>
    <row r="311" spans="1:30">
      <c r="A311" s="65"/>
      <c r="B311" s="62"/>
      <c r="C311" s="43"/>
      <c r="D311" s="42"/>
      <c r="E311" s="64"/>
      <c r="G311" s="58"/>
      <c r="H311" s="58"/>
      <c r="I311" s="58"/>
      <c r="J311" s="58"/>
      <c r="K311" s="58"/>
      <c r="L311" s="57"/>
      <c r="M311" s="57"/>
      <c r="N311" s="57"/>
      <c r="O311" s="57"/>
      <c r="P311" s="57"/>
      <c r="R311" s="56"/>
      <c r="S311" s="56"/>
      <c r="T311" s="56"/>
      <c r="U311" s="56"/>
      <c r="V311" s="56"/>
      <c r="W311" s="56"/>
      <c r="X311" s="56"/>
      <c r="Y311" s="56"/>
      <c r="Z311" s="55"/>
      <c r="AA311" s="54"/>
      <c r="AB311" s="63"/>
      <c r="AC311" s="34"/>
      <c r="AD311" s="33"/>
    </row>
    <row r="312" spans="1:30">
      <c r="A312" s="45"/>
      <c r="B312" s="62"/>
      <c r="C312" s="43"/>
      <c r="D312" s="42"/>
      <c r="E312" s="41"/>
      <c r="G312" s="49"/>
      <c r="H312" s="49"/>
      <c r="I312" s="49"/>
      <c r="J312" s="49"/>
      <c r="K312" s="49"/>
      <c r="L312" s="48"/>
      <c r="M312" s="48"/>
      <c r="N312" s="48"/>
      <c r="O312" s="48"/>
      <c r="P312" s="48"/>
      <c r="R312" s="47"/>
      <c r="S312" s="47"/>
      <c r="T312" s="47"/>
      <c r="U312" s="47"/>
      <c r="V312" s="47"/>
      <c r="W312" s="47"/>
      <c r="X312" s="47"/>
      <c r="Y312" s="47"/>
      <c r="Z312" s="46"/>
      <c r="AA312" s="61"/>
      <c r="AB312" s="35"/>
      <c r="AC312" s="34"/>
      <c r="AD312" s="33"/>
    </row>
    <row r="313" spans="1:30">
      <c r="A313" s="45"/>
      <c r="B313" s="44"/>
      <c r="C313" s="43"/>
      <c r="D313" s="60"/>
      <c r="E313" s="59"/>
      <c r="G313" s="58"/>
      <c r="H313" s="58"/>
      <c r="I313" s="58"/>
      <c r="J313" s="58"/>
      <c r="K313" s="58"/>
      <c r="L313" s="57"/>
      <c r="M313" s="57"/>
      <c r="N313" s="57"/>
      <c r="O313" s="57"/>
      <c r="P313" s="57"/>
      <c r="R313" s="56"/>
      <c r="S313" s="56"/>
      <c r="T313" s="56"/>
      <c r="U313" s="56"/>
      <c r="V313" s="56"/>
      <c r="W313" s="56"/>
      <c r="X313" s="56"/>
      <c r="Y313" s="56"/>
      <c r="Z313" s="55"/>
      <c r="AA313" s="54"/>
      <c r="AB313" s="53"/>
      <c r="AC313" s="34"/>
      <c r="AD313" s="33"/>
    </row>
    <row r="314" spans="1:30">
      <c r="A314" s="45"/>
      <c r="B314" s="44"/>
      <c r="C314" s="43"/>
      <c r="D314" s="42"/>
      <c r="E314" s="41"/>
      <c r="G314" s="40"/>
      <c r="H314" s="40"/>
      <c r="I314" s="40"/>
      <c r="J314" s="40"/>
      <c r="K314" s="40"/>
      <c r="L314" s="39"/>
      <c r="M314" s="39"/>
      <c r="N314" s="39"/>
      <c r="O314" s="39"/>
      <c r="P314" s="39"/>
      <c r="R314" s="38"/>
      <c r="S314" s="38"/>
      <c r="T314" s="38"/>
      <c r="U314" s="38"/>
      <c r="V314" s="38"/>
      <c r="W314" s="38"/>
      <c r="X314" s="38"/>
      <c r="Y314" s="38"/>
      <c r="Z314" s="37"/>
      <c r="AA314" s="36"/>
      <c r="AB314" s="35"/>
      <c r="AC314" s="34"/>
      <c r="AD314" s="33"/>
    </row>
    <row r="315" spans="1:30">
      <c r="A315" s="52"/>
      <c r="B315" s="51"/>
      <c r="C315" s="43"/>
      <c r="D315" s="42"/>
      <c r="E315" s="50"/>
      <c r="G315" s="49"/>
      <c r="H315" s="49"/>
      <c r="I315" s="49"/>
      <c r="J315" s="49"/>
      <c r="K315" s="49"/>
      <c r="L315" s="48"/>
      <c r="M315" s="48"/>
      <c r="N315" s="48"/>
      <c r="O315" s="48"/>
      <c r="P315" s="48"/>
      <c r="R315" s="47"/>
      <c r="S315" s="47"/>
      <c r="T315" s="47"/>
      <c r="U315" s="47"/>
      <c r="V315" s="47"/>
      <c r="W315" s="47"/>
      <c r="X315" s="47"/>
      <c r="Y315" s="47"/>
      <c r="Z315" s="46"/>
      <c r="AA315" s="36"/>
      <c r="AB315" s="35"/>
      <c r="AC315" s="34"/>
      <c r="AD315" s="33"/>
    </row>
    <row r="316" spans="1:30">
      <c r="A316" s="45"/>
      <c r="B316" s="44"/>
      <c r="C316" s="43"/>
      <c r="D316" s="42"/>
      <c r="E316" s="41"/>
      <c r="G316" s="40"/>
      <c r="H316" s="40"/>
      <c r="I316" s="40"/>
      <c r="J316" s="40"/>
      <c r="K316" s="40"/>
      <c r="L316" s="39"/>
      <c r="M316" s="39"/>
      <c r="N316" s="39"/>
      <c r="O316" s="39"/>
      <c r="P316" s="39"/>
      <c r="R316" s="38"/>
      <c r="S316" s="38"/>
      <c r="T316" s="38"/>
      <c r="U316" s="38"/>
      <c r="V316" s="38"/>
      <c r="W316" s="38"/>
      <c r="X316" s="38"/>
      <c r="Y316" s="38"/>
      <c r="Z316" s="37"/>
      <c r="AA316" s="36"/>
      <c r="AB316" s="35"/>
      <c r="AC316" s="34"/>
      <c r="AD316" s="33"/>
    </row>
    <row r="317" spans="1:30">
      <c r="A317" s="45"/>
      <c r="B317" s="44"/>
      <c r="C317" s="43"/>
      <c r="D317" s="42"/>
      <c r="E317" s="41"/>
      <c r="G317" s="40"/>
      <c r="H317" s="40"/>
      <c r="I317" s="40"/>
      <c r="J317" s="40"/>
      <c r="K317" s="40"/>
      <c r="L317" s="39"/>
      <c r="M317" s="39"/>
      <c r="N317" s="39"/>
      <c r="O317" s="39"/>
      <c r="P317" s="39"/>
      <c r="R317" s="38"/>
      <c r="S317" s="38"/>
      <c r="T317" s="38"/>
      <c r="U317" s="38"/>
      <c r="V317" s="38"/>
      <c r="W317" s="38"/>
      <c r="X317" s="38"/>
      <c r="Y317" s="38"/>
      <c r="Z317" s="37"/>
      <c r="AA317" s="36"/>
      <c r="AB317" s="35"/>
      <c r="AC317" s="34"/>
      <c r="AD317" s="33"/>
    </row>
    <row r="318" spans="1:30">
      <c r="A318" s="20"/>
      <c r="B318" s="11"/>
      <c r="C318" s="28"/>
      <c r="D318" s="26"/>
      <c r="E318" s="29"/>
      <c r="G318" s="19"/>
      <c r="H318" s="19"/>
      <c r="I318" s="19"/>
      <c r="J318" s="19"/>
      <c r="K318" s="19"/>
      <c r="L318" s="18"/>
      <c r="M318" s="18"/>
      <c r="N318" s="18"/>
      <c r="O318" s="18"/>
      <c r="P318" s="18"/>
      <c r="R318" s="17"/>
      <c r="S318" s="17"/>
      <c r="T318" s="17"/>
      <c r="U318" s="17"/>
      <c r="V318" s="17"/>
      <c r="W318" s="17"/>
      <c r="X318" s="17"/>
      <c r="Y318" s="17"/>
      <c r="Z318" s="16"/>
      <c r="AA318" s="15"/>
      <c r="AB318" s="30"/>
      <c r="AC318" s="14"/>
      <c r="AD318" s="13"/>
    </row>
    <row r="319" spans="1:30">
      <c r="A319" s="20"/>
      <c r="B319" s="11"/>
      <c r="C319" s="28"/>
      <c r="D319" s="26"/>
      <c r="E319" s="29"/>
      <c r="G319" s="19"/>
      <c r="H319" s="19"/>
      <c r="I319" s="19"/>
      <c r="J319" s="19"/>
      <c r="K319" s="19"/>
      <c r="L319" s="18"/>
      <c r="M319" s="18"/>
      <c r="N319" s="18"/>
      <c r="O319" s="18"/>
      <c r="P319" s="18"/>
      <c r="R319" s="17"/>
      <c r="S319" s="17"/>
      <c r="T319" s="17"/>
      <c r="U319" s="17"/>
      <c r="V319" s="17"/>
      <c r="W319" s="17"/>
      <c r="X319" s="17"/>
      <c r="Y319" s="17"/>
      <c r="Z319" s="16"/>
      <c r="AA319" s="15"/>
      <c r="AB319" s="30"/>
      <c r="AC319" s="14"/>
      <c r="AD319" s="13"/>
    </row>
    <row r="320" spans="1:30">
      <c r="A320" s="20"/>
      <c r="B320" s="11"/>
      <c r="C320" s="28"/>
      <c r="D320" s="26"/>
      <c r="E320" s="29"/>
      <c r="G320" s="19"/>
      <c r="H320" s="19"/>
      <c r="I320" s="19"/>
      <c r="J320" s="19"/>
      <c r="K320" s="19"/>
      <c r="L320" s="18"/>
      <c r="M320" s="18"/>
      <c r="N320" s="18"/>
      <c r="O320" s="18"/>
      <c r="P320" s="18"/>
      <c r="R320" s="17"/>
      <c r="S320" s="17"/>
      <c r="T320" s="17"/>
      <c r="U320" s="17"/>
      <c r="V320" s="17"/>
      <c r="W320" s="17"/>
      <c r="X320" s="17"/>
      <c r="Y320" s="17"/>
      <c r="Z320" s="16"/>
      <c r="AA320" s="15"/>
      <c r="AB320" s="30"/>
      <c r="AC320" s="14"/>
      <c r="AD320" s="13"/>
    </row>
    <row r="321" spans="1:30">
      <c r="A321" s="20"/>
      <c r="B321" s="11"/>
      <c r="C321" s="28"/>
      <c r="D321" s="26"/>
      <c r="E321" s="29"/>
      <c r="G321" s="19"/>
      <c r="H321" s="19"/>
      <c r="I321" s="19"/>
      <c r="J321" s="19"/>
      <c r="K321" s="19"/>
      <c r="L321" s="18"/>
      <c r="M321" s="18"/>
      <c r="N321" s="18"/>
      <c r="O321" s="18"/>
      <c r="P321" s="18"/>
      <c r="R321" s="17"/>
      <c r="S321" s="17"/>
      <c r="T321" s="17"/>
      <c r="U321" s="17"/>
      <c r="V321" s="17"/>
      <c r="W321" s="17"/>
      <c r="X321" s="17"/>
      <c r="Y321" s="17"/>
      <c r="Z321" s="16"/>
      <c r="AA321" s="15"/>
      <c r="AB321" s="30"/>
      <c r="AC321" s="14"/>
      <c r="AD321" s="13"/>
    </row>
    <row r="322" spans="1:30">
      <c r="A322" s="20"/>
      <c r="B322" s="11"/>
      <c r="C322" s="28"/>
      <c r="D322" s="26"/>
      <c r="E322" s="29"/>
      <c r="G322" s="19"/>
      <c r="H322" s="19"/>
      <c r="I322" s="19"/>
      <c r="J322" s="19"/>
      <c r="K322" s="19"/>
      <c r="L322" s="18"/>
      <c r="M322" s="18"/>
      <c r="N322" s="18"/>
      <c r="O322" s="18"/>
      <c r="P322" s="18"/>
      <c r="R322" s="17"/>
      <c r="S322" s="17"/>
      <c r="T322" s="17"/>
      <c r="U322" s="17"/>
      <c r="V322" s="17"/>
      <c r="W322" s="17"/>
      <c r="X322" s="17"/>
      <c r="Y322" s="17"/>
      <c r="Z322" s="16"/>
      <c r="AA322" s="31"/>
      <c r="AB322" s="30"/>
      <c r="AC322" s="14"/>
      <c r="AD322" s="13"/>
    </row>
    <row r="323" spans="1:30">
      <c r="A323" s="20"/>
      <c r="B323" s="11"/>
      <c r="C323" s="28"/>
      <c r="D323" s="26"/>
      <c r="E323" s="29"/>
      <c r="G323" s="19"/>
      <c r="H323" s="19"/>
      <c r="I323" s="19"/>
      <c r="J323" s="19"/>
      <c r="K323" s="19"/>
      <c r="L323" s="18"/>
      <c r="M323" s="18"/>
      <c r="N323" s="18"/>
      <c r="O323" s="18"/>
      <c r="P323" s="18"/>
      <c r="R323" s="17"/>
      <c r="S323" s="17"/>
      <c r="T323" s="17"/>
      <c r="U323" s="17"/>
      <c r="V323" s="17"/>
      <c r="W323" s="17"/>
      <c r="X323" s="17"/>
      <c r="Y323" s="17"/>
      <c r="Z323" s="16"/>
      <c r="AA323" s="31"/>
      <c r="AB323" s="30"/>
      <c r="AC323" s="14"/>
      <c r="AD323" s="13"/>
    </row>
    <row r="324" spans="1:30">
      <c r="A324" s="20"/>
      <c r="B324" s="11"/>
      <c r="C324" s="28"/>
      <c r="D324" s="26"/>
      <c r="E324" s="29"/>
      <c r="G324" s="19"/>
      <c r="H324" s="19"/>
      <c r="I324" s="19"/>
      <c r="J324" s="19"/>
      <c r="K324" s="19"/>
      <c r="L324" s="18"/>
      <c r="M324" s="18"/>
      <c r="N324" s="18"/>
      <c r="O324" s="18"/>
      <c r="P324" s="18"/>
      <c r="R324" s="17"/>
      <c r="S324" s="17"/>
      <c r="T324" s="17"/>
      <c r="U324" s="17"/>
      <c r="V324" s="17"/>
      <c r="W324" s="17"/>
      <c r="X324" s="17"/>
      <c r="Y324" s="17"/>
      <c r="Z324" s="16"/>
      <c r="AA324" s="15"/>
      <c r="AB324" s="30"/>
      <c r="AC324" s="14"/>
      <c r="AD324" s="13"/>
    </row>
    <row r="325" spans="1:30">
      <c r="A325" s="20"/>
      <c r="B325" s="11"/>
      <c r="C325" s="28"/>
      <c r="D325" s="26"/>
      <c r="E325" s="29"/>
      <c r="G325" s="19"/>
      <c r="H325" s="19"/>
      <c r="I325" s="19"/>
      <c r="J325" s="19"/>
      <c r="K325" s="19"/>
      <c r="L325" s="18"/>
      <c r="M325" s="18"/>
      <c r="N325" s="18"/>
      <c r="O325" s="18"/>
      <c r="P325" s="18"/>
      <c r="R325" s="17"/>
      <c r="S325" s="17"/>
      <c r="T325" s="17"/>
      <c r="U325" s="17"/>
      <c r="V325" s="17"/>
      <c r="W325" s="17"/>
      <c r="X325" s="17"/>
      <c r="Y325" s="17"/>
      <c r="Z325" s="16"/>
      <c r="AA325" s="15"/>
      <c r="AB325" s="30"/>
      <c r="AC325" s="14"/>
      <c r="AD325" s="13"/>
    </row>
    <row r="326" spans="1:30">
      <c r="A326" s="20"/>
      <c r="B326" s="11"/>
      <c r="C326" s="28"/>
      <c r="D326" s="26"/>
      <c r="E326" s="29"/>
      <c r="G326" s="19"/>
      <c r="H326" s="19"/>
      <c r="I326" s="19"/>
      <c r="J326" s="19"/>
      <c r="K326" s="19"/>
      <c r="L326" s="18"/>
      <c r="M326" s="18"/>
      <c r="N326" s="18"/>
      <c r="O326" s="18"/>
      <c r="P326" s="18"/>
      <c r="R326" s="17"/>
      <c r="S326" s="17"/>
      <c r="T326" s="17"/>
      <c r="U326" s="17"/>
      <c r="V326" s="17"/>
      <c r="W326" s="17"/>
      <c r="X326" s="17"/>
      <c r="Y326" s="17"/>
      <c r="Z326" s="16"/>
      <c r="AA326" s="31"/>
      <c r="AB326" s="30"/>
      <c r="AC326" s="14"/>
      <c r="AD326" s="13"/>
    </row>
    <row r="327" spans="1:30">
      <c r="A327" s="20"/>
      <c r="B327" s="11"/>
      <c r="C327" s="28"/>
      <c r="D327" s="26"/>
      <c r="E327" s="29"/>
      <c r="G327" s="19"/>
      <c r="H327" s="19"/>
      <c r="I327" s="19"/>
      <c r="J327" s="19"/>
      <c r="K327" s="19"/>
      <c r="L327" s="18"/>
      <c r="M327" s="18"/>
      <c r="N327" s="18"/>
      <c r="O327" s="18"/>
      <c r="P327" s="18"/>
      <c r="R327" s="17"/>
      <c r="S327" s="17"/>
      <c r="T327" s="17"/>
      <c r="U327" s="17"/>
      <c r="V327" s="17"/>
      <c r="W327" s="17"/>
      <c r="X327" s="17"/>
      <c r="Y327" s="17"/>
      <c r="Z327" s="16"/>
      <c r="AA327" s="31"/>
      <c r="AB327" s="30"/>
      <c r="AC327" s="14"/>
      <c r="AD327" s="13"/>
    </row>
    <row r="328" spans="1:30">
      <c r="A328" s="20"/>
      <c r="B328" s="11"/>
      <c r="C328" s="28"/>
      <c r="D328" s="26"/>
      <c r="E328" s="29"/>
      <c r="G328" s="19"/>
      <c r="H328" s="19"/>
      <c r="I328" s="19"/>
      <c r="J328" s="19"/>
      <c r="K328" s="19"/>
      <c r="L328" s="18"/>
      <c r="M328" s="18"/>
      <c r="N328" s="18"/>
      <c r="O328" s="18"/>
      <c r="P328" s="18"/>
      <c r="R328" s="17"/>
      <c r="S328" s="17"/>
      <c r="T328" s="17"/>
      <c r="U328" s="17"/>
      <c r="V328" s="17"/>
      <c r="W328" s="17"/>
      <c r="X328" s="17"/>
      <c r="Y328" s="17"/>
      <c r="Z328" s="16"/>
      <c r="AA328" s="15"/>
      <c r="AB328" s="30"/>
      <c r="AC328" s="14"/>
      <c r="AD328" s="13"/>
    </row>
    <row r="329" spans="1:30">
      <c r="A329" s="20"/>
      <c r="B329" s="11"/>
      <c r="C329" s="28"/>
      <c r="D329" s="26"/>
      <c r="E329" s="29"/>
      <c r="G329" s="19"/>
      <c r="H329" s="19"/>
      <c r="I329" s="19"/>
      <c r="J329" s="19"/>
      <c r="K329" s="19"/>
      <c r="L329" s="18"/>
      <c r="M329" s="18"/>
      <c r="N329" s="18"/>
      <c r="O329" s="18"/>
      <c r="P329" s="18"/>
      <c r="R329" s="17"/>
      <c r="S329" s="17"/>
      <c r="T329" s="17"/>
      <c r="U329" s="17"/>
      <c r="V329" s="17"/>
      <c r="W329" s="17"/>
      <c r="X329" s="17"/>
      <c r="Y329" s="17"/>
      <c r="Z329" s="16"/>
      <c r="AA329" s="15"/>
      <c r="AB329" s="30"/>
      <c r="AC329" s="14"/>
      <c r="AD329" s="13"/>
    </row>
    <row r="330" spans="1:30">
      <c r="A330" s="20"/>
      <c r="B330" s="11"/>
      <c r="C330" s="28"/>
      <c r="D330" s="26"/>
      <c r="E330" s="29"/>
      <c r="G330" s="19"/>
      <c r="H330" s="19"/>
      <c r="I330" s="19"/>
      <c r="J330" s="19"/>
      <c r="K330" s="19"/>
      <c r="L330" s="18"/>
      <c r="M330" s="18"/>
      <c r="N330" s="18"/>
      <c r="O330" s="18"/>
      <c r="P330" s="18"/>
      <c r="R330" s="17"/>
      <c r="S330" s="17"/>
      <c r="T330" s="17"/>
      <c r="U330" s="17"/>
      <c r="V330" s="17"/>
      <c r="W330" s="17"/>
      <c r="X330" s="17"/>
      <c r="Y330" s="17"/>
      <c r="Z330" s="16"/>
      <c r="AA330" s="31"/>
      <c r="AB330" s="30"/>
      <c r="AC330" s="14"/>
      <c r="AD330" s="13"/>
    </row>
    <row r="331" spans="1:30">
      <c r="A331" s="20"/>
      <c r="B331" s="11"/>
      <c r="C331" s="28"/>
      <c r="D331" s="26"/>
      <c r="E331" s="29"/>
      <c r="G331" s="19"/>
      <c r="H331" s="19"/>
      <c r="I331" s="19"/>
      <c r="J331" s="19"/>
      <c r="K331" s="19"/>
      <c r="L331" s="18"/>
      <c r="M331" s="18"/>
      <c r="N331" s="18"/>
      <c r="O331" s="18"/>
      <c r="P331" s="18"/>
      <c r="R331" s="17"/>
      <c r="S331" s="17"/>
      <c r="T331" s="17"/>
      <c r="U331" s="17"/>
      <c r="V331" s="17"/>
      <c r="W331" s="17"/>
      <c r="X331" s="17"/>
      <c r="Y331" s="17"/>
      <c r="Z331" s="16"/>
      <c r="AA331" s="31"/>
      <c r="AB331" s="30"/>
      <c r="AC331" s="14"/>
      <c r="AD331" s="13"/>
    </row>
    <row r="332" spans="1:30">
      <c r="A332" s="20"/>
      <c r="B332" s="11"/>
      <c r="C332" s="28"/>
      <c r="D332" s="26"/>
      <c r="E332" s="29"/>
      <c r="G332" s="19"/>
      <c r="H332" s="19"/>
      <c r="I332" s="19"/>
      <c r="J332" s="19"/>
      <c r="K332" s="19"/>
      <c r="L332" s="18"/>
      <c r="M332" s="18"/>
      <c r="N332" s="18"/>
      <c r="O332" s="18"/>
      <c r="P332" s="18"/>
      <c r="R332" s="17"/>
      <c r="S332" s="17"/>
      <c r="T332" s="17"/>
      <c r="U332" s="17"/>
      <c r="V332" s="17"/>
      <c r="W332" s="17"/>
      <c r="X332" s="17"/>
      <c r="Y332" s="17"/>
      <c r="Z332" s="16"/>
      <c r="AA332" s="15"/>
      <c r="AB332" s="30"/>
      <c r="AC332" s="14"/>
      <c r="AD332" s="13"/>
    </row>
    <row r="333" spans="1:30">
      <c r="A333" s="20"/>
      <c r="B333" s="11"/>
      <c r="C333" s="28"/>
      <c r="D333" s="26"/>
      <c r="E333" s="29"/>
      <c r="G333" s="19"/>
      <c r="H333" s="19"/>
      <c r="I333" s="19"/>
      <c r="J333" s="19"/>
      <c r="K333" s="19"/>
      <c r="L333" s="18"/>
      <c r="M333" s="18"/>
      <c r="N333" s="18"/>
      <c r="O333" s="18"/>
      <c r="P333" s="18"/>
      <c r="R333" s="17"/>
      <c r="S333" s="17"/>
      <c r="T333" s="17"/>
      <c r="U333" s="17"/>
      <c r="V333" s="17"/>
      <c r="W333" s="17"/>
      <c r="X333" s="17"/>
      <c r="Y333" s="17"/>
      <c r="Z333" s="16"/>
      <c r="AA333" s="15"/>
      <c r="AB333" s="30"/>
      <c r="AC333" s="14"/>
      <c r="AD333" s="13"/>
    </row>
    <row r="334" spans="1:30">
      <c r="A334" s="20"/>
      <c r="B334" s="11"/>
      <c r="C334" s="28"/>
      <c r="D334" s="26"/>
      <c r="E334" s="29"/>
      <c r="G334" s="19"/>
      <c r="H334" s="19"/>
      <c r="I334" s="19"/>
      <c r="J334" s="19"/>
      <c r="K334" s="19"/>
      <c r="L334" s="18"/>
      <c r="M334" s="18"/>
      <c r="N334" s="18"/>
      <c r="O334" s="18"/>
      <c r="P334" s="18"/>
      <c r="R334" s="17"/>
      <c r="S334" s="17"/>
      <c r="T334" s="17"/>
      <c r="U334" s="17"/>
      <c r="V334" s="17"/>
      <c r="W334" s="17"/>
      <c r="X334" s="17"/>
      <c r="Y334" s="17"/>
      <c r="Z334" s="16"/>
      <c r="AA334" s="31"/>
      <c r="AB334" s="30"/>
      <c r="AC334" s="14"/>
      <c r="AD334" s="13"/>
    </row>
    <row r="335" spans="1:30">
      <c r="A335" s="20"/>
      <c r="B335" s="11"/>
      <c r="C335" s="28"/>
      <c r="D335" s="26"/>
      <c r="E335" s="29"/>
      <c r="G335" s="19"/>
      <c r="H335" s="19"/>
      <c r="I335" s="19"/>
      <c r="J335" s="19"/>
      <c r="K335" s="19"/>
      <c r="L335" s="18"/>
      <c r="M335" s="18"/>
      <c r="N335" s="18"/>
      <c r="O335" s="18"/>
      <c r="P335" s="18"/>
      <c r="R335" s="17"/>
      <c r="S335" s="17"/>
      <c r="T335" s="17"/>
      <c r="U335" s="17"/>
      <c r="V335" s="17"/>
      <c r="W335" s="17"/>
      <c r="X335" s="17"/>
      <c r="Y335" s="17"/>
      <c r="Z335" s="16"/>
      <c r="AA335" s="31"/>
      <c r="AB335" s="30"/>
      <c r="AC335" s="14"/>
      <c r="AD335" s="13"/>
    </row>
    <row r="336" spans="1:30">
      <c r="A336" s="20"/>
      <c r="B336" s="11"/>
      <c r="C336" s="28"/>
      <c r="D336" s="26"/>
      <c r="E336" s="29"/>
      <c r="G336" s="19"/>
      <c r="H336" s="19"/>
      <c r="I336" s="19"/>
      <c r="J336" s="19"/>
      <c r="K336" s="19"/>
      <c r="L336" s="18"/>
      <c r="M336" s="18"/>
      <c r="N336" s="18"/>
      <c r="O336" s="18"/>
      <c r="P336" s="18"/>
      <c r="R336" s="17"/>
      <c r="S336" s="17"/>
      <c r="T336" s="17"/>
      <c r="U336" s="17"/>
      <c r="V336" s="17"/>
      <c r="W336" s="17"/>
      <c r="X336" s="17"/>
      <c r="Y336" s="17"/>
      <c r="Z336" s="16"/>
      <c r="AA336" s="15"/>
      <c r="AB336" s="30"/>
      <c r="AC336" s="14"/>
      <c r="AD336" s="13"/>
    </row>
    <row r="337" spans="1:30">
      <c r="A337" s="20"/>
      <c r="B337" s="11"/>
      <c r="C337" s="28"/>
      <c r="D337" s="26"/>
      <c r="E337" s="29"/>
      <c r="G337" s="19"/>
      <c r="H337" s="19"/>
      <c r="I337" s="19"/>
      <c r="J337" s="19"/>
      <c r="K337" s="19"/>
      <c r="L337" s="18"/>
      <c r="M337" s="18"/>
      <c r="N337" s="18"/>
      <c r="O337" s="18"/>
      <c r="P337" s="18"/>
      <c r="R337" s="17"/>
      <c r="S337" s="17"/>
      <c r="T337" s="17"/>
      <c r="U337" s="17"/>
      <c r="V337" s="17"/>
      <c r="W337" s="17"/>
      <c r="X337" s="17"/>
      <c r="Y337" s="17"/>
      <c r="Z337" s="16"/>
      <c r="AA337" s="15"/>
      <c r="AB337" s="30"/>
      <c r="AC337" s="14"/>
      <c r="AD337" s="13"/>
    </row>
    <row r="338" spans="1:30">
      <c r="A338" s="20"/>
      <c r="B338" s="11"/>
      <c r="C338" s="28"/>
      <c r="D338" s="26"/>
      <c r="E338" s="29"/>
      <c r="G338" s="19"/>
      <c r="H338" s="19"/>
      <c r="I338" s="19"/>
      <c r="J338" s="19"/>
      <c r="K338" s="19"/>
      <c r="L338" s="18"/>
      <c r="M338" s="18"/>
      <c r="N338" s="18"/>
      <c r="O338" s="18"/>
      <c r="P338" s="18"/>
      <c r="R338" s="17"/>
      <c r="S338" s="17"/>
      <c r="T338" s="17"/>
      <c r="U338" s="17"/>
      <c r="V338" s="17"/>
      <c r="W338" s="17"/>
      <c r="X338" s="17"/>
      <c r="Y338" s="17"/>
      <c r="Z338" s="16"/>
      <c r="AA338" s="31"/>
      <c r="AB338" s="30"/>
      <c r="AC338" s="14"/>
      <c r="AD338" s="13"/>
    </row>
    <row r="339" spans="1:30">
      <c r="A339" s="20"/>
      <c r="B339" s="11"/>
      <c r="C339" s="28"/>
      <c r="D339" s="26"/>
      <c r="E339" s="29"/>
      <c r="G339" s="19"/>
      <c r="H339" s="19"/>
      <c r="I339" s="19"/>
      <c r="J339" s="19"/>
      <c r="K339" s="19"/>
      <c r="L339" s="18"/>
      <c r="M339" s="18"/>
      <c r="N339" s="18"/>
      <c r="O339" s="18"/>
      <c r="P339" s="18"/>
      <c r="R339" s="17"/>
      <c r="S339" s="17"/>
      <c r="T339" s="17"/>
      <c r="U339" s="17"/>
      <c r="V339" s="17"/>
      <c r="W339" s="17"/>
      <c r="X339" s="17"/>
      <c r="Y339" s="17"/>
      <c r="Z339" s="16"/>
      <c r="AA339" s="31"/>
      <c r="AB339" s="30"/>
      <c r="AC339" s="14"/>
      <c r="AD339" s="13"/>
    </row>
    <row r="340" spans="1:30">
      <c r="A340" s="20"/>
      <c r="B340" s="11"/>
      <c r="C340" s="28"/>
      <c r="D340" s="26"/>
      <c r="E340" s="29"/>
      <c r="G340" s="19"/>
      <c r="H340" s="19"/>
      <c r="I340" s="19"/>
      <c r="J340" s="19"/>
      <c r="K340" s="19"/>
      <c r="L340" s="18"/>
      <c r="M340" s="18"/>
      <c r="N340" s="18"/>
      <c r="O340" s="18"/>
      <c r="P340" s="18"/>
      <c r="R340" s="17"/>
      <c r="S340" s="17"/>
      <c r="T340" s="17"/>
      <c r="U340" s="17"/>
      <c r="V340" s="17"/>
      <c r="W340" s="17"/>
      <c r="X340" s="17"/>
      <c r="Y340" s="17"/>
      <c r="Z340" s="16"/>
      <c r="AA340" s="15"/>
      <c r="AB340" s="30"/>
      <c r="AC340" s="14"/>
      <c r="AD340" s="13"/>
    </row>
    <row r="341" spans="1:30">
      <c r="A341" s="20"/>
      <c r="B341" s="11"/>
      <c r="C341" s="28"/>
      <c r="D341" s="26"/>
      <c r="E341" s="29"/>
      <c r="G341" s="19"/>
      <c r="H341" s="19"/>
      <c r="I341" s="19"/>
      <c r="J341" s="19"/>
      <c r="K341" s="19"/>
      <c r="L341" s="18"/>
      <c r="M341" s="18"/>
      <c r="N341" s="18"/>
      <c r="O341" s="18"/>
      <c r="P341" s="18"/>
      <c r="R341" s="17"/>
      <c r="S341" s="17"/>
      <c r="T341" s="17"/>
      <c r="U341" s="17"/>
      <c r="V341" s="17"/>
      <c r="W341" s="17"/>
      <c r="X341" s="17"/>
      <c r="Y341" s="17"/>
      <c r="Z341" s="16"/>
      <c r="AA341" s="15"/>
      <c r="AB341" s="30"/>
      <c r="AC341" s="14"/>
      <c r="AD341" s="13"/>
    </row>
    <row r="342" spans="1:30">
      <c r="A342" s="20"/>
      <c r="B342" s="11"/>
      <c r="C342" s="28"/>
      <c r="D342" s="26"/>
      <c r="E342" s="29"/>
      <c r="G342" s="19"/>
      <c r="H342" s="19"/>
      <c r="I342" s="19"/>
      <c r="J342" s="19"/>
      <c r="K342" s="19"/>
      <c r="L342" s="18"/>
      <c r="M342" s="18"/>
      <c r="N342" s="18"/>
      <c r="O342" s="18"/>
      <c r="P342" s="18"/>
      <c r="R342" s="17"/>
      <c r="S342" s="17"/>
      <c r="T342" s="17"/>
      <c r="U342" s="17"/>
      <c r="V342" s="17"/>
      <c r="W342" s="17"/>
      <c r="X342" s="17"/>
      <c r="Y342" s="17"/>
      <c r="Z342" s="16"/>
      <c r="AA342" s="31"/>
      <c r="AB342" s="30"/>
      <c r="AC342" s="14"/>
      <c r="AD342" s="13"/>
    </row>
    <row r="343" spans="1:30">
      <c r="A343" s="20"/>
      <c r="B343" s="11"/>
      <c r="C343" s="28"/>
      <c r="D343" s="26"/>
      <c r="E343" s="29"/>
      <c r="G343" s="19"/>
      <c r="H343" s="19"/>
      <c r="I343" s="19"/>
      <c r="J343" s="19"/>
      <c r="K343" s="19"/>
      <c r="L343" s="18"/>
      <c r="M343" s="18"/>
      <c r="N343" s="18"/>
      <c r="O343" s="18"/>
      <c r="P343" s="18"/>
      <c r="R343" s="17"/>
      <c r="S343" s="17"/>
      <c r="T343" s="17"/>
      <c r="U343" s="17"/>
      <c r="V343" s="17"/>
      <c r="W343" s="17"/>
      <c r="X343" s="17"/>
      <c r="Y343" s="17"/>
      <c r="Z343" s="16"/>
      <c r="AA343" s="31"/>
      <c r="AB343" s="30"/>
      <c r="AC343" s="14"/>
      <c r="AD343" s="13"/>
    </row>
    <row r="344" spans="1:30">
      <c r="A344" s="20"/>
      <c r="B344" s="11"/>
      <c r="C344" s="28"/>
      <c r="D344" s="26"/>
      <c r="E344" s="29"/>
      <c r="G344" s="19"/>
      <c r="H344" s="19"/>
      <c r="I344" s="19"/>
      <c r="J344" s="19"/>
      <c r="K344" s="19"/>
      <c r="L344" s="18"/>
      <c r="M344" s="18"/>
      <c r="N344" s="18"/>
      <c r="O344" s="18"/>
      <c r="P344" s="18"/>
      <c r="R344" s="17"/>
      <c r="S344" s="17"/>
      <c r="T344" s="17"/>
      <c r="U344" s="17"/>
      <c r="V344" s="17"/>
      <c r="W344" s="17"/>
      <c r="X344" s="17"/>
      <c r="Y344" s="17"/>
      <c r="Z344" s="16"/>
      <c r="AA344" s="31"/>
      <c r="AB344" s="30"/>
      <c r="AC344" s="14"/>
      <c r="AD344" s="13"/>
    </row>
    <row r="345" spans="1:30">
      <c r="A345" s="20"/>
      <c r="B345" s="11"/>
      <c r="C345" s="28"/>
      <c r="D345" s="26"/>
      <c r="E345" s="29"/>
      <c r="G345" s="19"/>
      <c r="H345" s="19"/>
      <c r="I345" s="19"/>
      <c r="J345" s="19"/>
      <c r="K345" s="19"/>
      <c r="L345" s="18"/>
      <c r="M345" s="18"/>
      <c r="N345" s="18"/>
      <c r="O345" s="18"/>
      <c r="P345" s="18"/>
      <c r="R345" s="17"/>
      <c r="S345" s="17"/>
      <c r="T345" s="17"/>
      <c r="U345" s="17"/>
      <c r="V345" s="17"/>
      <c r="W345" s="17"/>
      <c r="X345" s="17"/>
      <c r="Y345" s="17"/>
      <c r="Z345" s="16"/>
      <c r="AA345" s="15"/>
      <c r="AB345" s="30"/>
      <c r="AC345" s="14"/>
      <c r="AD345" s="13"/>
    </row>
    <row r="346" spans="1:30">
      <c r="A346" s="20"/>
      <c r="B346" s="11"/>
      <c r="C346" s="28"/>
      <c r="D346" s="26"/>
      <c r="E346" s="29"/>
      <c r="G346" s="19"/>
      <c r="H346" s="19"/>
      <c r="I346" s="19"/>
      <c r="J346" s="19"/>
      <c r="K346" s="19"/>
      <c r="L346" s="18"/>
      <c r="M346" s="18"/>
      <c r="N346" s="18"/>
      <c r="O346" s="18"/>
      <c r="P346" s="18"/>
      <c r="R346" s="17"/>
      <c r="S346" s="17"/>
      <c r="T346" s="17"/>
      <c r="U346" s="17"/>
      <c r="V346" s="17"/>
      <c r="W346" s="17"/>
      <c r="X346" s="17"/>
      <c r="Y346" s="17"/>
      <c r="Z346" s="16"/>
      <c r="AA346" s="31"/>
      <c r="AB346" s="30"/>
      <c r="AC346" s="32"/>
      <c r="AD346" s="13"/>
    </row>
    <row r="347" spans="1:30">
      <c r="A347" s="20"/>
      <c r="B347" s="11"/>
      <c r="C347" s="28"/>
      <c r="D347" s="26"/>
      <c r="E347" s="29"/>
      <c r="G347" s="19"/>
      <c r="H347" s="19"/>
      <c r="I347" s="19"/>
      <c r="J347" s="19"/>
      <c r="K347" s="19"/>
      <c r="L347" s="18"/>
      <c r="M347" s="18"/>
      <c r="N347" s="18"/>
      <c r="O347" s="18"/>
      <c r="P347" s="18"/>
      <c r="R347" s="17"/>
      <c r="S347" s="17"/>
      <c r="T347" s="17"/>
      <c r="U347" s="17"/>
      <c r="V347" s="17"/>
      <c r="W347" s="17"/>
      <c r="X347" s="17"/>
      <c r="Y347" s="17"/>
      <c r="Z347" s="16"/>
      <c r="AA347" s="15"/>
      <c r="AB347" s="30"/>
      <c r="AC347" s="14"/>
      <c r="AD347" s="13"/>
    </row>
    <row r="348" spans="1:30">
      <c r="A348" s="20"/>
      <c r="B348" s="11"/>
      <c r="C348" s="28"/>
      <c r="D348" s="26"/>
      <c r="E348" s="29"/>
      <c r="G348" s="19"/>
      <c r="H348" s="19"/>
      <c r="I348" s="19"/>
      <c r="J348" s="19"/>
      <c r="K348" s="19"/>
      <c r="L348" s="18"/>
      <c r="M348" s="18"/>
      <c r="N348" s="18"/>
      <c r="O348" s="18"/>
      <c r="P348" s="18"/>
      <c r="R348" s="17"/>
      <c r="S348" s="17"/>
      <c r="T348" s="17"/>
      <c r="U348" s="17"/>
      <c r="V348" s="17"/>
      <c r="W348" s="17"/>
      <c r="X348" s="17"/>
      <c r="Y348" s="17"/>
      <c r="Z348" s="16"/>
      <c r="AA348" s="31"/>
      <c r="AB348" s="30"/>
      <c r="AC348" s="14"/>
      <c r="AD348" s="13"/>
    </row>
    <row r="349" spans="1:30">
      <c r="A349" s="20"/>
      <c r="B349" s="11"/>
      <c r="C349" s="28"/>
      <c r="D349" s="26"/>
      <c r="E349" s="29"/>
      <c r="G349" s="19"/>
      <c r="H349" s="19"/>
      <c r="I349" s="19"/>
      <c r="J349" s="19"/>
      <c r="K349" s="19"/>
      <c r="L349" s="18"/>
      <c r="M349" s="18"/>
      <c r="N349" s="18"/>
      <c r="O349" s="18"/>
      <c r="P349" s="18"/>
      <c r="R349" s="17"/>
      <c r="S349" s="17"/>
      <c r="T349" s="17"/>
      <c r="U349" s="17"/>
      <c r="V349" s="17"/>
      <c r="W349" s="17"/>
      <c r="X349" s="17"/>
      <c r="Y349" s="17"/>
      <c r="Z349" s="16"/>
      <c r="AA349" s="15"/>
      <c r="AB349" s="30"/>
      <c r="AC349" s="14"/>
      <c r="AD349" s="13"/>
    </row>
    <row r="350" spans="1:30">
      <c r="A350" s="20"/>
      <c r="B350" s="11"/>
      <c r="C350" s="28"/>
      <c r="D350" s="26"/>
      <c r="E350" s="29"/>
      <c r="G350" s="19"/>
      <c r="H350" s="19"/>
      <c r="I350" s="19"/>
      <c r="J350" s="19"/>
      <c r="K350" s="19"/>
      <c r="L350" s="18"/>
      <c r="M350" s="18"/>
      <c r="N350" s="18"/>
      <c r="O350" s="18"/>
      <c r="P350" s="18"/>
      <c r="R350" s="17"/>
      <c r="S350" s="17"/>
      <c r="T350" s="17"/>
      <c r="U350" s="17"/>
      <c r="V350" s="17"/>
      <c r="W350" s="17"/>
      <c r="X350" s="17"/>
      <c r="Y350" s="17"/>
      <c r="Z350" s="16"/>
      <c r="AA350" s="31"/>
      <c r="AB350" s="30"/>
      <c r="AC350" s="14"/>
      <c r="AD350" s="13"/>
    </row>
    <row r="351" spans="1:30">
      <c r="A351" s="20"/>
      <c r="B351" s="11"/>
      <c r="C351" s="28"/>
      <c r="D351" s="26"/>
      <c r="E351" s="29"/>
      <c r="G351" s="19"/>
      <c r="H351" s="19"/>
      <c r="I351" s="19"/>
      <c r="J351" s="19"/>
      <c r="K351" s="19"/>
      <c r="L351" s="18"/>
      <c r="M351" s="18"/>
      <c r="N351" s="18"/>
      <c r="O351" s="18"/>
      <c r="P351" s="18"/>
      <c r="R351" s="17"/>
      <c r="S351" s="17"/>
      <c r="T351" s="17"/>
      <c r="U351" s="17"/>
      <c r="V351" s="17"/>
      <c r="W351" s="17"/>
      <c r="X351" s="17"/>
      <c r="Y351" s="17"/>
      <c r="Z351" s="16"/>
      <c r="AA351" s="15"/>
      <c r="AB351" s="26"/>
      <c r="AC351" s="14"/>
      <c r="AD351" s="13"/>
    </row>
    <row r="352" spans="1:30">
      <c r="A352" s="20"/>
      <c r="B352" s="11"/>
      <c r="C352" s="28"/>
      <c r="D352" s="26"/>
      <c r="E352" s="27"/>
      <c r="G352" s="25"/>
      <c r="H352" s="25"/>
      <c r="I352" s="25"/>
      <c r="J352" s="25"/>
      <c r="K352" s="25"/>
      <c r="L352" s="24"/>
      <c r="M352" s="24"/>
      <c r="N352" s="24"/>
      <c r="O352" s="24"/>
      <c r="P352" s="24"/>
      <c r="R352" s="23"/>
      <c r="S352" s="23"/>
      <c r="T352" s="23"/>
      <c r="U352" s="23"/>
      <c r="V352" s="23"/>
      <c r="W352" s="23"/>
      <c r="X352" s="23"/>
      <c r="Y352" s="23"/>
      <c r="Z352" s="22"/>
      <c r="AA352" s="21"/>
      <c r="AB352" s="26"/>
      <c r="AC352" s="14"/>
      <c r="AD352" s="13"/>
    </row>
    <row r="353" spans="1:30">
      <c r="A353" s="20"/>
      <c r="B353" s="11"/>
      <c r="C353" s="10"/>
      <c r="D353" s="10"/>
      <c r="E353" s="10"/>
      <c r="G353" s="25"/>
      <c r="H353" s="25"/>
      <c r="I353" s="25"/>
      <c r="J353" s="25"/>
      <c r="K353" s="25"/>
      <c r="L353" s="24"/>
      <c r="M353" s="24"/>
      <c r="N353" s="24"/>
      <c r="O353" s="24"/>
      <c r="P353" s="24"/>
      <c r="R353" s="23"/>
      <c r="S353" s="23"/>
      <c r="T353" s="23"/>
      <c r="U353" s="23"/>
      <c r="V353" s="23"/>
      <c r="W353" s="23"/>
      <c r="X353" s="23"/>
      <c r="Y353" s="23"/>
      <c r="Z353" s="22"/>
      <c r="AA353" s="21"/>
      <c r="AB353" s="4"/>
      <c r="AC353" s="14"/>
      <c r="AD353" s="13"/>
    </row>
    <row r="354" spans="1:30">
      <c r="A354" s="20"/>
      <c r="B354" s="11"/>
      <c r="C354" s="10"/>
      <c r="D354" s="10"/>
      <c r="E354" s="10"/>
      <c r="G354" s="19"/>
      <c r="H354" s="19"/>
      <c r="I354" s="19"/>
      <c r="J354" s="19"/>
      <c r="K354" s="19"/>
      <c r="L354" s="18"/>
      <c r="M354" s="18"/>
      <c r="N354" s="18"/>
      <c r="O354" s="18"/>
      <c r="P354" s="18"/>
      <c r="R354" s="17"/>
      <c r="S354" s="17"/>
      <c r="T354" s="17"/>
      <c r="U354" s="17"/>
      <c r="V354" s="17"/>
      <c r="W354" s="17"/>
      <c r="X354" s="17"/>
      <c r="Y354" s="17"/>
      <c r="Z354" s="16"/>
      <c r="AA354" s="15"/>
      <c r="AB354" s="4"/>
      <c r="AC354" s="14"/>
      <c r="AD354" s="13"/>
    </row>
    <row r="355" spans="1:30">
      <c r="A355" s="20"/>
      <c r="B355" s="11"/>
      <c r="C355" s="10"/>
      <c r="D355" s="10"/>
      <c r="E355" s="10"/>
      <c r="G355" s="19"/>
      <c r="H355" s="19"/>
      <c r="I355" s="19"/>
      <c r="J355" s="19"/>
      <c r="K355" s="19"/>
      <c r="L355" s="18"/>
      <c r="M355" s="18"/>
      <c r="N355" s="18"/>
      <c r="O355" s="18"/>
      <c r="P355" s="18"/>
      <c r="R355" s="17"/>
      <c r="S355" s="17"/>
      <c r="T355" s="17"/>
      <c r="U355" s="17"/>
      <c r="V355" s="17"/>
      <c r="W355" s="17"/>
      <c r="X355" s="17"/>
      <c r="Y355" s="17"/>
      <c r="Z355" s="16"/>
      <c r="AA355" s="15"/>
      <c r="AB355" s="4"/>
      <c r="AC355" s="14"/>
      <c r="AD355" s="13"/>
    </row>
    <row r="356" spans="1:30">
      <c r="A356" s="20"/>
      <c r="B356" s="11"/>
      <c r="C356" s="10"/>
      <c r="D356" s="10"/>
      <c r="E356" s="10"/>
      <c r="G356" s="25"/>
      <c r="H356" s="25"/>
      <c r="I356" s="25"/>
      <c r="J356" s="25"/>
      <c r="K356" s="25"/>
      <c r="L356" s="24"/>
      <c r="M356" s="24"/>
      <c r="N356" s="24"/>
      <c r="O356" s="24"/>
      <c r="P356" s="24"/>
      <c r="R356" s="23"/>
      <c r="S356" s="23"/>
      <c r="T356" s="23"/>
      <c r="U356" s="23"/>
      <c r="V356" s="23"/>
      <c r="W356" s="23"/>
      <c r="X356" s="23"/>
      <c r="Y356" s="23"/>
      <c r="Z356" s="22"/>
      <c r="AA356" s="21"/>
      <c r="AB356" s="4"/>
      <c r="AC356" s="14"/>
      <c r="AD356" s="13"/>
    </row>
    <row r="357" spans="1:30">
      <c r="A357" s="20"/>
      <c r="B357" s="11"/>
      <c r="C357" s="10"/>
      <c r="D357" s="10"/>
      <c r="E357" s="10"/>
      <c r="G357" s="19"/>
      <c r="H357" s="19"/>
      <c r="I357" s="19"/>
      <c r="J357" s="19"/>
      <c r="K357" s="19"/>
      <c r="L357" s="18"/>
      <c r="M357" s="18"/>
      <c r="N357" s="18"/>
      <c r="O357" s="18"/>
      <c r="P357" s="18"/>
      <c r="R357" s="17"/>
      <c r="S357" s="17"/>
      <c r="T357" s="17"/>
      <c r="U357" s="17"/>
      <c r="V357" s="17"/>
      <c r="W357" s="17"/>
      <c r="X357" s="17"/>
      <c r="Y357" s="17"/>
      <c r="Z357" s="16"/>
      <c r="AA357" s="15"/>
      <c r="AB357" s="4"/>
      <c r="AC357" s="14"/>
      <c r="AD357" s="13"/>
    </row>
    <row r="358" spans="1:30">
      <c r="A358" s="20"/>
      <c r="B358" s="11"/>
      <c r="C358" s="10"/>
      <c r="D358" s="10"/>
      <c r="E358" s="10"/>
      <c r="G358" s="19"/>
      <c r="H358" s="19"/>
      <c r="I358" s="19"/>
      <c r="J358" s="19"/>
      <c r="K358" s="19"/>
      <c r="L358" s="18"/>
      <c r="M358" s="18"/>
      <c r="N358" s="18"/>
      <c r="O358" s="18"/>
      <c r="P358" s="18"/>
      <c r="R358" s="17"/>
      <c r="S358" s="17"/>
      <c r="T358" s="17"/>
      <c r="U358" s="17"/>
      <c r="V358" s="17"/>
      <c r="W358" s="17"/>
      <c r="X358" s="17"/>
      <c r="Y358" s="17"/>
      <c r="Z358" s="16"/>
      <c r="AA358" s="15"/>
      <c r="AB358" s="4"/>
      <c r="AC358" s="14"/>
      <c r="AD358" s="13"/>
    </row>
    <row r="359" spans="1:30">
      <c r="A359" s="20"/>
      <c r="B359" s="11"/>
      <c r="C359" s="10"/>
      <c r="D359" s="10"/>
      <c r="E359" s="10"/>
      <c r="G359" s="19"/>
      <c r="H359" s="19"/>
      <c r="I359" s="19"/>
      <c r="J359" s="19"/>
      <c r="K359" s="19"/>
      <c r="L359" s="18"/>
      <c r="M359" s="18"/>
      <c r="N359" s="18"/>
      <c r="O359" s="18"/>
      <c r="P359" s="18"/>
      <c r="R359" s="17"/>
      <c r="S359" s="17"/>
      <c r="T359" s="17"/>
      <c r="U359" s="17"/>
      <c r="V359" s="17"/>
      <c r="W359" s="17"/>
      <c r="X359" s="17"/>
      <c r="Y359" s="17"/>
      <c r="Z359" s="16"/>
      <c r="AA359" s="15"/>
      <c r="AB359" s="4"/>
      <c r="AC359" s="14"/>
      <c r="AD359" s="13"/>
    </row>
    <row r="360" spans="1:30">
      <c r="A360" s="20"/>
      <c r="B360" s="11"/>
      <c r="C360" s="10"/>
      <c r="D360" s="10"/>
      <c r="E360" s="10"/>
      <c r="G360" s="19"/>
      <c r="H360" s="19"/>
      <c r="I360" s="19"/>
      <c r="J360" s="19"/>
      <c r="K360" s="19"/>
      <c r="L360" s="18"/>
      <c r="M360" s="18"/>
      <c r="N360" s="18"/>
      <c r="O360" s="18"/>
      <c r="P360" s="18"/>
      <c r="R360" s="17"/>
      <c r="S360" s="17"/>
      <c r="T360" s="17"/>
      <c r="U360" s="17"/>
      <c r="V360" s="17"/>
      <c r="W360" s="17"/>
      <c r="X360" s="17"/>
      <c r="Y360" s="17"/>
      <c r="Z360" s="16"/>
      <c r="AA360" s="15"/>
      <c r="AB360" s="4"/>
      <c r="AC360" s="14"/>
      <c r="AD360" s="13"/>
    </row>
    <row r="361" spans="1:30">
      <c r="A361" s="20"/>
      <c r="B361" s="11"/>
      <c r="C361" s="10"/>
      <c r="D361" s="10"/>
      <c r="E361" s="10"/>
      <c r="G361" s="19"/>
      <c r="H361" s="19"/>
      <c r="I361" s="19"/>
      <c r="J361" s="19"/>
      <c r="K361" s="19"/>
      <c r="L361" s="18"/>
      <c r="M361" s="18"/>
      <c r="N361" s="18"/>
      <c r="O361" s="18"/>
      <c r="P361" s="18"/>
      <c r="R361" s="17"/>
      <c r="S361" s="17"/>
      <c r="T361" s="17"/>
      <c r="U361" s="17"/>
      <c r="V361" s="17"/>
      <c r="W361" s="17"/>
      <c r="X361" s="17"/>
      <c r="Y361" s="17"/>
      <c r="Z361" s="16"/>
      <c r="AA361" s="15"/>
      <c r="AB361" s="4"/>
      <c r="AC361" s="14"/>
      <c r="AD361" s="13"/>
    </row>
    <row r="362" spans="1:30">
      <c r="A362" s="20"/>
      <c r="B362" s="11"/>
      <c r="C362" s="10"/>
      <c r="D362" s="10"/>
      <c r="E362" s="10"/>
      <c r="G362" s="19"/>
      <c r="H362" s="19"/>
      <c r="I362" s="19"/>
      <c r="J362" s="19"/>
      <c r="K362" s="19"/>
      <c r="L362" s="18"/>
      <c r="M362" s="18"/>
      <c r="N362" s="18"/>
      <c r="O362" s="18"/>
      <c r="P362" s="18"/>
      <c r="R362" s="17"/>
      <c r="S362" s="17"/>
      <c r="T362" s="17"/>
      <c r="U362" s="17"/>
      <c r="V362" s="17"/>
      <c r="W362" s="17"/>
      <c r="X362" s="17"/>
      <c r="Y362" s="17"/>
      <c r="Z362" s="16"/>
      <c r="AA362" s="15"/>
      <c r="AB362" s="4"/>
      <c r="AC362" s="14"/>
      <c r="AD362" s="13"/>
    </row>
    <row r="363" spans="1:30">
      <c r="A363" s="20"/>
      <c r="B363" s="11"/>
      <c r="C363" s="10"/>
      <c r="D363" s="10"/>
      <c r="E363" s="10"/>
      <c r="G363" s="19"/>
      <c r="H363" s="19"/>
      <c r="I363" s="19"/>
      <c r="J363" s="19"/>
      <c r="K363" s="19"/>
      <c r="L363" s="18"/>
      <c r="M363" s="18"/>
      <c r="N363" s="18"/>
      <c r="O363" s="18"/>
      <c r="P363" s="18"/>
      <c r="R363" s="17"/>
      <c r="S363" s="17"/>
      <c r="T363" s="17"/>
      <c r="U363" s="17"/>
      <c r="V363" s="17"/>
      <c r="W363" s="17"/>
      <c r="X363" s="17"/>
      <c r="Y363" s="17"/>
      <c r="Z363" s="16"/>
      <c r="AA363" s="15"/>
      <c r="AB363" s="4"/>
      <c r="AC363" s="14"/>
      <c r="AD363" s="13"/>
    </row>
    <row r="364" spans="1:30">
      <c r="A364" s="20"/>
      <c r="B364" s="11"/>
      <c r="C364" s="10"/>
      <c r="D364" s="10"/>
      <c r="E364" s="10"/>
      <c r="G364" s="19"/>
      <c r="H364" s="19"/>
      <c r="I364" s="19"/>
      <c r="J364" s="19"/>
      <c r="K364" s="19"/>
      <c r="L364" s="18"/>
      <c r="M364" s="18"/>
      <c r="N364" s="18"/>
      <c r="O364" s="18"/>
      <c r="P364" s="18"/>
      <c r="R364" s="17"/>
      <c r="S364" s="17"/>
      <c r="T364" s="17"/>
      <c r="U364" s="17"/>
      <c r="V364" s="17"/>
      <c r="W364" s="17"/>
      <c r="X364" s="17"/>
      <c r="Y364" s="17"/>
      <c r="Z364" s="16"/>
      <c r="AA364" s="15"/>
      <c r="AB364" s="4"/>
      <c r="AC364" s="14"/>
      <c r="AD364" s="13"/>
    </row>
    <row r="365" spans="1:30">
      <c r="A365" s="20"/>
      <c r="B365" s="11"/>
      <c r="C365" s="10"/>
      <c r="D365" s="10"/>
      <c r="E365" s="10"/>
      <c r="G365" s="19"/>
      <c r="H365" s="19"/>
      <c r="I365" s="19"/>
      <c r="J365" s="19"/>
      <c r="K365" s="19"/>
      <c r="L365" s="18"/>
      <c r="M365" s="18"/>
      <c r="N365" s="18"/>
      <c r="O365" s="18"/>
      <c r="P365" s="18"/>
      <c r="R365" s="17"/>
      <c r="S365" s="17"/>
      <c r="T365" s="17"/>
      <c r="U365" s="17"/>
      <c r="V365" s="17"/>
      <c r="W365" s="17"/>
      <c r="X365" s="17"/>
      <c r="Y365" s="17"/>
      <c r="Z365" s="16"/>
      <c r="AA365" s="15"/>
      <c r="AB365" s="4"/>
      <c r="AC365" s="14"/>
      <c r="AD365" s="13"/>
    </row>
    <row r="366" spans="1:30">
      <c r="A366" s="20"/>
      <c r="B366" s="11"/>
      <c r="C366" s="10"/>
      <c r="D366" s="10"/>
      <c r="E366" s="10"/>
      <c r="G366" s="19"/>
      <c r="H366" s="19"/>
      <c r="I366" s="19"/>
      <c r="J366" s="19"/>
      <c r="K366" s="19"/>
      <c r="L366" s="18"/>
      <c r="M366" s="18"/>
      <c r="N366" s="18"/>
      <c r="O366" s="18"/>
      <c r="P366" s="18"/>
      <c r="R366" s="17"/>
      <c r="S366" s="17"/>
      <c r="T366" s="17"/>
      <c r="U366" s="17"/>
      <c r="V366" s="17"/>
      <c r="W366" s="17"/>
      <c r="X366" s="17"/>
      <c r="Y366" s="17"/>
      <c r="Z366" s="16"/>
      <c r="AA366" s="15"/>
      <c r="AB366" s="4"/>
      <c r="AC366" s="14"/>
      <c r="AD366" s="13"/>
    </row>
    <row r="367" spans="1:30">
      <c r="A367" s="20"/>
      <c r="B367" s="11"/>
      <c r="C367" s="10"/>
      <c r="D367" s="10"/>
      <c r="E367" s="10"/>
      <c r="G367" s="19"/>
      <c r="H367" s="19"/>
      <c r="I367" s="19"/>
      <c r="J367" s="19"/>
      <c r="K367" s="19"/>
      <c r="L367" s="18"/>
      <c r="M367" s="18"/>
      <c r="N367" s="18"/>
      <c r="O367" s="18"/>
      <c r="P367" s="18"/>
      <c r="R367" s="17"/>
      <c r="S367" s="17"/>
      <c r="T367" s="17"/>
      <c r="U367" s="17"/>
      <c r="V367" s="17"/>
      <c r="W367" s="17"/>
      <c r="X367" s="17"/>
      <c r="Y367" s="17"/>
      <c r="Z367" s="16"/>
      <c r="AA367" s="15"/>
      <c r="AB367" s="4"/>
      <c r="AC367" s="14"/>
      <c r="AD367" s="13"/>
    </row>
    <row r="368" spans="1:30">
      <c r="A368" s="20"/>
      <c r="B368" s="11"/>
      <c r="C368" s="10"/>
      <c r="D368" s="10"/>
      <c r="E368" s="10"/>
      <c r="G368" s="19"/>
      <c r="H368" s="19"/>
      <c r="I368" s="19"/>
      <c r="J368" s="19"/>
      <c r="K368" s="19"/>
      <c r="L368" s="18"/>
      <c r="M368" s="18"/>
      <c r="N368" s="18"/>
      <c r="O368" s="18"/>
      <c r="P368" s="18"/>
      <c r="R368" s="17"/>
      <c r="S368" s="17"/>
      <c r="T368" s="17"/>
      <c r="U368" s="17"/>
      <c r="V368" s="17"/>
      <c r="W368" s="17"/>
      <c r="X368" s="17"/>
      <c r="Y368" s="17"/>
      <c r="Z368" s="16"/>
      <c r="AA368" s="15"/>
      <c r="AB368" s="4"/>
      <c r="AC368" s="14"/>
      <c r="AD368" s="13"/>
    </row>
    <row r="369" spans="1:30">
      <c r="A369" s="20"/>
      <c r="B369" s="11"/>
      <c r="C369" s="10"/>
      <c r="D369" s="10"/>
      <c r="E369" s="10"/>
      <c r="G369" s="19"/>
      <c r="H369" s="19"/>
      <c r="I369" s="19"/>
      <c r="J369" s="19"/>
      <c r="K369" s="19"/>
      <c r="L369" s="18"/>
      <c r="M369" s="18"/>
      <c r="N369" s="18"/>
      <c r="O369" s="18"/>
      <c r="P369" s="18"/>
      <c r="R369" s="17"/>
      <c r="S369" s="17"/>
      <c r="T369" s="17"/>
      <c r="U369" s="17"/>
      <c r="V369" s="17"/>
      <c r="W369" s="17"/>
      <c r="X369" s="17"/>
      <c r="Y369" s="17"/>
      <c r="Z369" s="16"/>
      <c r="AA369" s="15"/>
      <c r="AB369" s="4"/>
      <c r="AC369" s="14"/>
      <c r="AD369" s="13"/>
    </row>
    <row r="370" spans="1:30">
      <c r="A370" s="20"/>
      <c r="B370" s="11"/>
      <c r="C370" s="10"/>
      <c r="D370" s="10"/>
      <c r="E370" s="10"/>
      <c r="G370" s="19"/>
      <c r="H370" s="19"/>
      <c r="I370" s="19"/>
      <c r="J370" s="19"/>
      <c r="K370" s="19"/>
      <c r="L370" s="18"/>
      <c r="M370" s="18"/>
      <c r="N370" s="18"/>
      <c r="O370" s="18"/>
      <c r="P370" s="18"/>
      <c r="R370" s="17"/>
      <c r="S370" s="17"/>
      <c r="T370" s="17"/>
      <c r="U370" s="17"/>
      <c r="V370" s="17"/>
      <c r="W370" s="17"/>
      <c r="X370" s="17"/>
      <c r="Y370" s="17"/>
      <c r="Z370" s="16"/>
      <c r="AA370" s="15"/>
      <c r="AB370" s="4"/>
      <c r="AC370" s="14"/>
      <c r="AD370" s="13"/>
    </row>
    <row r="371" spans="1:30">
      <c r="A371" s="20"/>
      <c r="B371" s="11"/>
      <c r="C371" s="10"/>
      <c r="D371" s="10"/>
      <c r="E371" s="10"/>
      <c r="G371" s="19"/>
      <c r="H371" s="19"/>
      <c r="I371" s="19"/>
      <c r="J371" s="19"/>
      <c r="K371" s="19"/>
      <c r="L371" s="18"/>
      <c r="M371" s="18"/>
      <c r="N371" s="18"/>
      <c r="O371" s="18"/>
      <c r="P371" s="18"/>
      <c r="R371" s="17"/>
      <c r="S371" s="17"/>
      <c r="T371" s="17"/>
      <c r="U371" s="17"/>
      <c r="V371" s="17"/>
      <c r="W371" s="17"/>
      <c r="X371" s="17"/>
      <c r="Y371" s="17"/>
      <c r="Z371" s="16"/>
      <c r="AA371" s="15"/>
      <c r="AB371" s="4"/>
      <c r="AC371" s="14"/>
      <c r="AD371" s="13"/>
    </row>
    <row r="372" spans="1:30">
      <c r="A372" s="20"/>
      <c r="B372" s="11"/>
      <c r="C372" s="10"/>
      <c r="D372" s="10"/>
      <c r="E372" s="10"/>
      <c r="G372" s="19"/>
      <c r="H372" s="19"/>
      <c r="I372" s="19"/>
      <c r="J372" s="19"/>
      <c r="K372" s="19"/>
      <c r="L372" s="18"/>
      <c r="M372" s="18"/>
      <c r="N372" s="18"/>
      <c r="O372" s="18"/>
      <c r="P372" s="18"/>
      <c r="R372" s="17"/>
      <c r="S372" s="17"/>
      <c r="T372" s="17"/>
      <c r="U372" s="17"/>
      <c r="V372" s="17"/>
      <c r="W372" s="17"/>
      <c r="X372" s="17"/>
      <c r="Y372" s="17"/>
      <c r="Z372" s="16"/>
      <c r="AA372" s="15"/>
      <c r="AB372" s="4"/>
      <c r="AC372" s="14"/>
      <c r="AD372" s="13"/>
    </row>
    <row r="373" spans="1:30">
      <c r="A373" s="20"/>
      <c r="B373" s="11"/>
      <c r="C373" s="10"/>
      <c r="D373" s="10"/>
      <c r="E373" s="10"/>
      <c r="G373" s="19"/>
      <c r="H373" s="19"/>
      <c r="I373" s="19"/>
      <c r="J373" s="19"/>
      <c r="K373" s="19"/>
      <c r="L373" s="18"/>
      <c r="M373" s="18"/>
      <c r="N373" s="18"/>
      <c r="O373" s="18"/>
      <c r="P373" s="18"/>
      <c r="R373" s="17"/>
      <c r="S373" s="17"/>
      <c r="T373" s="17"/>
      <c r="U373" s="17"/>
      <c r="V373" s="17"/>
      <c r="W373" s="17"/>
      <c r="X373" s="17"/>
      <c r="Y373" s="17"/>
      <c r="Z373" s="16"/>
      <c r="AA373" s="15"/>
      <c r="AB373" s="4"/>
      <c r="AC373" s="14"/>
      <c r="AD373" s="13"/>
    </row>
    <row r="374" spans="1:30">
      <c r="A374" s="20"/>
      <c r="B374" s="11"/>
      <c r="C374" s="10"/>
      <c r="D374" s="10"/>
      <c r="E374" s="10"/>
      <c r="G374" s="19"/>
      <c r="H374" s="19"/>
      <c r="I374" s="19"/>
      <c r="J374" s="19"/>
      <c r="K374" s="19"/>
      <c r="L374" s="18"/>
      <c r="M374" s="18"/>
      <c r="N374" s="18"/>
      <c r="O374" s="18"/>
      <c r="P374" s="18"/>
      <c r="R374" s="17"/>
      <c r="S374" s="17"/>
      <c r="T374" s="17"/>
      <c r="U374" s="17"/>
      <c r="V374" s="17"/>
      <c r="W374" s="17"/>
      <c r="X374" s="17"/>
      <c r="Y374" s="17"/>
      <c r="Z374" s="16"/>
      <c r="AA374" s="15"/>
      <c r="AB374" s="4"/>
      <c r="AC374" s="14"/>
      <c r="AD374" s="13"/>
    </row>
    <row r="375" spans="1:30">
      <c r="A375" s="20"/>
      <c r="B375" s="11"/>
      <c r="C375" s="10"/>
      <c r="D375" s="10"/>
      <c r="E375" s="10"/>
      <c r="G375" s="19"/>
      <c r="H375" s="19"/>
      <c r="I375" s="19"/>
      <c r="J375" s="19"/>
      <c r="K375" s="19"/>
      <c r="L375" s="18"/>
      <c r="M375" s="18"/>
      <c r="N375" s="18"/>
      <c r="O375" s="18"/>
      <c r="P375" s="18"/>
      <c r="R375" s="17"/>
      <c r="S375" s="17"/>
      <c r="T375" s="17"/>
      <c r="U375" s="17"/>
      <c r="V375" s="17"/>
      <c r="W375" s="17"/>
      <c r="X375" s="17"/>
      <c r="Y375" s="17"/>
      <c r="Z375" s="16"/>
      <c r="AA375" s="15"/>
      <c r="AB375" s="4"/>
      <c r="AC375" s="14"/>
      <c r="AD375" s="13"/>
    </row>
    <row r="376" spans="1:30">
      <c r="A376" s="20"/>
      <c r="B376" s="11"/>
      <c r="C376" s="10"/>
      <c r="D376" s="10"/>
      <c r="E376" s="10"/>
      <c r="G376" s="19"/>
      <c r="H376" s="19"/>
      <c r="I376" s="19"/>
      <c r="J376" s="19"/>
      <c r="K376" s="19"/>
      <c r="L376" s="18"/>
      <c r="M376" s="18"/>
      <c r="N376" s="18"/>
      <c r="O376" s="18"/>
      <c r="P376" s="18"/>
      <c r="R376" s="17"/>
      <c r="S376" s="17"/>
      <c r="T376" s="17"/>
      <c r="U376" s="17"/>
      <c r="V376" s="17"/>
      <c r="W376" s="17"/>
      <c r="X376" s="17"/>
      <c r="Y376" s="17"/>
      <c r="Z376" s="16"/>
      <c r="AA376" s="15"/>
      <c r="AB376" s="4"/>
      <c r="AC376" s="14"/>
      <c r="AD376" s="13"/>
    </row>
    <row r="377" spans="1:30">
      <c r="A377" s="20"/>
      <c r="B377" s="11"/>
      <c r="C377" s="10"/>
      <c r="D377" s="10"/>
      <c r="E377" s="10"/>
      <c r="G377" s="19"/>
      <c r="H377" s="19"/>
      <c r="I377" s="19"/>
      <c r="J377" s="19"/>
      <c r="K377" s="19"/>
      <c r="L377" s="18"/>
      <c r="M377" s="18"/>
      <c r="N377" s="18"/>
      <c r="O377" s="18"/>
      <c r="P377" s="18"/>
      <c r="R377" s="17"/>
      <c r="S377" s="17"/>
      <c r="T377" s="17"/>
      <c r="U377" s="17"/>
      <c r="V377" s="17"/>
      <c r="W377" s="17"/>
      <c r="X377" s="17"/>
      <c r="Y377" s="17"/>
      <c r="Z377" s="16"/>
      <c r="AA377" s="15"/>
      <c r="AB377" s="4"/>
      <c r="AC377" s="14"/>
      <c r="AD377" s="13"/>
    </row>
    <row r="378" spans="1:30">
      <c r="A378" s="20"/>
      <c r="B378" s="11"/>
      <c r="C378" s="10"/>
      <c r="D378" s="10"/>
      <c r="E378" s="10"/>
      <c r="G378" s="19"/>
      <c r="H378" s="19"/>
      <c r="I378" s="19"/>
      <c r="J378" s="19"/>
      <c r="K378" s="19"/>
      <c r="L378" s="18"/>
      <c r="M378" s="18"/>
      <c r="N378" s="18"/>
      <c r="O378" s="18"/>
      <c r="P378" s="18"/>
      <c r="R378" s="17"/>
      <c r="S378" s="17"/>
      <c r="T378" s="17"/>
      <c r="U378" s="17"/>
      <c r="V378" s="17"/>
      <c r="W378" s="17"/>
      <c r="X378" s="17"/>
      <c r="Y378" s="17"/>
      <c r="Z378" s="16"/>
      <c r="AA378" s="15"/>
      <c r="AB378" s="4"/>
      <c r="AC378" s="14"/>
      <c r="AD378" s="13"/>
    </row>
    <row r="379" spans="1:30">
      <c r="A379" s="20"/>
      <c r="B379" s="11"/>
      <c r="C379" s="10"/>
      <c r="D379" s="10"/>
      <c r="E379" s="10"/>
      <c r="G379" s="19"/>
      <c r="H379" s="19"/>
      <c r="I379" s="19"/>
      <c r="J379" s="19"/>
      <c r="K379" s="19"/>
      <c r="L379" s="18"/>
      <c r="M379" s="18"/>
      <c r="N379" s="18"/>
      <c r="O379" s="18"/>
      <c r="P379" s="18"/>
      <c r="R379" s="17"/>
      <c r="S379" s="17"/>
      <c r="T379" s="17"/>
      <c r="U379" s="17"/>
      <c r="V379" s="17"/>
      <c r="W379" s="17"/>
      <c r="X379" s="17"/>
      <c r="Y379" s="17"/>
      <c r="Z379" s="16"/>
      <c r="AA379" s="15"/>
      <c r="AB379" s="4"/>
      <c r="AC379" s="14"/>
      <c r="AD379" s="13"/>
    </row>
    <row r="380" spans="1:30">
      <c r="A380" s="20"/>
      <c r="B380" s="11"/>
      <c r="C380" s="10"/>
      <c r="D380" s="10"/>
      <c r="E380" s="10"/>
      <c r="G380" s="19"/>
      <c r="H380" s="19"/>
      <c r="I380" s="19"/>
      <c r="J380" s="19"/>
      <c r="K380" s="19"/>
      <c r="L380" s="18"/>
      <c r="M380" s="18"/>
      <c r="N380" s="18"/>
      <c r="O380" s="18"/>
      <c r="P380" s="18"/>
      <c r="R380" s="17"/>
      <c r="S380" s="17"/>
      <c r="T380" s="17"/>
      <c r="U380" s="17"/>
      <c r="V380" s="17"/>
      <c r="W380" s="17"/>
      <c r="X380" s="17"/>
      <c r="Y380" s="17"/>
      <c r="Z380" s="16"/>
      <c r="AA380" s="15"/>
      <c r="AB380" s="4"/>
      <c r="AC380" s="14"/>
      <c r="AD380" s="13"/>
    </row>
    <row r="381" spans="1:30">
      <c r="A381" s="20"/>
      <c r="B381" s="11"/>
      <c r="C381" s="10"/>
      <c r="D381" s="10"/>
      <c r="E381" s="10"/>
      <c r="G381" s="19"/>
      <c r="H381" s="19"/>
      <c r="I381" s="19"/>
      <c r="J381" s="19"/>
      <c r="K381" s="19"/>
      <c r="L381" s="18"/>
      <c r="M381" s="18"/>
      <c r="N381" s="18"/>
      <c r="O381" s="18"/>
      <c r="P381" s="18"/>
      <c r="R381" s="17"/>
      <c r="S381" s="17"/>
      <c r="T381" s="17"/>
      <c r="U381" s="17"/>
      <c r="V381" s="17"/>
      <c r="W381" s="17"/>
      <c r="X381" s="17"/>
      <c r="Y381" s="17"/>
      <c r="Z381" s="16"/>
      <c r="AA381" s="15"/>
      <c r="AB381" s="4"/>
      <c r="AC381" s="14"/>
      <c r="AD381" s="13"/>
    </row>
    <row r="382" spans="1:30">
      <c r="A382" s="20"/>
      <c r="B382" s="11"/>
      <c r="C382" s="10"/>
      <c r="D382" s="10"/>
      <c r="E382" s="10"/>
      <c r="G382" s="19"/>
      <c r="H382" s="19"/>
      <c r="I382" s="19"/>
      <c r="J382" s="19"/>
      <c r="K382" s="19"/>
      <c r="L382" s="18"/>
      <c r="M382" s="18"/>
      <c r="N382" s="18"/>
      <c r="O382" s="18"/>
      <c r="P382" s="18"/>
      <c r="R382" s="17"/>
      <c r="S382" s="17"/>
      <c r="T382" s="17"/>
      <c r="U382" s="17"/>
      <c r="V382" s="17"/>
      <c r="W382" s="17"/>
      <c r="X382" s="17"/>
      <c r="Y382" s="17"/>
      <c r="Z382" s="16"/>
      <c r="AA382" s="15"/>
      <c r="AB382" s="4"/>
      <c r="AC382" s="14"/>
      <c r="AD382" s="13"/>
    </row>
    <row r="383" spans="1:30">
      <c r="A383" s="20"/>
      <c r="B383" s="11"/>
      <c r="C383" s="10"/>
      <c r="D383" s="10"/>
      <c r="E383" s="10"/>
      <c r="G383" s="19"/>
      <c r="H383" s="19"/>
      <c r="I383" s="19"/>
      <c r="J383" s="19"/>
      <c r="K383" s="19"/>
      <c r="L383" s="18"/>
      <c r="M383" s="18"/>
      <c r="N383" s="18"/>
      <c r="O383" s="18"/>
      <c r="P383" s="18"/>
      <c r="R383" s="17"/>
      <c r="S383" s="17"/>
      <c r="T383" s="17"/>
      <c r="U383" s="17"/>
      <c r="V383" s="17"/>
      <c r="W383" s="17"/>
      <c r="X383" s="17"/>
      <c r="Y383" s="17"/>
      <c r="Z383" s="16"/>
      <c r="AA383" s="15"/>
      <c r="AB383" s="4"/>
      <c r="AC383" s="14"/>
      <c r="AD383" s="13"/>
    </row>
    <row r="384" spans="1:30">
      <c r="A384" s="20"/>
      <c r="B384" s="11"/>
      <c r="C384" s="10"/>
      <c r="D384" s="10"/>
      <c r="E384" s="10"/>
      <c r="G384" s="19"/>
      <c r="H384" s="19"/>
      <c r="I384" s="19"/>
      <c r="J384" s="19"/>
      <c r="K384" s="19"/>
      <c r="L384" s="18"/>
      <c r="M384" s="18"/>
      <c r="N384" s="18"/>
      <c r="O384" s="18"/>
      <c r="P384" s="18"/>
      <c r="R384" s="17"/>
      <c r="S384" s="17"/>
      <c r="T384" s="17"/>
      <c r="U384" s="17"/>
      <c r="V384" s="17"/>
      <c r="W384" s="17"/>
      <c r="X384" s="17"/>
      <c r="Y384" s="17"/>
      <c r="Z384" s="16"/>
      <c r="AA384" s="15"/>
      <c r="AB384" s="4"/>
      <c r="AC384" s="14"/>
      <c r="AD384" s="13"/>
    </row>
    <row r="385" spans="1:30">
      <c r="A385" s="20"/>
      <c r="B385" s="11"/>
      <c r="C385" s="10"/>
      <c r="D385" s="10"/>
      <c r="E385" s="10"/>
      <c r="G385" s="19"/>
      <c r="H385" s="19"/>
      <c r="I385" s="19"/>
      <c r="J385" s="19"/>
      <c r="K385" s="19"/>
      <c r="L385" s="18"/>
      <c r="M385" s="18"/>
      <c r="N385" s="18"/>
      <c r="O385" s="18"/>
      <c r="P385" s="18"/>
      <c r="R385" s="17"/>
      <c r="S385" s="17"/>
      <c r="T385" s="17"/>
      <c r="U385" s="17"/>
      <c r="V385" s="17"/>
      <c r="W385" s="17"/>
      <c r="X385" s="17"/>
      <c r="Y385" s="17"/>
      <c r="Z385" s="16"/>
      <c r="AA385" s="15"/>
      <c r="AB385" s="4"/>
      <c r="AC385" s="14"/>
      <c r="AD385" s="13"/>
    </row>
    <row r="386" spans="1:30">
      <c r="A386" s="20"/>
      <c r="B386" s="11"/>
      <c r="C386" s="10"/>
      <c r="D386" s="10"/>
      <c r="E386" s="10"/>
      <c r="G386" s="19"/>
      <c r="H386" s="19"/>
      <c r="I386" s="19"/>
      <c r="J386" s="19"/>
      <c r="K386" s="19"/>
      <c r="L386" s="18"/>
      <c r="M386" s="18"/>
      <c r="N386" s="18"/>
      <c r="O386" s="18"/>
      <c r="P386" s="18"/>
      <c r="R386" s="17"/>
      <c r="S386" s="17"/>
      <c r="T386" s="17"/>
      <c r="U386" s="17"/>
      <c r="V386" s="17"/>
      <c r="W386" s="17"/>
      <c r="X386" s="17"/>
      <c r="Y386" s="17"/>
      <c r="Z386" s="16"/>
      <c r="AA386" s="15"/>
      <c r="AB386" s="4"/>
      <c r="AC386" s="14"/>
      <c r="AD386" s="13"/>
    </row>
    <row r="387" spans="1:30">
      <c r="A387" s="20"/>
      <c r="B387" s="11"/>
      <c r="C387" s="10"/>
      <c r="D387" s="10"/>
      <c r="E387" s="10"/>
      <c r="G387" s="19"/>
      <c r="H387" s="19"/>
      <c r="I387" s="19"/>
      <c r="J387" s="19"/>
      <c r="K387" s="19"/>
      <c r="L387" s="18"/>
      <c r="M387" s="18"/>
      <c r="N387" s="18"/>
      <c r="O387" s="18"/>
      <c r="P387" s="18"/>
      <c r="R387" s="17"/>
      <c r="S387" s="17"/>
      <c r="T387" s="17"/>
      <c r="U387" s="17"/>
      <c r="V387" s="17"/>
      <c r="W387" s="17"/>
      <c r="X387" s="17"/>
      <c r="Y387" s="17"/>
      <c r="Z387" s="16"/>
      <c r="AA387" s="15"/>
      <c r="AB387" s="4"/>
      <c r="AC387" s="14"/>
      <c r="AD387" s="13"/>
    </row>
    <row r="388" spans="1:30">
      <c r="A388" s="20"/>
      <c r="B388" s="11"/>
      <c r="C388" s="10"/>
      <c r="D388" s="10"/>
      <c r="E388" s="10"/>
      <c r="G388" s="19"/>
      <c r="H388" s="19"/>
      <c r="I388" s="19"/>
      <c r="J388" s="19"/>
      <c r="K388" s="19"/>
      <c r="L388" s="18"/>
      <c r="M388" s="18"/>
      <c r="N388" s="18"/>
      <c r="O388" s="18"/>
      <c r="P388" s="18"/>
      <c r="R388" s="17"/>
      <c r="S388" s="17"/>
      <c r="T388" s="17"/>
      <c r="U388" s="17"/>
      <c r="V388" s="17"/>
      <c r="W388" s="17"/>
      <c r="X388" s="17"/>
      <c r="Y388" s="17"/>
      <c r="Z388" s="16"/>
      <c r="AA388" s="15"/>
      <c r="AB388" s="4"/>
      <c r="AC388" s="14"/>
      <c r="AD388" s="13"/>
    </row>
    <row r="389" spans="1:30">
      <c r="A389" s="20"/>
      <c r="B389" s="11"/>
      <c r="C389" s="10"/>
      <c r="D389" s="10"/>
      <c r="E389" s="10"/>
      <c r="G389" s="19"/>
      <c r="H389" s="19"/>
      <c r="I389" s="19"/>
      <c r="J389" s="19"/>
      <c r="K389" s="19"/>
      <c r="L389" s="18"/>
      <c r="M389" s="18"/>
      <c r="N389" s="18"/>
      <c r="O389" s="18"/>
      <c r="P389" s="18"/>
      <c r="R389" s="17"/>
      <c r="S389" s="17"/>
      <c r="T389" s="17"/>
      <c r="U389" s="17"/>
      <c r="V389" s="17"/>
      <c r="W389" s="17"/>
      <c r="X389" s="17"/>
      <c r="Y389" s="17"/>
      <c r="Z389" s="16"/>
      <c r="AA389" s="15"/>
      <c r="AB389" s="4"/>
      <c r="AC389" s="14"/>
      <c r="AD389" s="13"/>
    </row>
    <row r="390" spans="1:30">
      <c r="A390" s="20"/>
      <c r="B390" s="11"/>
      <c r="C390" s="10"/>
      <c r="D390" s="10"/>
      <c r="E390" s="10"/>
      <c r="G390" s="19"/>
      <c r="H390" s="19"/>
      <c r="I390" s="19"/>
      <c r="J390" s="19"/>
      <c r="K390" s="19"/>
      <c r="L390" s="18"/>
      <c r="M390" s="18"/>
      <c r="N390" s="18"/>
      <c r="O390" s="18"/>
      <c r="P390" s="18"/>
      <c r="R390" s="17"/>
      <c r="S390" s="17"/>
      <c r="T390" s="17"/>
      <c r="U390" s="17"/>
      <c r="V390" s="17"/>
      <c r="W390" s="17"/>
      <c r="X390" s="17"/>
      <c r="Y390" s="17"/>
      <c r="Z390" s="16"/>
      <c r="AA390" s="15"/>
      <c r="AB390" s="4"/>
      <c r="AC390" s="14"/>
      <c r="AD390" s="13"/>
    </row>
    <row r="391" spans="1:30">
      <c r="A391" s="20"/>
      <c r="B391" s="11"/>
      <c r="C391" s="10"/>
      <c r="D391" s="10"/>
      <c r="E391" s="10"/>
      <c r="G391" s="19"/>
      <c r="H391" s="19"/>
      <c r="I391" s="19"/>
      <c r="J391" s="19"/>
      <c r="K391" s="19"/>
      <c r="L391" s="18"/>
      <c r="M391" s="18"/>
      <c r="N391" s="18"/>
      <c r="O391" s="18"/>
      <c r="P391" s="18"/>
      <c r="R391" s="17"/>
      <c r="S391" s="17"/>
      <c r="T391" s="17"/>
      <c r="U391" s="17"/>
      <c r="V391" s="17"/>
      <c r="W391" s="17"/>
      <c r="X391" s="17"/>
      <c r="Y391" s="17"/>
      <c r="Z391" s="16"/>
      <c r="AA391" s="15"/>
      <c r="AB391" s="4"/>
      <c r="AC391" s="14"/>
      <c r="AD391" s="13"/>
    </row>
    <row r="392" spans="1:30">
      <c r="A392" s="20"/>
      <c r="B392" s="11"/>
      <c r="C392" s="10"/>
      <c r="D392" s="10"/>
      <c r="E392" s="10"/>
      <c r="G392" s="19"/>
      <c r="H392" s="19"/>
      <c r="I392" s="19"/>
      <c r="J392" s="19"/>
      <c r="K392" s="19"/>
      <c r="L392" s="18"/>
      <c r="M392" s="18"/>
      <c r="N392" s="18"/>
      <c r="O392" s="18"/>
      <c r="P392" s="18"/>
      <c r="R392" s="17"/>
      <c r="S392" s="17"/>
      <c r="T392" s="17"/>
      <c r="U392" s="17"/>
      <c r="V392" s="17"/>
      <c r="W392" s="17"/>
      <c r="X392" s="17"/>
      <c r="Y392" s="17"/>
      <c r="Z392" s="16"/>
      <c r="AA392" s="15"/>
      <c r="AB392" s="4"/>
      <c r="AC392" s="14"/>
      <c r="AD392" s="13"/>
    </row>
    <row r="393" spans="1:30">
      <c r="A393" s="20"/>
      <c r="B393" s="11"/>
      <c r="C393" s="10"/>
      <c r="D393" s="10"/>
      <c r="E393" s="10"/>
      <c r="G393" s="19"/>
      <c r="H393" s="19"/>
      <c r="I393" s="19"/>
      <c r="J393" s="19"/>
      <c r="K393" s="19"/>
      <c r="L393" s="18"/>
      <c r="M393" s="18"/>
      <c r="N393" s="18"/>
      <c r="O393" s="18"/>
      <c r="P393" s="18"/>
      <c r="R393" s="17"/>
      <c r="S393" s="17"/>
      <c r="T393" s="17"/>
      <c r="U393" s="17"/>
      <c r="V393" s="17"/>
      <c r="W393" s="17"/>
      <c r="X393" s="17"/>
      <c r="Y393" s="17"/>
      <c r="Z393" s="16"/>
      <c r="AA393" s="15"/>
      <c r="AB393" s="4"/>
      <c r="AC393" s="14"/>
      <c r="AD393" s="13"/>
    </row>
    <row r="394" spans="1:30">
      <c r="A394" s="20"/>
      <c r="B394" s="11"/>
      <c r="C394" s="10"/>
      <c r="D394" s="10"/>
      <c r="E394" s="10"/>
      <c r="G394" s="19"/>
      <c r="H394" s="19"/>
      <c r="I394" s="19"/>
      <c r="J394" s="19"/>
      <c r="K394" s="19"/>
      <c r="L394" s="18"/>
      <c r="M394" s="18"/>
      <c r="N394" s="18"/>
      <c r="O394" s="18"/>
      <c r="P394" s="18"/>
      <c r="R394" s="17"/>
      <c r="S394" s="17"/>
      <c r="T394" s="17"/>
      <c r="U394" s="17"/>
      <c r="V394" s="17"/>
      <c r="W394" s="17"/>
      <c r="X394" s="17"/>
      <c r="Y394" s="17"/>
      <c r="Z394" s="16"/>
      <c r="AA394" s="15"/>
      <c r="AB394" s="4"/>
      <c r="AC394" s="14"/>
      <c r="AD394" s="13"/>
    </row>
    <row r="395" spans="1:30">
      <c r="A395" s="20"/>
      <c r="B395" s="11"/>
      <c r="C395" s="10"/>
      <c r="D395" s="10"/>
      <c r="E395" s="10"/>
      <c r="G395" s="19"/>
      <c r="H395" s="19"/>
      <c r="I395" s="19"/>
      <c r="J395" s="19"/>
      <c r="K395" s="19"/>
      <c r="L395" s="18"/>
      <c r="M395" s="18"/>
      <c r="N395" s="18"/>
      <c r="O395" s="18"/>
      <c r="P395" s="18"/>
      <c r="R395" s="17"/>
      <c r="S395" s="17"/>
      <c r="T395" s="17"/>
      <c r="U395" s="17"/>
      <c r="V395" s="17"/>
      <c r="W395" s="17"/>
      <c r="X395" s="17"/>
      <c r="Y395" s="17"/>
      <c r="Z395" s="16"/>
      <c r="AA395" s="15"/>
      <c r="AB395" s="4"/>
      <c r="AC395" s="14"/>
      <c r="AD395" s="13"/>
    </row>
    <row r="396" spans="1:30">
      <c r="A396" s="20"/>
      <c r="B396" s="11"/>
      <c r="C396" s="10"/>
      <c r="D396" s="10"/>
      <c r="E396" s="10"/>
      <c r="G396" s="19"/>
      <c r="H396" s="19"/>
      <c r="I396" s="19"/>
      <c r="J396" s="19"/>
      <c r="K396" s="19"/>
      <c r="L396" s="18"/>
      <c r="M396" s="18"/>
      <c r="N396" s="18"/>
      <c r="O396" s="18"/>
      <c r="P396" s="18"/>
      <c r="R396" s="17"/>
      <c r="S396" s="17"/>
      <c r="T396" s="17"/>
      <c r="U396" s="17"/>
      <c r="V396" s="17"/>
      <c r="W396" s="17"/>
      <c r="X396" s="17"/>
      <c r="Y396" s="17"/>
      <c r="Z396" s="16"/>
      <c r="AA396" s="15"/>
      <c r="AB396" s="4"/>
      <c r="AC396" s="14"/>
      <c r="AD396" s="13"/>
    </row>
    <row r="397" spans="1:30">
      <c r="A397" s="20"/>
      <c r="B397" s="11"/>
      <c r="C397" s="10"/>
      <c r="D397" s="10"/>
      <c r="E397" s="10"/>
      <c r="G397" s="19"/>
      <c r="H397" s="19"/>
      <c r="I397" s="19"/>
      <c r="J397" s="19"/>
      <c r="K397" s="19"/>
      <c r="L397" s="18"/>
      <c r="M397" s="18"/>
      <c r="N397" s="18"/>
      <c r="O397" s="18"/>
      <c r="P397" s="18"/>
      <c r="R397" s="17"/>
      <c r="S397" s="17"/>
      <c r="T397" s="17"/>
      <c r="U397" s="17"/>
      <c r="V397" s="17"/>
      <c r="W397" s="17"/>
      <c r="X397" s="17"/>
      <c r="Y397" s="17"/>
      <c r="Z397" s="16"/>
      <c r="AA397" s="15"/>
      <c r="AB397" s="4"/>
      <c r="AC397" s="14"/>
      <c r="AD397" s="13"/>
    </row>
    <row r="398" spans="1:30">
      <c r="A398" s="20"/>
      <c r="B398" s="11"/>
      <c r="C398" s="10"/>
      <c r="D398" s="10"/>
      <c r="E398" s="10"/>
      <c r="G398" s="19"/>
      <c r="H398" s="19"/>
      <c r="I398" s="19"/>
      <c r="J398" s="19"/>
      <c r="K398" s="19"/>
      <c r="L398" s="18"/>
      <c r="M398" s="18"/>
      <c r="N398" s="18"/>
      <c r="O398" s="18"/>
      <c r="P398" s="18"/>
      <c r="R398" s="17"/>
      <c r="S398" s="17"/>
      <c r="T398" s="17"/>
      <c r="U398" s="17"/>
      <c r="V398" s="17"/>
      <c r="W398" s="17"/>
      <c r="X398" s="17"/>
      <c r="Y398" s="17"/>
      <c r="Z398" s="16"/>
      <c r="AA398" s="15"/>
      <c r="AB398" s="4"/>
      <c r="AC398" s="14"/>
      <c r="AD398" s="13"/>
    </row>
    <row r="399" spans="1:30">
      <c r="A399" s="20"/>
      <c r="B399" s="11"/>
      <c r="C399" s="10"/>
      <c r="D399" s="10"/>
      <c r="E399" s="10"/>
      <c r="G399" s="19"/>
      <c r="H399" s="19"/>
      <c r="I399" s="19"/>
      <c r="J399" s="19"/>
      <c r="K399" s="19"/>
      <c r="L399" s="18"/>
      <c r="M399" s="18"/>
      <c r="N399" s="18"/>
      <c r="O399" s="18"/>
      <c r="P399" s="18"/>
      <c r="R399" s="17"/>
      <c r="S399" s="17"/>
      <c r="T399" s="17"/>
      <c r="U399" s="17"/>
      <c r="V399" s="17"/>
      <c r="W399" s="17"/>
      <c r="X399" s="17"/>
      <c r="Y399" s="17"/>
      <c r="Z399" s="16"/>
      <c r="AA399" s="15"/>
      <c r="AB399" s="4"/>
      <c r="AC399" s="14"/>
      <c r="AD399" s="13"/>
    </row>
    <row r="400" spans="1:30">
      <c r="A400" s="20"/>
      <c r="B400" s="11"/>
      <c r="C400" s="10"/>
      <c r="D400" s="10"/>
      <c r="E400" s="10"/>
      <c r="G400" s="19"/>
      <c r="H400" s="19"/>
      <c r="I400" s="19"/>
      <c r="J400" s="19"/>
      <c r="K400" s="19"/>
      <c r="L400" s="18"/>
      <c r="M400" s="18"/>
      <c r="N400" s="18"/>
      <c r="O400" s="18"/>
      <c r="P400" s="18"/>
      <c r="R400" s="17"/>
      <c r="S400" s="17"/>
      <c r="T400" s="17"/>
      <c r="U400" s="17"/>
      <c r="V400" s="17"/>
      <c r="W400" s="17"/>
      <c r="X400" s="17"/>
      <c r="Y400" s="17"/>
      <c r="Z400" s="16"/>
      <c r="AA400" s="15"/>
      <c r="AB400" s="4"/>
      <c r="AC400" s="14"/>
      <c r="AD400" s="13"/>
    </row>
    <row r="401" spans="1:30">
      <c r="A401" s="20"/>
      <c r="B401" s="11"/>
      <c r="C401" s="10"/>
      <c r="D401" s="10"/>
      <c r="E401" s="10"/>
      <c r="G401" s="19"/>
      <c r="H401" s="19"/>
      <c r="I401" s="19"/>
      <c r="J401" s="19"/>
      <c r="K401" s="19"/>
      <c r="L401" s="18"/>
      <c r="M401" s="18"/>
      <c r="N401" s="18"/>
      <c r="O401" s="18"/>
      <c r="P401" s="18"/>
      <c r="R401" s="17"/>
      <c r="S401" s="17"/>
      <c r="T401" s="17"/>
      <c r="U401" s="17"/>
      <c r="V401" s="17"/>
      <c r="W401" s="17"/>
      <c r="X401" s="17"/>
      <c r="Y401" s="17"/>
      <c r="Z401" s="16"/>
      <c r="AA401" s="15"/>
      <c r="AB401" s="4"/>
      <c r="AC401" s="14"/>
      <c r="AD401" s="13"/>
    </row>
    <row r="402" spans="1:30">
      <c r="A402" s="20"/>
      <c r="B402" s="11"/>
      <c r="C402" s="10"/>
      <c r="D402" s="10"/>
      <c r="E402" s="10"/>
      <c r="G402" s="19"/>
      <c r="H402" s="19"/>
      <c r="I402" s="19"/>
      <c r="J402" s="19"/>
      <c r="K402" s="19"/>
      <c r="L402" s="18"/>
      <c r="M402" s="18"/>
      <c r="N402" s="18"/>
      <c r="O402" s="18"/>
      <c r="P402" s="18"/>
      <c r="R402" s="17"/>
      <c r="S402" s="17"/>
      <c r="T402" s="17"/>
      <c r="U402" s="17"/>
      <c r="V402" s="17"/>
      <c r="W402" s="17"/>
      <c r="X402" s="17"/>
      <c r="Y402" s="17"/>
      <c r="Z402" s="16"/>
      <c r="AA402" s="15"/>
      <c r="AB402" s="4"/>
      <c r="AC402" s="14"/>
      <c r="AD402" s="13"/>
    </row>
    <row r="403" spans="1:30">
      <c r="A403" s="20"/>
      <c r="B403" s="11"/>
      <c r="C403" s="10"/>
      <c r="D403" s="10"/>
      <c r="E403" s="10"/>
      <c r="G403" s="19"/>
      <c r="H403" s="19"/>
      <c r="I403" s="19"/>
      <c r="J403" s="19"/>
      <c r="K403" s="19"/>
      <c r="L403" s="18"/>
      <c r="M403" s="18"/>
      <c r="N403" s="18"/>
      <c r="O403" s="18"/>
      <c r="P403" s="18"/>
      <c r="R403" s="17"/>
      <c r="S403" s="17"/>
      <c r="T403" s="17"/>
      <c r="U403" s="17"/>
      <c r="V403" s="17"/>
      <c r="W403" s="17"/>
      <c r="X403" s="17"/>
      <c r="Y403" s="17"/>
      <c r="Z403" s="16"/>
      <c r="AA403" s="15"/>
      <c r="AB403" s="4"/>
      <c r="AC403" s="14"/>
      <c r="AD403" s="13"/>
    </row>
    <row r="404" spans="1:30">
      <c r="A404" s="20"/>
      <c r="B404" s="11"/>
      <c r="C404" s="10"/>
      <c r="D404" s="10"/>
      <c r="E404" s="10"/>
      <c r="G404" s="19"/>
      <c r="H404" s="19"/>
      <c r="I404" s="19"/>
      <c r="J404" s="19"/>
      <c r="K404" s="19"/>
      <c r="L404" s="18"/>
      <c r="M404" s="18"/>
      <c r="N404" s="18"/>
      <c r="O404" s="18"/>
      <c r="P404" s="18"/>
      <c r="R404" s="17"/>
      <c r="S404" s="17"/>
      <c r="T404" s="17"/>
      <c r="U404" s="17"/>
      <c r="V404" s="17"/>
      <c r="W404" s="17"/>
      <c r="X404" s="17"/>
      <c r="Y404" s="17"/>
      <c r="Z404" s="16"/>
      <c r="AA404" s="15"/>
      <c r="AB404" s="4"/>
      <c r="AC404" s="14"/>
      <c r="AD404" s="13"/>
    </row>
    <row r="405" spans="1:30">
      <c r="A405" s="20"/>
      <c r="B405" s="11"/>
      <c r="C405" s="10"/>
      <c r="D405" s="10"/>
      <c r="E405" s="10"/>
      <c r="G405" s="19"/>
      <c r="H405" s="19"/>
      <c r="I405" s="19"/>
      <c r="J405" s="19"/>
      <c r="K405" s="19"/>
      <c r="L405" s="18"/>
      <c r="M405" s="18"/>
      <c r="N405" s="18"/>
      <c r="O405" s="18"/>
      <c r="P405" s="18"/>
      <c r="R405" s="17"/>
      <c r="S405" s="17"/>
      <c r="T405" s="17"/>
      <c r="U405" s="17"/>
      <c r="V405" s="17"/>
      <c r="W405" s="17"/>
      <c r="X405" s="17"/>
      <c r="Y405" s="17"/>
      <c r="Z405" s="16"/>
      <c r="AA405" s="15"/>
      <c r="AB405" s="4"/>
      <c r="AC405" s="14"/>
      <c r="AD405" s="13"/>
    </row>
    <row r="406" spans="1:30">
      <c r="A406" s="20"/>
      <c r="B406" s="11"/>
      <c r="C406" s="10"/>
      <c r="D406" s="10"/>
      <c r="E406" s="10"/>
      <c r="G406" s="19"/>
      <c r="H406" s="19"/>
      <c r="I406" s="19"/>
      <c r="J406" s="19"/>
      <c r="K406" s="19"/>
      <c r="L406" s="18"/>
      <c r="M406" s="18"/>
      <c r="N406" s="18"/>
      <c r="O406" s="18"/>
      <c r="P406" s="18"/>
      <c r="R406" s="17"/>
      <c r="S406" s="17"/>
      <c r="T406" s="17"/>
      <c r="U406" s="17"/>
      <c r="V406" s="17"/>
      <c r="W406" s="17"/>
      <c r="X406" s="17"/>
      <c r="Y406" s="17"/>
      <c r="Z406" s="16"/>
      <c r="AA406" s="15"/>
      <c r="AB406" s="4"/>
      <c r="AC406" s="14"/>
      <c r="AD406" s="13"/>
    </row>
    <row r="407" spans="1:30">
      <c r="A407" s="20"/>
      <c r="B407" s="11"/>
      <c r="C407" s="10"/>
      <c r="D407" s="10"/>
      <c r="E407" s="10"/>
      <c r="G407" s="19"/>
      <c r="H407" s="19"/>
      <c r="I407" s="19"/>
      <c r="J407" s="19"/>
      <c r="K407" s="19"/>
      <c r="L407" s="18"/>
      <c r="M407" s="18"/>
      <c r="N407" s="18"/>
      <c r="O407" s="18"/>
      <c r="P407" s="18"/>
      <c r="R407" s="17"/>
      <c r="S407" s="17"/>
      <c r="T407" s="17"/>
      <c r="U407" s="17"/>
      <c r="V407" s="17"/>
      <c r="W407" s="17"/>
      <c r="X407" s="17"/>
      <c r="Y407" s="17"/>
      <c r="Z407" s="16"/>
      <c r="AA407" s="15"/>
      <c r="AB407" s="4"/>
      <c r="AC407" s="14"/>
      <c r="AD407" s="13"/>
    </row>
    <row r="408" spans="1:30">
      <c r="A408" s="20"/>
      <c r="B408" s="11"/>
      <c r="C408" s="10"/>
      <c r="D408" s="10"/>
      <c r="E408" s="10"/>
      <c r="G408" s="19"/>
      <c r="H408" s="19"/>
      <c r="I408" s="19"/>
      <c r="J408" s="19"/>
      <c r="K408" s="19"/>
      <c r="L408" s="18"/>
      <c r="M408" s="18"/>
      <c r="N408" s="18"/>
      <c r="O408" s="18"/>
      <c r="P408" s="18"/>
      <c r="R408" s="17"/>
      <c r="S408" s="17"/>
      <c r="T408" s="17"/>
      <c r="U408" s="17"/>
      <c r="V408" s="17"/>
      <c r="W408" s="17"/>
      <c r="X408" s="17"/>
      <c r="Y408" s="17"/>
      <c r="Z408" s="16"/>
      <c r="AA408" s="15"/>
      <c r="AB408" s="4"/>
      <c r="AC408" s="14"/>
      <c r="AD408" s="13"/>
    </row>
    <row r="409" spans="1:30">
      <c r="A409" s="20"/>
      <c r="B409" s="11"/>
      <c r="C409" s="10"/>
      <c r="D409" s="10"/>
      <c r="E409" s="10"/>
      <c r="G409" s="19"/>
      <c r="H409" s="19"/>
      <c r="I409" s="19"/>
      <c r="J409" s="19"/>
      <c r="K409" s="19"/>
      <c r="L409" s="18"/>
      <c r="M409" s="18"/>
      <c r="N409" s="18"/>
      <c r="O409" s="18"/>
      <c r="P409" s="18"/>
      <c r="R409" s="17"/>
      <c r="S409" s="17"/>
      <c r="T409" s="17"/>
      <c r="U409" s="17"/>
      <c r="V409" s="17"/>
      <c r="W409" s="17"/>
      <c r="X409" s="17"/>
      <c r="Y409" s="17"/>
      <c r="Z409" s="16"/>
      <c r="AA409" s="15"/>
      <c r="AB409" s="4"/>
      <c r="AC409" s="14"/>
      <c r="AD409" s="13"/>
    </row>
    <row r="410" spans="1:30">
      <c r="A410" s="20"/>
      <c r="B410" s="11"/>
      <c r="C410" s="10"/>
      <c r="D410" s="10"/>
      <c r="E410" s="10"/>
      <c r="G410" s="19"/>
      <c r="H410" s="19"/>
      <c r="I410" s="19"/>
      <c r="J410" s="19"/>
      <c r="K410" s="19"/>
      <c r="L410" s="18"/>
      <c r="M410" s="18"/>
      <c r="N410" s="18"/>
      <c r="O410" s="18"/>
      <c r="P410" s="18"/>
      <c r="R410" s="17"/>
      <c r="S410" s="17"/>
      <c r="T410" s="17"/>
      <c r="U410" s="17"/>
      <c r="V410" s="17"/>
      <c r="W410" s="17"/>
      <c r="X410" s="17"/>
      <c r="Y410" s="17"/>
      <c r="Z410" s="16"/>
      <c r="AA410" s="15"/>
      <c r="AB410" s="4"/>
      <c r="AC410" s="14"/>
      <c r="AD410" s="13"/>
    </row>
    <row r="411" spans="1:30">
      <c r="A411" s="20"/>
      <c r="B411" s="11"/>
      <c r="C411" s="10"/>
      <c r="D411" s="10"/>
      <c r="E411" s="10"/>
      <c r="G411" s="19"/>
      <c r="H411" s="19"/>
      <c r="I411" s="19"/>
      <c r="J411" s="19"/>
      <c r="K411" s="19"/>
      <c r="L411" s="18"/>
      <c r="M411" s="18"/>
      <c r="N411" s="18"/>
      <c r="O411" s="18"/>
      <c r="P411" s="18"/>
      <c r="R411" s="17"/>
      <c r="S411" s="17"/>
      <c r="T411" s="17"/>
      <c r="U411" s="17"/>
      <c r="V411" s="17"/>
      <c r="W411" s="17"/>
      <c r="X411" s="17"/>
      <c r="Y411" s="17"/>
      <c r="Z411" s="16"/>
      <c r="AA411" s="15"/>
      <c r="AB411" s="4"/>
      <c r="AC411" s="14"/>
      <c r="AD411" s="13"/>
    </row>
    <row r="412" spans="1:30">
      <c r="A412" s="20"/>
      <c r="B412" s="11"/>
      <c r="C412" s="10"/>
      <c r="D412" s="10"/>
      <c r="E412" s="10"/>
      <c r="G412" s="19"/>
      <c r="H412" s="19"/>
      <c r="I412" s="19"/>
      <c r="J412" s="19"/>
      <c r="K412" s="19"/>
      <c r="L412" s="18"/>
      <c r="M412" s="18"/>
      <c r="N412" s="18"/>
      <c r="O412" s="18"/>
      <c r="P412" s="18"/>
      <c r="R412" s="17"/>
      <c r="S412" s="17"/>
      <c r="T412" s="17"/>
      <c r="U412" s="17"/>
      <c r="V412" s="17"/>
      <c r="W412" s="17"/>
      <c r="X412" s="17"/>
      <c r="Y412" s="17"/>
      <c r="Z412" s="16"/>
      <c r="AA412" s="15"/>
      <c r="AB412" s="4"/>
      <c r="AC412" s="14"/>
      <c r="AD412" s="13"/>
    </row>
    <row r="413" spans="1:30">
      <c r="A413" s="20"/>
      <c r="B413" s="11"/>
      <c r="C413" s="10"/>
      <c r="D413" s="10"/>
      <c r="E413" s="10"/>
      <c r="G413" s="19"/>
      <c r="H413" s="19"/>
      <c r="I413" s="19"/>
      <c r="J413" s="19"/>
      <c r="K413" s="19"/>
      <c r="L413" s="18"/>
      <c r="M413" s="18"/>
      <c r="N413" s="18"/>
      <c r="O413" s="18"/>
      <c r="P413" s="18"/>
      <c r="R413" s="17"/>
      <c r="S413" s="17"/>
      <c r="T413" s="17"/>
      <c r="U413" s="17"/>
      <c r="V413" s="17"/>
      <c r="W413" s="17"/>
      <c r="X413" s="17"/>
      <c r="Y413" s="17"/>
      <c r="Z413" s="16"/>
      <c r="AA413" s="15"/>
      <c r="AB413" s="4"/>
      <c r="AC413" s="14"/>
      <c r="AD413" s="13"/>
    </row>
    <row r="414" spans="1:30">
      <c r="A414" s="20"/>
      <c r="B414" s="11"/>
      <c r="C414" s="10"/>
      <c r="D414" s="10"/>
      <c r="E414" s="10"/>
      <c r="G414" s="19"/>
      <c r="H414" s="19"/>
      <c r="I414" s="19"/>
      <c r="J414" s="19"/>
      <c r="K414" s="19"/>
      <c r="L414" s="18"/>
      <c r="M414" s="18"/>
      <c r="N414" s="18"/>
      <c r="O414" s="18"/>
      <c r="P414" s="18"/>
      <c r="R414" s="17"/>
      <c r="S414" s="17"/>
      <c r="T414" s="17"/>
      <c r="U414" s="17"/>
      <c r="V414" s="17"/>
      <c r="W414" s="17"/>
      <c r="X414" s="17"/>
      <c r="Y414" s="17"/>
      <c r="Z414" s="16"/>
      <c r="AA414" s="15"/>
      <c r="AB414" s="4"/>
      <c r="AC414" s="14"/>
      <c r="AD414" s="13"/>
    </row>
    <row r="415" spans="1:30">
      <c r="A415" s="20"/>
      <c r="B415" s="11"/>
      <c r="C415" s="10"/>
      <c r="D415" s="10"/>
      <c r="E415" s="10"/>
      <c r="G415" s="19"/>
      <c r="H415" s="19"/>
      <c r="I415" s="19"/>
      <c r="J415" s="19"/>
      <c r="K415" s="19"/>
      <c r="L415" s="18"/>
      <c r="M415" s="18"/>
      <c r="N415" s="18"/>
      <c r="O415" s="18"/>
      <c r="P415" s="18"/>
      <c r="R415" s="17"/>
      <c r="S415" s="17"/>
      <c r="T415" s="17"/>
      <c r="U415" s="17"/>
      <c r="V415" s="17"/>
      <c r="W415" s="17"/>
      <c r="X415" s="17"/>
      <c r="Y415" s="17"/>
      <c r="Z415" s="16"/>
      <c r="AA415" s="15"/>
      <c r="AB415" s="4"/>
      <c r="AC415" s="14"/>
      <c r="AD415" s="13"/>
    </row>
    <row r="416" spans="1:30">
      <c r="A416" s="20"/>
      <c r="B416" s="11"/>
      <c r="C416" s="10"/>
      <c r="D416" s="10"/>
      <c r="E416" s="10"/>
      <c r="G416" s="19"/>
      <c r="H416" s="19"/>
      <c r="I416" s="19"/>
      <c r="J416" s="19"/>
      <c r="K416" s="19"/>
      <c r="L416" s="18"/>
      <c r="M416" s="18"/>
      <c r="N416" s="18"/>
      <c r="O416" s="18"/>
      <c r="P416" s="18"/>
      <c r="R416" s="17"/>
      <c r="S416" s="17"/>
      <c r="T416" s="17"/>
      <c r="U416" s="17"/>
      <c r="V416" s="17"/>
      <c r="W416" s="17"/>
      <c r="X416" s="17"/>
      <c r="Y416" s="17"/>
      <c r="Z416" s="16"/>
      <c r="AA416" s="15"/>
      <c r="AB416" s="4"/>
      <c r="AC416" s="14"/>
      <c r="AD416" s="13"/>
    </row>
    <row r="417" spans="1:30">
      <c r="A417" s="20"/>
      <c r="B417" s="11"/>
      <c r="C417" s="10"/>
      <c r="D417" s="10"/>
      <c r="E417" s="10"/>
      <c r="G417" s="19"/>
      <c r="H417" s="19"/>
      <c r="I417" s="19"/>
      <c r="J417" s="19"/>
      <c r="K417" s="19"/>
      <c r="L417" s="18"/>
      <c r="M417" s="18"/>
      <c r="N417" s="18"/>
      <c r="O417" s="18"/>
      <c r="P417" s="18"/>
      <c r="R417" s="17"/>
      <c r="S417" s="17"/>
      <c r="T417" s="17"/>
      <c r="U417" s="17"/>
      <c r="V417" s="17"/>
      <c r="W417" s="17"/>
      <c r="X417" s="17"/>
      <c r="Y417" s="17"/>
      <c r="Z417" s="16"/>
      <c r="AA417" s="15"/>
      <c r="AB417" s="4"/>
      <c r="AC417" s="14"/>
      <c r="AD417" s="13"/>
    </row>
    <row r="418" spans="1:30">
      <c r="A418" s="20"/>
      <c r="B418" s="11"/>
      <c r="C418" s="10"/>
      <c r="D418" s="10"/>
      <c r="E418" s="10"/>
      <c r="G418" s="19"/>
      <c r="H418" s="19"/>
      <c r="I418" s="19"/>
      <c r="J418" s="19"/>
      <c r="K418" s="19"/>
      <c r="L418" s="18"/>
      <c r="M418" s="18"/>
      <c r="N418" s="18"/>
      <c r="O418" s="18"/>
      <c r="P418" s="18"/>
      <c r="R418" s="17"/>
      <c r="S418" s="17"/>
      <c r="T418" s="17"/>
      <c r="U418" s="17"/>
      <c r="V418" s="17"/>
      <c r="W418" s="17"/>
      <c r="X418" s="17"/>
      <c r="Y418" s="17"/>
      <c r="Z418" s="16"/>
      <c r="AA418" s="15"/>
      <c r="AB418" s="4"/>
      <c r="AC418" s="14"/>
      <c r="AD418" s="13"/>
    </row>
    <row r="419" spans="1:30">
      <c r="A419" s="20"/>
      <c r="B419" s="11"/>
      <c r="C419" s="10"/>
      <c r="D419" s="10"/>
      <c r="E419" s="10"/>
      <c r="G419" s="19"/>
      <c r="H419" s="19"/>
      <c r="I419" s="19"/>
      <c r="J419" s="19"/>
      <c r="K419" s="19"/>
      <c r="L419" s="18"/>
      <c r="M419" s="18"/>
      <c r="N419" s="18"/>
      <c r="O419" s="18"/>
      <c r="P419" s="18"/>
      <c r="R419" s="17"/>
      <c r="S419" s="17"/>
      <c r="T419" s="17"/>
      <c r="U419" s="17"/>
      <c r="V419" s="17"/>
      <c r="W419" s="17"/>
      <c r="X419" s="17"/>
      <c r="Y419" s="17"/>
      <c r="Z419" s="16"/>
      <c r="AA419" s="15"/>
      <c r="AB419" s="4"/>
      <c r="AC419" s="14"/>
      <c r="AD419" s="13"/>
    </row>
    <row r="420" spans="1:30">
      <c r="A420" s="20"/>
      <c r="B420" s="11"/>
      <c r="C420" s="10"/>
      <c r="D420" s="10"/>
      <c r="E420" s="10"/>
      <c r="G420" s="19"/>
      <c r="H420" s="19"/>
      <c r="I420" s="19"/>
      <c r="J420" s="19"/>
      <c r="K420" s="19"/>
      <c r="L420" s="18"/>
      <c r="M420" s="18"/>
      <c r="N420" s="18"/>
      <c r="O420" s="18"/>
      <c r="P420" s="18"/>
      <c r="R420" s="17"/>
      <c r="S420" s="17"/>
      <c r="T420" s="17"/>
      <c r="U420" s="17"/>
      <c r="V420" s="17"/>
      <c r="W420" s="17"/>
      <c r="X420" s="17"/>
      <c r="Y420" s="17"/>
      <c r="Z420" s="16"/>
      <c r="AA420" s="15"/>
      <c r="AB420" s="4"/>
      <c r="AC420" s="14"/>
      <c r="AD420" s="13"/>
    </row>
    <row r="421" spans="1:30">
      <c r="A421" s="20"/>
      <c r="B421" s="11"/>
      <c r="C421" s="10"/>
      <c r="D421" s="10"/>
      <c r="E421" s="10"/>
      <c r="G421" s="19"/>
      <c r="H421" s="19"/>
      <c r="I421" s="19"/>
      <c r="J421" s="19"/>
      <c r="K421" s="19"/>
      <c r="L421" s="18"/>
      <c r="M421" s="18"/>
      <c r="N421" s="18"/>
      <c r="O421" s="18"/>
      <c r="P421" s="18"/>
      <c r="R421" s="17"/>
      <c r="S421" s="17"/>
      <c r="T421" s="17"/>
      <c r="U421" s="17"/>
      <c r="V421" s="17"/>
      <c r="W421" s="17"/>
      <c r="X421" s="17"/>
      <c r="Y421" s="17"/>
      <c r="Z421" s="16"/>
      <c r="AA421" s="15"/>
      <c r="AB421" s="4"/>
      <c r="AC421" s="14"/>
      <c r="AD421" s="13"/>
    </row>
    <row r="422" spans="1:30">
      <c r="A422" s="20"/>
      <c r="B422" s="11"/>
      <c r="C422" s="10"/>
      <c r="D422" s="10"/>
      <c r="E422" s="10"/>
      <c r="G422" s="19"/>
      <c r="H422" s="19"/>
      <c r="I422" s="19"/>
      <c r="J422" s="19"/>
      <c r="K422" s="19"/>
      <c r="L422" s="18"/>
      <c r="M422" s="18"/>
      <c r="N422" s="18"/>
      <c r="O422" s="18"/>
      <c r="P422" s="18"/>
      <c r="R422" s="17"/>
      <c r="S422" s="17"/>
      <c r="T422" s="17"/>
      <c r="U422" s="17"/>
      <c r="V422" s="17"/>
      <c r="W422" s="17"/>
      <c r="X422" s="17"/>
      <c r="Y422" s="17"/>
      <c r="Z422" s="16"/>
      <c r="AA422" s="15"/>
      <c r="AB422" s="4"/>
      <c r="AC422" s="14"/>
      <c r="AD422" s="13"/>
    </row>
    <row r="423" spans="1:30">
      <c r="A423" s="20"/>
      <c r="B423" s="11"/>
      <c r="C423" s="10"/>
      <c r="D423" s="10"/>
      <c r="E423" s="10"/>
      <c r="G423" s="19"/>
      <c r="H423" s="19"/>
      <c r="I423" s="19"/>
      <c r="J423" s="19"/>
      <c r="K423" s="19"/>
      <c r="L423" s="18"/>
      <c r="M423" s="18"/>
      <c r="N423" s="18"/>
      <c r="O423" s="18"/>
      <c r="P423" s="18"/>
      <c r="R423" s="17"/>
      <c r="S423" s="17"/>
      <c r="T423" s="17"/>
      <c r="U423" s="17"/>
      <c r="V423" s="17"/>
      <c r="W423" s="17"/>
      <c r="X423" s="17"/>
      <c r="Y423" s="17"/>
      <c r="Z423" s="16"/>
      <c r="AA423" s="15"/>
      <c r="AB423" s="4"/>
      <c r="AC423" s="14"/>
      <c r="AD423" s="13"/>
    </row>
    <row r="424" spans="1:30">
      <c r="A424" s="20"/>
      <c r="B424" s="11"/>
      <c r="C424" s="10"/>
      <c r="D424" s="10"/>
      <c r="E424" s="10"/>
      <c r="G424" s="19"/>
      <c r="H424" s="19"/>
      <c r="I424" s="19"/>
      <c r="J424" s="19"/>
      <c r="K424" s="19"/>
      <c r="L424" s="18"/>
      <c r="M424" s="18"/>
      <c r="N424" s="18"/>
      <c r="O424" s="18"/>
      <c r="P424" s="18"/>
      <c r="R424" s="17"/>
      <c r="S424" s="17"/>
      <c r="T424" s="17"/>
      <c r="U424" s="17"/>
      <c r="V424" s="17"/>
      <c r="W424" s="17"/>
      <c r="X424" s="17"/>
      <c r="Y424" s="17"/>
      <c r="Z424" s="16"/>
      <c r="AA424" s="15"/>
      <c r="AB424" s="4"/>
      <c r="AC424" s="14"/>
      <c r="AD424" s="13"/>
    </row>
    <row r="425" spans="1:30">
      <c r="A425" s="20"/>
      <c r="B425" s="11"/>
      <c r="C425" s="10"/>
      <c r="D425" s="10"/>
      <c r="E425" s="10"/>
      <c r="G425" s="19"/>
      <c r="H425" s="19"/>
      <c r="I425" s="19"/>
      <c r="J425" s="19"/>
      <c r="K425" s="19"/>
      <c r="L425" s="18"/>
      <c r="M425" s="18"/>
      <c r="N425" s="18"/>
      <c r="O425" s="18"/>
      <c r="P425" s="18"/>
      <c r="R425" s="17"/>
      <c r="S425" s="17"/>
      <c r="T425" s="17"/>
      <c r="U425" s="17"/>
      <c r="V425" s="17"/>
      <c r="W425" s="17"/>
      <c r="X425" s="17"/>
      <c r="Y425" s="17"/>
      <c r="Z425" s="16"/>
      <c r="AA425" s="15"/>
      <c r="AB425" s="4"/>
      <c r="AC425" s="14"/>
      <c r="AD425" s="13"/>
    </row>
    <row r="426" spans="1:30">
      <c r="A426" s="20"/>
      <c r="B426" s="11"/>
      <c r="C426" s="10"/>
      <c r="D426" s="10"/>
      <c r="E426" s="10"/>
      <c r="G426" s="19"/>
      <c r="H426" s="19"/>
      <c r="I426" s="19"/>
      <c r="J426" s="19"/>
      <c r="K426" s="19"/>
      <c r="L426" s="18"/>
      <c r="M426" s="18"/>
      <c r="N426" s="18"/>
      <c r="O426" s="18"/>
      <c r="P426" s="18"/>
      <c r="R426" s="17"/>
      <c r="S426" s="17"/>
      <c r="T426" s="17"/>
      <c r="U426" s="17"/>
      <c r="V426" s="17"/>
      <c r="W426" s="17"/>
      <c r="X426" s="17"/>
      <c r="Y426" s="17"/>
      <c r="Z426" s="16"/>
      <c r="AA426" s="15"/>
      <c r="AB426" s="4"/>
      <c r="AC426" s="14"/>
      <c r="AD426" s="13"/>
    </row>
    <row r="427" spans="1:30">
      <c r="A427" s="20"/>
      <c r="B427" s="11"/>
      <c r="C427" s="10"/>
      <c r="D427" s="10"/>
      <c r="E427" s="10"/>
      <c r="G427" s="19"/>
      <c r="H427" s="19"/>
      <c r="I427" s="19"/>
      <c r="J427" s="19"/>
      <c r="K427" s="19"/>
      <c r="L427" s="18"/>
      <c r="M427" s="18"/>
      <c r="N427" s="18"/>
      <c r="O427" s="18"/>
      <c r="P427" s="18"/>
      <c r="R427" s="17"/>
      <c r="S427" s="17"/>
      <c r="T427" s="17"/>
      <c r="U427" s="17"/>
      <c r="V427" s="17"/>
      <c r="W427" s="17"/>
      <c r="X427" s="17"/>
      <c r="Y427" s="17"/>
      <c r="Z427" s="16"/>
      <c r="AA427" s="15"/>
      <c r="AB427" s="4"/>
      <c r="AC427" s="14"/>
      <c r="AD427" s="13"/>
    </row>
    <row r="428" spans="1:30">
      <c r="A428" s="20"/>
      <c r="B428" s="11"/>
      <c r="C428" s="10"/>
      <c r="D428" s="10"/>
      <c r="E428" s="10"/>
      <c r="G428" s="19"/>
      <c r="H428" s="19"/>
      <c r="I428" s="19"/>
      <c r="J428" s="19"/>
      <c r="K428" s="19"/>
      <c r="L428" s="18"/>
      <c r="M428" s="18"/>
      <c r="N428" s="18"/>
      <c r="O428" s="18"/>
      <c r="P428" s="18"/>
      <c r="R428" s="17"/>
      <c r="S428" s="17"/>
      <c r="T428" s="17"/>
      <c r="U428" s="17"/>
      <c r="V428" s="17"/>
      <c r="W428" s="17"/>
      <c r="X428" s="17"/>
      <c r="Y428" s="17"/>
      <c r="Z428" s="16"/>
      <c r="AA428" s="15"/>
      <c r="AB428" s="4"/>
      <c r="AC428" s="14"/>
      <c r="AD428" s="13"/>
    </row>
    <row r="429" spans="1:30">
      <c r="A429" s="20"/>
      <c r="B429" s="11"/>
      <c r="C429" s="10"/>
      <c r="D429" s="10"/>
      <c r="E429" s="10"/>
      <c r="G429" s="19"/>
      <c r="H429" s="19"/>
      <c r="I429" s="19"/>
      <c r="J429" s="19"/>
      <c r="K429" s="19"/>
      <c r="L429" s="18"/>
      <c r="M429" s="18"/>
      <c r="N429" s="18"/>
      <c r="O429" s="18"/>
      <c r="P429" s="18"/>
      <c r="R429" s="17"/>
      <c r="S429" s="17"/>
      <c r="T429" s="17"/>
      <c r="U429" s="17"/>
      <c r="V429" s="17"/>
      <c r="W429" s="17"/>
      <c r="X429" s="17"/>
      <c r="Y429" s="17"/>
      <c r="Z429" s="16"/>
      <c r="AA429" s="15"/>
      <c r="AB429" s="4"/>
      <c r="AC429" s="14"/>
      <c r="AD429" s="13"/>
    </row>
    <row r="430" spans="1:30">
      <c r="A430" s="20"/>
      <c r="B430" s="11"/>
      <c r="C430" s="10"/>
      <c r="D430" s="10"/>
      <c r="E430" s="10"/>
      <c r="G430" s="19"/>
      <c r="H430" s="19"/>
      <c r="I430" s="19"/>
      <c r="J430" s="19"/>
      <c r="K430" s="19"/>
      <c r="L430" s="18"/>
      <c r="M430" s="18"/>
      <c r="N430" s="18"/>
      <c r="O430" s="18"/>
      <c r="P430" s="18"/>
      <c r="R430" s="17"/>
      <c r="S430" s="17"/>
      <c r="T430" s="17"/>
      <c r="U430" s="17"/>
      <c r="V430" s="17"/>
      <c r="W430" s="17"/>
      <c r="X430" s="17"/>
      <c r="Y430" s="17"/>
      <c r="Z430" s="16"/>
      <c r="AA430" s="15"/>
      <c r="AB430" s="4"/>
      <c r="AC430" s="14"/>
      <c r="AD430" s="13"/>
    </row>
    <row r="431" spans="1:30">
      <c r="A431" s="20"/>
      <c r="B431" s="11"/>
      <c r="C431" s="10"/>
      <c r="D431" s="10"/>
      <c r="E431" s="10"/>
      <c r="G431" s="19"/>
      <c r="H431" s="19"/>
      <c r="I431" s="19"/>
      <c r="J431" s="19"/>
      <c r="K431" s="19"/>
      <c r="L431" s="18"/>
      <c r="M431" s="18"/>
      <c r="N431" s="18"/>
      <c r="O431" s="18"/>
      <c r="P431" s="18"/>
      <c r="R431" s="17"/>
      <c r="S431" s="17"/>
      <c r="T431" s="17"/>
      <c r="U431" s="17"/>
      <c r="V431" s="17"/>
      <c r="W431" s="17"/>
      <c r="X431" s="17"/>
      <c r="Y431" s="17"/>
      <c r="Z431" s="16"/>
      <c r="AA431" s="15"/>
      <c r="AB431" s="4"/>
      <c r="AC431" s="14"/>
      <c r="AD431" s="13"/>
    </row>
    <row r="432" spans="1:30">
      <c r="A432" s="20"/>
      <c r="B432" s="11"/>
      <c r="C432" s="10"/>
      <c r="D432" s="10"/>
      <c r="E432" s="10"/>
      <c r="G432" s="19"/>
      <c r="H432" s="19"/>
      <c r="I432" s="19"/>
      <c r="J432" s="19"/>
      <c r="K432" s="19"/>
      <c r="L432" s="18"/>
      <c r="M432" s="18"/>
      <c r="N432" s="18"/>
      <c r="O432" s="18"/>
      <c r="P432" s="18"/>
      <c r="R432" s="17"/>
      <c r="S432" s="17"/>
      <c r="T432" s="17"/>
      <c r="U432" s="17"/>
      <c r="V432" s="17"/>
      <c r="W432" s="17"/>
      <c r="X432" s="17"/>
      <c r="Y432" s="17"/>
      <c r="Z432" s="16"/>
      <c r="AA432" s="15"/>
      <c r="AB432" s="4"/>
      <c r="AC432" s="14"/>
      <c r="AD432" s="13"/>
    </row>
    <row r="433" spans="1:30">
      <c r="A433" s="20"/>
      <c r="B433" s="11"/>
      <c r="C433" s="10"/>
      <c r="D433" s="10"/>
      <c r="E433" s="10"/>
      <c r="G433" s="19"/>
      <c r="H433" s="19"/>
      <c r="I433" s="19"/>
      <c r="J433" s="19"/>
      <c r="K433" s="19"/>
      <c r="L433" s="18"/>
      <c r="M433" s="18"/>
      <c r="N433" s="18"/>
      <c r="O433" s="18"/>
      <c r="P433" s="18"/>
      <c r="R433" s="17"/>
      <c r="S433" s="17"/>
      <c r="T433" s="17"/>
      <c r="U433" s="17"/>
      <c r="V433" s="17"/>
      <c r="W433" s="17"/>
      <c r="X433" s="17"/>
      <c r="Y433" s="17"/>
      <c r="Z433" s="16"/>
      <c r="AA433" s="15"/>
      <c r="AB433" s="4"/>
      <c r="AC433" s="14"/>
      <c r="AD433" s="13"/>
    </row>
    <row r="434" spans="1:30">
      <c r="A434" s="20"/>
      <c r="B434" s="11"/>
      <c r="C434" s="10"/>
      <c r="D434" s="10"/>
      <c r="E434" s="10"/>
      <c r="G434" s="19"/>
      <c r="H434" s="19"/>
      <c r="I434" s="19"/>
      <c r="J434" s="19"/>
      <c r="K434" s="19"/>
      <c r="L434" s="18"/>
      <c r="M434" s="18"/>
      <c r="N434" s="18"/>
      <c r="O434" s="18"/>
      <c r="P434" s="18"/>
      <c r="R434" s="17"/>
      <c r="S434" s="17"/>
      <c r="T434" s="17"/>
      <c r="U434" s="17"/>
      <c r="V434" s="17"/>
      <c r="W434" s="17"/>
      <c r="X434" s="17"/>
      <c r="Y434" s="17"/>
      <c r="Z434" s="16"/>
      <c r="AA434" s="15"/>
      <c r="AB434" s="4"/>
      <c r="AC434" s="14"/>
      <c r="AD434" s="13"/>
    </row>
    <row r="435" spans="1:30">
      <c r="A435" s="20"/>
      <c r="B435" s="11"/>
      <c r="C435" s="10"/>
      <c r="D435" s="10"/>
      <c r="E435" s="10"/>
      <c r="G435" s="19"/>
      <c r="H435" s="19"/>
      <c r="I435" s="19"/>
      <c r="J435" s="19"/>
      <c r="K435" s="19"/>
      <c r="L435" s="18"/>
      <c r="M435" s="18"/>
      <c r="N435" s="18"/>
      <c r="O435" s="18"/>
      <c r="P435" s="18"/>
      <c r="R435" s="17"/>
      <c r="S435" s="17"/>
      <c r="T435" s="17"/>
      <c r="U435" s="17"/>
      <c r="V435" s="17"/>
      <c r="W435" s="17"/>
      <c r="X435" s="17"/>
      <c r="Y435" s="17"/>
      <c r="Z435" s="16"/>
      <c r="AA435" s="15"/>
      <c r="AB435" s="4"/>
      <c r="AC435" s="14"/>
      <c r="AD435" s="13"/>
    </row>
    <row r="436" spans="1:30">
      <c r="A436" s="20"/>
      <c r="B436" s="11"/>
      <c r="C436" s="10"/>
      <c r="D436" s="10"/>
      <c r="E436" s="10"/>
      <c r="G436" s="19"/>
      <c r="H436" s="19"/>
      <c r="I436" s="19"/>
      <c r="J436" s="19"/>
      <c r="K436" s="19"/>
      <c r="L436" s="18"/>
      <c r="M436" s="18"/>
      <c r="N436" s="18"/>
      <c r="O436" s="18"/>
      <c r="P436" s="18"/>
      <c r="R436" s="17"/>
      <c r="S436" s="17"/>
      <c r="T436" s="17"/>
      <c r="U436" s="17"/>
      <c r="V436" s="17"/>
      <c r="W436" s="17"/>
      <c r="X436" s="17"/>
      <c r="Y436" s="17"/>
      <c r="Z436" s="16"/>
      <c r="AA436" s="15"/>
      <c r="AB436" s="4"/>
      <c r="AC436" s="14"/>
      <c r="AD436" s="13"/>
    </row>
    <row r="437" spans="1:30">
      <c r="A437" s="20"/>
      <c r="B437" s="11"/>
      <c r="C437" s="10"/>
      <c r="D437" s="10"/>
      <c r="E437" s="10"/>
      <c r="G437" s="19"/>
      <c r="H437" s="19"/>
      <c r="I437" s="19"/>
      <c r="J437" s="19"/>
      <c r="K437" s="19"/>
      <c r="L437" s="18"/>
      <c r="M437" s="18"/>
      <c r="N437" s="18"/>
      <c r="O437" s="18"/>
      <c r="P437" s="18"/>
      <c r="R437" s="17"/>
      <c r="S437" s="17"/>
      <c r="T437" s="17"/>
      <c r="U437" s="17"/>
      <c r="V437" s="17"/>
      <c r="W437" s="17"/>
      <c r="X437" s="17"/>
      <c r="Y437" s="17"/>
      <c r="Z437" s="16"/>
      <c r="AA437" s="15"/>
      <c r="AB437" s="4"/>
      <c r="AC437" s="14"/>
      <c r="AD437" s="13"/>
    </row>
    <row r="438" spans="1:30">
      <c r="A438" s="20"/>
      <c r="B438" s="11"/>
      <c r="C438" s="10"/>
      <c r="D438" s="10"/>
      <c r="E438" s="10"/>
      <c r="G438" s="19"/>
      <c r="H438" s="19"/>
      <c r="I438" s="19"/>
      <c r="J438" s="19"/>
      <c r="K438" s="19"/>
      <c r="L438" s="18"/>
      <c r="M438" s="18"/>
      <c r="N438" s="18"/>
      <c r="O438" s="18"/>
      <c r="P438" s="18"/>
      <c r="R438" s="17"/>
      <c r="S438" s="17"/>
      <c r="T438" s="17"/>
      <c r="U438" s="17"/>
      <c r="V438" s="17"/>
      <c r="W438" s="17"/>
      <c r="X438" s="17"/>
      <c r="Y438" s="17"/>
      <c r="Z438" s="16"/>
      <c r="AA438" s="15"/>
      <c r="AB438" s="4"/>
      <c r="AC438" s="14"/>
      <c r="AD438" s="13"/>
    </row>
    <row r="439" spans="1:30">
      <c r="A439" s="20"/>
      <c r="B439" s="11"/>
      <c r="C439" s="10"/>
      <c r="D439" s="10"/>
      <c r="E439" s="10"/>
      <c r="G439" s="19"/>
      <c r="H439" s="19"/>
      <c r="I439" s="19"/>
      <c r="J439" s="19"/>
      <c r="K439" s="19"/>
      <c r="L439" s="18"/>
      <c r="M439" s="18"/>
      <c r="N439" s="18"/>
      <c r="O439" s="18"/>
      <c r="P439" s="18"/>
      <c r="R439" s="17"/>
      <c r="S439" s="17"/>
      <c r="T439" s="17"/>
      <c r="U439" s="17"/>
      <c r="V439" s="17"/>
      <c r="W439" s="17"/>
      <c r="X439" s="17"/>
      <c r="Y439" s="17"/>
      <c r="Z439" s="16"/>
      <c r="AA439" s="15"/>
      <c r="AB439" s="4"/>
      <c r="AC439" s="14"/>
      <c r="AD439" s="13"/>
    </row>
    <row r="440" spans="1:30">
      <c r="A440" s="20"/>
      <c r="B440" s="11"/>
      <c r="C440" s="10"/>
      <c r="D440" s="10"/>
      <c r="E440" s="10"/>
      <c r="G440" s="19"/>
      <c r="H440" s="19"/>
      <c r="I440" s="19"/>
      <c r="J440" s="19"/>
      <c r="K440" s="19"/>
      <c r="L440" s="18"/>
      <c r="M440" s="18"/>
      <c r="N440" s="18"/>
      <c r="O440" s="18"/>
      <c r="P440" s="18"/>
      <c r="R440" s="17"/>
      <c r="S440" s="17"/>
      <c r="T440" s="17"/>
      <c r="U440" s="17"/>
      <c r="V440" s="17"/>
      <c r="W440" s="17"/>
      <c r="X440" s="17"/>
      <c r="Y440" s="17"/>
      <c r="Z440" s="16"/>
      <c r="AA440" s="15"/>
      <c r="AB440" s="4"/>
      <c r="AC440" s="14"/>
      <c r="AD440" s="13"/>
    </row>
    <row r="441" spans="1:30">
      <c r="A441" s="20"/>
      <c r="B441" s="11"/>
      <c r="C441" s="10"/>
      <c r="D441" s="10"/>
      <c r="E441" s="10"/>
      <c r="G441" s="19"/>
      <c r="H441" s="19"/>
      <c r="I441" s="19"/>
      <c r="J441" s="19"/>
      <c r="K441" s="19"/>
      <c r="L441" s="18"/>
      <c r="M441" s="18"/>
      <c r="N441" s="18"/>
      <c r="O441" s="18"/>
      <c r="P441" s="18"/>
      <c r="R441" s="17"/>
      <c r="S441" s="17"/>
      <c r="T441" s="17"/>
      <c r="U441" s="17"/>
      <c r="V441" s="17"/>
      <c r="W441" s="17"/>
      <c r="X441" s="17"/>
      <c r="Y441" s="17"/>
      <c r="Z441" s="16"/>
      <c r="AA441" s="15"/>
      <c r="AB441" s="4"/>
      <c r="AC441" s="14"/>
      <c r="AD441" s="13"/>
    </row>
    <row r="442" spans="1:30">
      <c r="A442" s="20"/>
      <c r="B442" s="11"/>
      <c r="C442" s="10"/>
      <c r="D442" s="10"/>
      <c r="E442" s="10"/>
      <c r="G442" s="19"/>
      <c r="H442" s="19"/>
      <c r="I442" s="19"/>
      <c r="J442" s="19"/>
      <c r="K442" s="19"/>
      <c r="L442" s="18"/>
      <c r="M442" s="18"/>
      <c r="N442" s="18"/>
      <c r="O442" s="18"/>
      <c r="P442" s="18"/>
      <c r="R442" s="17"/>
      <c r="S442" s="17"/>
      <c r="T442" s="17"/>
      <c r="U442" s="17"/>
      <c r="V442" s="17"/>
      <c r="W442" s="17"/>
      <c r="X442" s="17"/>
      <c r="Y442" s="17"/>
      <c r="Z442" s="16"/>
      <c r="AA442" s="15"/>
      <c r="AB442" s="4"/>
      <c r="AC442" s="14"/>
      <c r="AD442" s="13"/>
    </row>
    <row r="443" spans="1:30">
      <c r="A443" s="20"/>
      <c r="B443" s="11"/>
      <c r="C443" s="10"/>
      <c r="D443" s="10"/>
      <c r="E443" s="10"/>
      <c r="G443" s="19"/>
      <c r="H443" s="19"/>
      <c r="I443" s="19"/>
      <c r="J443" s="19"/>
      <c r="K443" s="19"/>
      <c r="L443" s="18"/>
      <c r="M443" s="18"/>
      <c r="N443" s="18"/>
      <c r="O443" s="18"/>
      <c r="P443" s="18"/>
      <c r="R443" s="17"/>
      <c r="S443" s="17"/>
      <c r="T443" s="17"/>
      <c r="U443" s="17"/>
      <c r="V443" s="17"/>
      <c r="W443" s="17"/>
      <c r="X443" s="17"/>
      <c r="Y443" s="17"/>
      <c r="Z443" s="16"/>
      <c r="AA443" s="15"/>
      <c r="AB443" s="4"/>
      <c r="AC443" s="14"/>
      <c r="AD443" s="13"/>
    </row>
    <row r="444" spans="1:30">
      <c r="A444" s="20"/>
      <c r="B444" s="11"/>
      <c r="C444" s="10"/>
      <c r="D444" s="10"/>
      <c r="E444" s="10"/>
      <c r="G444" s="19"/>
      <c r="H444" s="19"/>
      <c r="I444" s="19"/>
      <c r="J444" s="19"/>
      <c r="K444" s="19"/>
      <c r="L444" s="18"/>
      <c r="M444" s="18"/>
      <c r="N444" s="18"/>
      <c r="O444" s="18"/>
      <c r="P444" s="18"/>
      <c r="R444" s="17"/>
      <c r="S444" s="17"/>
      <c r="T444" s="17"/>
      <c r="U444" s="17"/>
      <c r="V444" s="17"/>
      <c r="W444" s="17"/>
      <c r="X444" s="17"/>
      <c r="Y444" s="17"/>
      <c r="Z444" s="16"/>
      <c r="AA444" s="15"/>
      <c r="AB444" s="4"/>
      <c r="AC444" s="14"/>
      <c r="AD444" s="13"/>
    </row>
    <row r="445" spans="1:30">
      <c r="A445" s="20"/>
      <c r="B445" s="11"/>
      <c r="C445" s="10"/>
      <c r="D445" s="10"/>
      <c r="E445" s="10"/>
      <c r="G445" s="19"/>
      <c r="H445" s="19"/>
      <c r="I445" s="19"/>
      <c r="J445" s="19"/>
      <c r="K445" s="19"/>
      <c r="L445" s="18"/>
      <c r="M445" s="18"/>
      <c r="N445" s="18"/>
      <c r="O445" s="18"/>
      <c r="P445" s="18"/>
      <c r="R445" s="17"/>
      <c r="S445" s="17"/>
      <c r="T445" s="17"/>
      <c r="U445" s="17"/>
      <c r="V445" s="17"/>
      <c r="W445" s="17"/>
      <c r="X445" s="17"/>
      <c r="Y445" s="17"/>
      <c r="Z445" s="16"/>
      <c r="AA445" s="15"/>
      <c r="AB445" s="4"/>
      <c r="AC445" s="14"/>
      <c r="AD445" s="13"/>
    </row>
    <row r="446" spans="1:30">
      <c r="A446" s="20"/>
      <c r="B446" s="11"/>
      <c r="C446" s="10"/>
      <c r="D446" s="10"/>
      <c r="E446" s="10"/>
      <c r="G446" s="19"/>
      <c r="H446" s="19"/>
      <c r="I446" s="19"/>
      <c r="J446" s="19"/>
      <c r="K446" s="19"/>
      <c r="L446" s="18"/>
      <c r="M446" s="18"/>
      <c r="N446" s="18"/>
      <c r="O446" s="18"/>
      <c r="P446" s="18"/>
      <c r="R446" s="17"/>
      <c r="S446" s="17"/>
      <c r="T446" s="17"/>
      <c r="U446" s="17"/>
      <c r="V446" s="17"/>
      <c r="W446" s="17"/>
      <c r="X446" s="17"/>
      <c r="Y446" s="17"/>
      <c r="Z446" s="16"/>
      <c r="AA446" s="15"/>
      <c r="AB446" s="4"/>
      <c r="AC446" s="14"/>
      <c r="AD446" s="13"/>
    </row>
    <row r="447" spans="1:30">
      <c r="A447" s="20"/>
      <c r="B447" s="11"/>
      <c r="C447" s="10"/>
      <c r="D447" s="10"/>
      <c r="E447" s="10"/>
      <c r="G447" s="19"/>
      <c r="H447" s="19"/>
      <c r="I447" s="19"/>
      <c r="J447" s="19"/>
      <c r="K447" s="19"/>
      <c r="L447" s="18"/>
      <c r="M447" s="18"/>
      <c r="N447" s="18"/>
      <c r="O447" s="18"/>
      <c r="P447" s="18"/>
      <c r="R447" s="17"/>
      <c r="S447" s="17"/>
      <c r="T447" s="17"/>
      <c r="U447" s="17"/>
      <c r="V447" s="17"/>
      <c r="W447" s="17"/>
      <c r="X447" s="17"/>
      <c r="Y447" s="17"/>
      <c r="Z447" s="16"/>
      <c r="AA447" s="15"/>
      <c r="AB447" s="4"/>
      <c r="AC447" s="14"/>
      <c r="AD447" s="13"/>
    </row>
    <row r="448" spans="1:30">
      <c r="A448" s="20"/>
      <c r="B448" s="11"/>
      <c r="C448" s="10"/>
      <c r="D448" s="10"/>
      <c r="E448" s="10"/>
      <c r="G448" s="19"/>
      <c r="H448" s="19"/>
      <c r="I448" s="19"/>
      <c r="J448" s="19"/>
      <c r="K448" s="19"/>
      <c r="L448" s="18"/>
      <c r="M448" s="18"/>
      <c r="N448" s="18"/>
      <c r="O448" s="18"/>
      <c r="P448" s="18"/>
      <c r="R448" s="17"/>
      <c r="S448" s="17"/>
      <c r="T448" s="17"/>
      <c r="U448" s="17"/>
      <c r="V448" s="17"/>
      <c r="W448" s="17"/>
      <c r="X448" s="17"/>
      <c r="Y448" s="17"/>
      <c r="Z448" s="16"/>
      <c r="AA448" s="15"/>
      <c r="AB448" s="4"/>
      <c r="AC448" s="14"/>
      <c r="AD448" s="13"/>
    </row>
    <row r="449" spans="1:30">
      <c r="A449" s="20"/>
      <c r="B449" s="11"/>
      <c r="C449" s="10"/>
      <c r="D449" s="10"/>
      <c r="E449" s="10"/>
      <c r="G449" s="19"/>
      <c r="H449" s="19"/>
      <c r="I449" s="19"/>
      <c r="J449" s="19"/>
      <c r="K449" s="19"/>
      <c r="L449" s="18"/>
      <c r="M449" s="18"/>
      <c r="N449" s="18"/>
      <c r="O449" s="18"/>
      <c r="P449" s="18"/>
      <c r="R449" s="17"/>
      <c r="S449" s="17"/>
      <c r="T449" s="17"/>
      <c r="U449" s="17"/>
      <c r="V449" s="17"/>
      <c r="W449" s="17"/>
      <c r="X449" s="17"/>
      <c r="Y449" s="17"/>
      <c r="Z449" s="16"/>
      <c r="AA449" s="15"/>
      <c r="AB449" s="4"/>
      <c r="AC449" s="14"/>
      <c r="AD449" s="13"/>
    </row>
    <row r="450" spans="1:30">
      <c r="A450" s="20"/>
      <c r="B450" s="11"/>
      <c r="C450" s="10"/>
      <c r="D450" s="10"/>
      <c r="E450" s="10"/>
      <c r="G450" s="19"/>
      <c r="H450" s="19"/>
      <c r="I450" s="19"/>
      <c r="J450" s="19"/>
      <c r="K450" s="19"/>
      <c r="L450" s="18"/>
      <c r="M450" s="18"/>
      <c r="N450" s="18"/>
      <c r="O450" s="18"/>
      <c r="P450" s="18"/>
      <c r="R450" s="17"/>
      <c r="S450" s="17"/>
      <c r="T450" s="17"/>
      <c r="U450" s="17"/>
      <c r="V450" s="17"/>
      <c r="W450" s="17"/>
      <c r="X450" s="17"/>
      <c r="Y450" s="17"/>
      <c r="Z450" s="16"/>
      <c r="AA450" s="15"/>
      <c r="AB450" s="4"/>
      <c r="AC450" s="14"/>
      <c r="AD450" s="13"/>
    </row>
    <row r="451" spans="1:30">
      <c r="A451" s="20"/>
      <c r="B451" s="11"/>
      <c r="C451" s="10"/>
      <c r="D451" s="10"/>
      <c r="E451" s="10"/>
      <c r="G451" s="19"/>
      <c r="H451" s="19"/>
      <c r="I451" s="19"/>
      <c r="J451" s="19"/>
      <c r="K451" s="19"/>
      <c r="L451" s="18"/>
      <c r="M451" s="18"/>
      <c r="N451" s="18"/>
      <c r="O451" s="18"/>
      <c r="P451" s="18"/>
      <c r="R451" s="17"/>
      <c r="S451" s="17"/>
      <c r="T451" s="17"/>
      <c r="U451" s="17"/>
      <c r="V451" s="17"/>
      <c r="W451" s="17"/>
      <c r="X451" s="17"/>
      <c r="Y451" s="17"/>
      <c r="Z451" s="16"/>
      <c r="AA451" s="15"/>
      <c r="AB451" s="4"/>
      <c r="AC451" s="14"/>
      <c r="AD451" s="13"/>
    </row>
    <row r="452" spans="1:30">
      <c r="A452" s="20"/>
      <c r="B452" s="11"/>
      <c r="C452" s="10"/>
      <c r="D452" s="10"/>
      <c r="E452" s="10"/>
      <c r="G452" s="19"/>
      <c r="H452" s="19"/>
      <c r="I452" s="19"/>
      <c r="J452" s="19"/>
      <c r="K452" s="19"/>
      <c r="L452" s="18"/>
      <c r="M452" s="18"/>
      <c r="N452" s="18"/>
      <c r="O452" s="18"/>
      <c r="P452" s="18"/>
      <c r="R452" s="17"/>
      <c r="S452" s="17"/>
      <c r="T452" s="17"/>
      <c r="U452" s="17"/>
      <c r="V452" s="17"/>
      <c r="W452" s="17"/>
      <c r="X452" s="17"/>
      <c r="Y452" s="17"/>
      <c r="Z452" s="16"/>
      <c r="AA452" s="15"/>
      <c r="AB452" s="4"/>
      <c r="AC452" s="14"/>
      <c r="AD452" s="13"/>
    </row>
    <row r="453" spans="1:30">
      <c r="A453" s="20"/>
      <c r="B453" s="11"/>
      <c r="C453" s="10"/>
      <c r="D453" s="10"/>
      <c r="E453" s="10"/>
      <c r="G453" s="19"/>
      <c r="H453" s="19"/>
      <c r="I453" s="19"/>
      <c r="J453" s="19"/>
      <c r="K453" s="19"/>
      <c r="L453" s="18"/>
      <c r="M453" s="18"/>
      <c r="N453" s="18"/>
      <c r="O453" s="18"/>
      <c r="P453" s="18"/>
      <c r="R453" s="17"/>
      <c r="S453" s="17"/>
      <c r="T453" s="17"/>
      <c r="U453" s="17"/>
      <c r="V453" s="17"/>
      <c r="W453" s="17"/>
      <c r="X453" s="17"/>
      <c r="Y453" s="17"/>
      <c r="Z453" s="16"/>
      <c r="AA453" s="15"/>
      <c r="AB453" s="4"/>
      <c r="AC453" s="14"/>
      <c r="AD453" s="13"/>
    </row>
    <row r="454" spans="1:30">
      <c r="A454" s="20"/>
      <c r="B454" s="11"/>
      <c r="C454" s="10"/>
      <c r="D454" s="10"/>
      <c r="E454" s="10"/>
      <c r="G454" s="19"/>
      <c r="H454" s="19"/>
      <c r="I454" s="19"/>
      <c r="J454" s="19"/>
      <c r="K454" s="19"/>
      <c r="L454" s="18"/>
      <c r="M454" s="18"/>
      <c r="N454" s="18"/>
      <c r="O454" s="18"/>
      <c r="P454" s="18"/>
      <c r="R454" s="17"/>
      <c r="S454" s="17"/>
      <c r="T454" s="17"/>
      <c r="U454" s="17"/>
      <c r="V454" s="17"/>
      <c r="W454" s="17"/>
      <c r="X454" s="17"/>
      <c r="Y454" s="17"/>
      <c r="Z454" s="16"/>
      <c r="AA454" s="15"/>
      <c r="AB454" s="4"/>
      <c r="AC454" s="14"/>
      <c r="AD454" s="13"/>
    </row>
    <row r="455" spans="1:30">
      <c r="A455" s="20"/>
      <c r="B455" s="11"/>
      <c r="C455" s="10"/>
      <c r="D455" s="10"/>
      <c r="E455" s="10"/>
      <c r="G455" s="19"/>
      <c r="H455" s="19"/>
      <c r="I455" s="19"/>
      <c r="J455" s="19"/>
      <c r="K455" s="19"/>
      <c r="L455" s="18"/>
      <c r="M455" s="18"/>
      <c r="N455" s="18"/>
      <c r="O455" s="18"/>
      <c r="P455" s="18"/>
      <c r="R455" s="17"/>
      <c r="S455" s="17"/>
      <c r="T455" s="17"/>
      <c r="U455" s="17"/>
      <c r="V455" s="17"/>
      <c r="W455" s="17"/>
      <c r="X455" s="17"/>
      <c r="Y455" s="17"/>
      <c r="Z455" s="16"/>
      <c r="AA455" s="15"/>
      <c r="AB455" s="4"/>
      <c r="AC455" s="14"/>
      <c r="AD455" s="13"/>
    </row>
    <row r="456" spans="1:30">
      <c r="A456" s="20"/>
      <c r="B456" s="11"/>
      <c r="C456" s="10"/>
      <c r="D456" s="10"/>
      <c r="E456" s="10"/>
      <c r="G456" s="19"/>
      <c r="H456" s="19"/>
      <c r="I456" s="19"/>
      <c r="J456" s="19"/>
      <c r="K456" s="19"/>
      <c r="L456" s="18"/>
      <c r="M456" s="18"/>
      <c r="N456" s="18"/>
      <c r="O456" s="18"/>
      <c r="P456" s="18"/>
      <c r="R456" s="17"/>
      <c r="S456" s="17"/>
      <c r="T456" s="17"/>
      <c r="U456" s="17"/>
      <c r="V456" s="17"/>
      <c r="W456" s="17"/>
      <c r="X456" s="17"/>
      <c r="Y456" s="17"/>
      <c r="Z456" s="16"/>
      <c r="AA456" s="15"/>
      <c r="AB456" s="4"/>
      <c r="AC456" s="14"/>
      <c r="AD456" s="13"/>
    </row>
    <row r="457" spans="1:30">
      <c r="A457" s="20"/>
      <c r="B457" s="11"/>
      <c r="C457" s="10"/>
      <c r="D457" s="10"/>
      <c r="E457" s="10"/>
      <c r="G457" s="19"/>
      <c r="H457" s="19"/>
      <c r="I457" s="19"/>
      <c r="J457" s="19"/>
      <c r="K457" s="19"/>
      <c r="L457" s="18"/>
      <c r="M457" s="18"/>
      <c r="N457" s="18"/>
      <c r="O457" s="18"/>
      <c r="P457" s="18"/>
      <c r="R457" s="17"/>
      <c r="S457" s="17"/>
      <c r="T457" s="17"/>
      <c r="U457" s="17"/>
      <c r="V457" s="17"/>
      <c r="W457" s="17"/>
      <c r="X457" s="17"/>
      <c r="Y457" s="17"/>
      <c r="Z457" s="16"/>
      <c r="AA457" s="15"/>
      <c r="AB457" s="4"/>
      <c r="AC457" s="14"/>
      <c r="AD457" s="13"/>
    </row>
    <row r="458" spans="1:30">
      <c r="A458" s="20"/>
      <c r="B458" s="11"/>
      <c r="C458" s="10"/>
      <c r="D458" s="10"/>
      <c r="E458" s="10"/>
      <c r="G458" s="19"/>
      <c r="H458" s="19"/>
      <c r="I458" s="19"/>
      <c r="J458" s="19"/>
      <c r="K458" s="19"/>
      <c r="L458" s="18"/>
      <c r="M458" s="18"/>
      <c r="N458" s="18"/>
      <c r="O458" s="18"/>
      <c r="P458" s="18"/>
      <c r="R458" s="17"/>
      <c r="S458" s="17"/>
      <c r="T458" s="17"/>
      <c r="U458" s="17"/>
      <c r="V458" s="17"/>
      <c r="W458" s="17"/>
      <c r="X458" s="17"/>
      <c r="Y458" s="17"/>
      <c r="Z458" s="16"/>
      <c r="AA458" s="15"/>
      <c r="AB458" s="4"/>
      <c r="AC458" s="14"/>
      <c r="AD458" s="13"/>
    </row>
    <row r="459" spans="1:30">
      <c r="A459" s="20"/>
      <c r="B459" s="11"/>
      <c r="C459" s="10"/>
      <c r="D459" s="10"/>
      <c r="E459" s="10"/>
      <c r="G459" s="19"/>
      <c r="H459" s="19"/>
      <c r="I459" s="19"/>
      <c r="J459" s="19"/>
      <c r="K459" s="19"/>
      <c r="L459" s="18"/>
      <c r="M459" s="18"/>
      <c r="N459" s="18"/>
      <c r="O459" s="18"/>
      <c r="P459" s="18"/>
      <c r="R459" s="17"/>
      <c r="S459" s="17"/>
      <c r="T459" s="17"/>
      <c r="U459" s="17"/>
      <c r="V459" s="17"/>
      <c r="W459" s="17"/>
      <c r="X459" s="17"/>
      <c r="Y459" s="17"/>
      <c r="Z459" s="16"/>
      <c r="AA459" s="15"/>
      <c r="AB459" s="4"/>
      <c r="AC459" s="14"/>
      <c r="AD459" s="13"/>
    </row>
    <row r="460" spans="1:30">
      <c r="A460" s="20"/>
      <c r="B460" s="11"/>
      <c r="C460" s="10"/>
      <c r="D460" s="10"/>
      <c r="E460" s="10"/>
      <c r="G460" s="19"/>
      <c r="H460" s="19"/>
      <c r="I460" s="19"/>
      <c r="J460" s="19"/>
      <c r="K460" s="19"/>
      <c r="L460" s="18"/>
      <c r="M460" s="18"/>
      <c r="N460" s="18"/>
      <c r="O460" s="18"/>
      <c r="P460" s="18"/>
      <c r="R460" s="17"/>
      <c r="S460" s="17"/>
      <c r="T460" s="17"/>
      <c r="U460" s="17"/>
      <c r="V460" s="17"/>
      <c r="W460" s="17"/>
      <c r="X460" s="17"/>
      <c r="Y460" s="17"/>
      <c r="Z460" s="16"/>
      <c r="AA460" s="15"/>
      <c r="AB460" s="4"/>
      <c r="AC460" s="14"/>
      <c r="AD460" s="13"/>
    </row>
    <row r="461" spans="1:30">
      <c r="A461" s="20"/>
      <c r="B461" s="11"/>
      <c r="C461" s="10"/>
      <c r="D461" s="10"/>
      <c r="E461" s="10"/>
      <c r="G461" s="19"/>
      <c r="H461" s="19"/>
      <c r="I461" s="19"/>
      <c r="J461" s="19"/>
      <c r="K461" s="19"/>
      <c r="L461" s="18"/>
      <c r="M461" s="18"/>
      <c r="N461" s="18"/>
      <c r="O461" s="18"/>
      <c r="P461" s="18"/>
      <c r="R461" s="17"/>
      <c r="S461" s="17"/>
      <c r="T461" s="17"/>
      <c r="U461" s="17"/>
      <c r="V461" s="17"/>
      <c r="W461" s="17"/>
      <c r="X461" s="17"/>
      <c r="Y461" s="17"/>
      <c r="Z461" s="16"/>
      <c r="AA461" s="15"/>
      <c r="AB461" s="4"/>
      <c r="AC461" s="14"/>
      <c r="AD461" s="13"/>
    </row>
    <row r="462" spans="1:30">
      <c r="A462" s="20"/>
      <c r="B462" s="11"/>
      <c r="C462" s="10"/>
      <c r="D462" s="10"/>
      <c r="E462" s="10"/>
      <c r="G462" s="19"/>
      <c r="H462" s="19"/>
      <c r="I462" s="19"/>
      <c r="J462" s="19"/>
      <c r="K462" s="19"/>
      <c r="L462" s="18"/>
      <c r="M462" s="18"/>
      <c r="N462" s="18"/>
      <c r="O462" s="18"/>
      <c r="P462" s="18"/>
      <c r="R462" s="17"/>
      <c r="S462" s="17"/>
      <c r="T462" s="17"/>
      <c r="U462" s="17"/>
      <c r="V462" s="17"/>
      <c r="W462" s="17"/>
      <c r="X462" s="17"/>
      <c r="Y462" s="17"/>
      <c r="Z462" s="16"/>
      <c r="AA462" s="15"/>
      <c r="AB462" s="4"/>
      <c r="AC462" s="14"/>
      <c r="AD462" s="13"/>
    </row>
    <row r="463" spans="1:30">
      <c r="A463" s="20"/>
      <c r="B463" s="11"/>
      <c r="C463" s="10"/>
      <c r="D463" s="10"/>
      <c r="E463" s="10"/>
      <c r="G463" s="19"/>
      <c r="H463" s="19"/>
      <c r="I463" s="19"/>
      <c r="J463" s="19"/>
      <c r="K463" s="19"/>
      <c r="L463" s="18"/>
      <c r="M463" s="18"/>
      <c r="N463" s="18"/>
      <c r="O463" s="18"/>
      <c r="P463" s="18"/>
      <c r="R463" s="17"/>
      <c r="S463" s="17"/>
      <c r="T463" s="17"/>
      <c r="U463" s="17"/>
      <c r="V463" s="17"/>
      <c r="W463" s="17"/>
      <c r="X463" s="17"/>
      <c r="Y463" s="17"/>
      <c r="Z463" s="16"/>
      <c r="AA463" s="15"/>
      <c r="AB463" s="4"/>
      <c r="AC463" s="14"/>
      <c r="AD463" s="13"/>
    </row>
    <row r="464" spans="1:30">
      <c r="A464" s="20"/>
      <c r="B464" s="11"/>
      <c r="C464" s="10"/>
      <c r="D464" s="10"/>
      <c r="E464" s="10"/>
      <c r="G464" s="19"/>
      <c r="H464" s="19"/>
      <c r="I464" s="19"/>
      <c r="J464" s="19"/>
      <c r="K464" s="19"/>
      <c r="L464" s="18"/>
      <c r="M464" s="18"/>
      <c r="N464" s="18"/>
      <c r="O464" s="18"/>
      <c r="P464" s="18"/>
      <c r="R464" s="17"/>
      <c r="S464" s="17"/>
      <c r="T464" s="17"/>
      <c r="U464" s="17"/>
      <c r="V464" s="17"/>
      <c r="W464" s="17"/>
      <c r="X464" s="17"/>
      <c r="Y464" s="17"/>
      <c r="Z464" s="16"/>
      <c r="AA464" s="15"/>
      <c r="AB464" s="4"/>
      <c r="AC464" s="14"/>
      <c r="AD464" s="13"/>
    </row>
    <row r="465" spans="1:30">
      <c r="A465" s="20"/>
      <c r="B465" s="11"/>
      <c r="C465" s="10"/>
      <c r="D465" s="10"/>
      <c r="E465" s="10"/>
      <c r="G465" s="19"/>
      <c r="H465" s="19"/>
      <c r="I465" s="19"/>
      <c r="J465" s="19"/>
      <c r="K465" s="19"/>
      <c r="L465" s="18"/>
      <c r="M465" s="18"/>
      <c r="N465" s="18"/>
      <c r="O465" s="18"/>
      <c r="P465" s="18"/>
      <c r="R465" s="17"/>
      <c r="S465" s="17"/>
      <c r="T465" s="17"/>
      <c r="U465" s="17"/>
      <c r="V465" s="17"/>
      <c r="W465" s="17"/>
      <c r="X465" s="17"/>
      <c r="Y465" s="17"/>
      <c r="Z465" s="16"/>
      <c r="AA465" s="15"/>
      <c r="AB465" s="4"/>
      <c r="AC465" s="14"/>
      <c r="AD465" s="13"/>
    </row>
    <row r="466" spans="1:30">
      <c r="A466" s="20"/>
      <c r="B466" s="11"/>
      <c r="C466" s="10"/>
      <c r="D466" s="10"/>
      <c r="E466" s="10"/>
      <c r="G466" s="19"/>
      <c r="H466" s="19"/>
      <c r="I466" s="19"/>
      <c r="J466" s="19"/>
      <c r="K466" s="19"/>
      <c r="L466" s="18"/>
      <c r="M466" s="18"/>
      <c r="N466" s="18"/>
      <c r="O466" s="18"/>
      <c r="P466" s="18"/>
      <c r="R466" s="17"/>
      <c r="S466" s="17"/>
      <c r="T466" s="17"/>
      <c r="U466" s="17"/>
      <c r="V466" s="17"/>
      <c r="W466" s="17"/>
      <c r="X466" s="17"/>
      <c r="Y466" s="17"/>
      <c r="Z466" s="16"/>
      <c r="AA466" s="15"/>
      <c r="AB466" s="4"/>
      <c r="AC466" s="14"/>
      <c r="AD466" s="13"/>
    </row>
    <row r="467" spans="1:30">
      <c r="A467" s="20"/>
      <c r="B467" s="11"/>
      <c r="C467" s="10"/>
      <c r="D467" s="10"/>
      <c r="E467" s="10"/>
      <c r="G467" s="19"/>
      <c r="H467" s="19"/>
      <c r="I467" s="19"/>
      <c r="J467" s="19"/>
      <c r="K467" s="19"/>
      <c r="L467" s="18"/>
      <c r="M467" s="18"/>
      <c r="N467" s="18"/>
      <c r="O467" s="18"/>
      <c r="P467" s="18"/>
      <c r="R467" s="17"/>
      <c r="S467" s="17"/>
      <c r="T467" s="17"/>
      <c r="U467" s="17"/>
      <c r="V467" s="17"/>
      <c r="W467" s="17"/>
      <c r="X467" s="17"/>
      <c r="Y467" s="17"/>
      <c r="Z467" s="16"/>
      <c r="AA467" s="15"/>
      <c r="AB467" s="4"/>
      <c r="AC467" s="14"/>
      <c r="AD467" s="13"/>
    </row>
    <row r="468" spans="1:30">
      <c r="A468" s="20"/>
      <c r="B468" s="11"/>
      <c r="C468" s="10"/>
      <c r="D468" s="10"/>
      <c r="E468" s="10"/>
      <c r="G468" s="19"/>
      <c r="H468" s="19"/>
      <c r="I468" s="19"/>
      <c r="J468" s="19"/>
      <c r="K468" s="19"/>
      <c r="L468" s="18"/>
      <c r="M468" s="18"/>
      <c r="N468" s="18"/>
      <c r="O468" s="18"/>
      <c r="P468" s="18"/>
      <c r="R468" s="17"/>
      <c r="S468" s="17"/>
      <c r="T468" s="17"/>
      <c r="U468" s="17"/>
      <c r="V468" s="17"/>
      <c r="W468" s="17"/>
      <c r="X468" s="17"/>
      <c r="Y468" s="17"/>
      <c r="Z468" s="16"/>
      <c r="AA468" s="15"/>
      <c r="AB468" s="4"/>
      <c r="AC468" s="14"/>
      <c r="AD468" s="13"/>
    </row>
    <row r="469" spans="1:30">
      <c r="A469" s="20"/>
      <c r="B469" s="11"/>
      <c r="C469" s="10"/>
      <c r="D469" s="10"/>
      <c r="E469" s="10"/>
      <c r="G469" s="19"/>
      <c r="H469" s="19"/>
      <c r="I469" s="19"/>
      <c r="J469" s="19"/>
      <c r="K469" s="19"/>
      <c r="L469" s="18"/>
      <c r="M469" s="18"/>
      <c r="N469" s="18"/>
      <c r="O469" s="18"/>
      <c r="P469" s="18"/>
      <c r="R469" s="17"/>
      <c r="S469" s="17"/>
      <c r="T469" s="17"/>
      <c r="U469" s="17"/>
      <c r="V469" s="17"/>
      <c r="W469" s="17"/>
      <c r="X469" s="17"/>
      <c r="Y469" s="17"/>
      <c r="Z469" s="16"/>
      <c r="AA469" s="15"/>
      <c r="AB469" s="4"/>
      <c r="AC469" s="14"/>
      <c r="AD469" s="13"/>
    </row>
    <row r="470" spans="1:30">
      <c r="A470" s="20"/>
      <c r="B470" s="11"/>
      <c r="C470" s="10"/>
      <c r="D470" s="10"/>
      <c r="E470" s="10"/>
      <c r="G470" s="19"/>
      <c r="H470" s="19"/>
      <c r="I470" s="19"/>
      <c r="J470" s="19"/>
      <c r="K470" s="19"/>
      <c r="L470" s="18"/>
      <c r="M470" s="18"/>
      <c r="N470" s="18"/>
      <c r="O470" s="18"/>
      <c r="P470" s="18"/>
      <c r="R470" s="17"/>
      <c r="S470" s="17"/>
      <c r="T470" s="17"/>
      <c r="U470" s="17"/>
      <c r="V470" s="17"/>
      <c r="W470" s="17"/>
      <c r="X470" s="17"/>
      <c r="Y470" s="17"/>
      <c r="Z470" s="16"/>
      <c r="AA470" s="15"/>
      <c r="AB470" s="4"/>
      <c r="AC470" s="14"/>
      <c r="AD470" s="13"/>
    </row>
    <row r="471" spans="1:30">
      <c r="A471" s="20"/>
      <c r="B471" s="11"/>
      <c r="C471" s="10"/>
      <c r="D471" s="10"/>
      <c r="E471" s="10"/>
      <c r="G471" s="19"/>
      <c r="H471" s="19"/>
      <c r="I471" s="19"/>
      <c r="J471" s="19"/>
      <c r="K471" s="19"/>
      <c r="L471" s="18"/>
      <c r="M471" s="18"/>
      <c r="N471" s="18"/>
      <c r="O471" s="18"/>
      <c r="P471" s="18"/>
      <c r="R471" s="17"/>
      <c r="S471" s="17"/>
      <c r="T471" s="17"/>
      <c r="U471" s="17"/>
      <c r="V471" s="17"/>
      <c r="W471" s="17"/>
      <c r="X471" s="17"/>
      <c r="Y471" s="17"/>
      <c r="Z471" s="16"/>
      <c r="AA471" s="15"/>
      <c r="AB471" s="4"/>
      <c r="AC471" s="14"/>
      <c r="AD471" s="13"/>
    </row>
    <row r="472" spans="1:30">
      <c r="A472" s="20"/>
      <c r="B472" s="11"/>
      <c r="C472" s="10"/>
      <c r="D472" s="10"/>
      <c r="E472" s="10"/>
      <c r="G472" s="19"/>
      <c r="H472" s="19"/>
      <c r="I472" s="19"/>
      <c r="J472" s="19"/>
      <c r="K472" s="19"/>
      <c r="L472" s="18"/>
      <c r="M472" s="18"/>
      <c r="N472" s="18"/>
      <c r="O472" s="18"/>
      <c r="P472" s="18"/>
      <c r="R472" s="17"/>
      <c r="S472" s="17"/>
      <c r="T472" s="17"/>
      <c r="U472" s="17"/>
      <c r="V472" s="17"/>
      <c r="W472" s="17"/>
      <c r="X472" s="17"/>
      <c r="Y472" s="17"/>
      <c r="Z472" s="16"/>
      <c r="AA472" s="15"/>
      <c r="AB472" s="4"/>
      <c r="AC472" s="14"/>
      <c r="AD472" s="13"/>
    </row>
    <row r="473" spans="1:30">
      <c r="A473" s="20"/>
      <c r="B473" s="11"/>
      <c r="C473" s="10"/>
      <c r="D473" s="10"/>
      <c r="E473" s="10"/>
      <c r="G473" s="19"/>
      <c r="H473" s="19"/>
      <c r="I473" s="19"/>
      <c r="J473" s="19"/>
      <c r="K473" s="19"/>
      <c r="L473" s="18"/>
      <c r="M473" s="18"/>
      <c r="N473" s="18"/>
      <c r="O473" s="18"/>
      <c r="P473" s="18"/>
      <c r="R473" s="17"/>
      <c r="S473" s="17"/>
      <c r="T473" s="17"/>
      <c r="U473" s="17"/>
      <c r="V473" s="17"/>
      <c r="W473" s="17"/>
      <c r="X473" s="17"/>
      <c r="Y473" s="17"/>
      <c r="Z473" s="16"/>
      <c r="AA473" s="15"/>
      <c r="AB473" s="4"/>
      <c r="AC473" s="14"/>
      <c r="AD473" s="13"/>
    </row>
    <row r="474" spans="1:30">
      <c r="A474" s="12"/>
      <c r="B474" s="11"/>
      <c r="C474" s="10"/>
      <c r="D474" s="10"/>
      <c r="E474" s="10"/>
      <c r="G474" s="9"/>
      <c r="H474" s="9"/>
      <c r="I474" s="9"/>
      <c r="J474" s="9"/>
      <c r="K474" s="9"/>
      <c r="L474" s="8"/>
      <c r="M474" s="8"/>
      <c r="N474" s="8"/>
      <c r="O474" s="8"/>
      <c r="P474" s="8"/>
      <c r="R474" s="7"/>
      <c r="S474" s="7"/>
      <c r="T474" s="7"/>
      <c r="U474" s="7"/>
      <c r="V474" s="7"/>
      <c r="W474" s="7"/>
      <c r="X474" s="7"/>
      <c r="Y474" s="7"/>
      <c r="Z474" s="6"/>
      <c r="AA474" s="5"/>
      <c r="AB474" s="4"/>
      <c r="AC474" s="3"/>
      <c r="AD474" s="2"/>
    </row>
    <row r="475" spans="1:30">
      <c r="A475" s="12"/>
      <c r="B475" s="11"/>
      <c r="C475" s="10"/>
      <c r="D475" s="10"/>
      <c r="E475" s="10"/>
      <c r="G475" s="9"/>
      <c r="H475" s="9"/>
      <c r="I475" s="9"/>
      <c r="J475" s="9"/>
      <c r="K475" s="9"/>
      <c r="L475" s="8"/>
      <c r="M475" s="8"/>
      <c r="N475" s="8"/>
      <c r="O475" s="8"/>
      <c r="P475" s="8"/>
      <c r="R475" s="7"/>
      <c r="S475" s="7"/>
      <c r="T475" s="7"/>
      <c r="U475" s="7"/>
      <c r="V475" s="7"/>
      <c r="W475" s="7"/>
      <c r="X475" s="7"/>
      <c r="Y475" s="7"/>
      <c r="Z475" s="6"/>
      <c r="AA475" s="5"/>
      <c r="AB475" s="4"/>
      <c r="AC475" s="3"/>
      <c r="AD475" s="2"/>
    </row>
  </sheetData>
  <mergeCells count="6">
    <mergeCell ref="G179:J179"/>
    <mergeCell ref="C3:D3"/>
    <mergeCell ref="G3:K3"/>
    <mergeCell ref="L3:P3"/>
    <mergeCell ref="R3:U3"/>
    <mergeCell ref="V3:Y3"/>
  </mergeCells>
  <printOptions horizontalCentered="1"/>
  <pageMargins left="0.7" right="0.7" top="0.75" bottom="0.75" header="0.3" footer="0.3"/>
  <pageSetup paperSize="17" scale="71" fitToHeight="6" orientation="landscape" r:id="rId1"/>
  <headerFooter>
    <oddFooter>&amp;RPage &amp;P of &amp;N
21 August 2009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FTW336B Service Lateral</vt:lpstr>
      <vt:lpstr>FTW336A Service Lateral</vt:lpstr>
      <vt:lpstr>FTW336 Utility Extension</vt:lpstr>
      <vt:lpstr>'FTW336 Utility Extension'!Print_Area</vt:lpstr>
      <vt:lpstr>'FTW336A Service Lateral'!Print_Area</vt:lpstr>
      <vt:lpstr>'FTW336B Service Lateral'!Print_Area</vt:lpstr>
      <vt:lpstr>'FTW336 Utility Extension'!Print_Titles</vt:lpstr>
      <vt:lpstr>'FTW336A Service Lateral'!Print_Titles</vt:lpstr>
      <vt:lpstr>'FTW336B Service Lateral'!Print_Titles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Miller</dc:creator>
  <cp:lastModifiedBy>Norman Miller</cp:lastModifiedBy>
  <dcterms:created xsi:type="dcterms:W3CDTF">2009-08-21T21:22:00Z</dcterms:created>
  <dcterms:modified xsi:type="dcterms:W3CDTF">2009-08-27T22:36:22Z</dcterms:modified>
</cp:coreProperties>
</file>